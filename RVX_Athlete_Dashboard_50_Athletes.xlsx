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7ad42b58b24e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hlete_Profile" sheetId="1" r:id="Rf3fa081c63214447"/>
    <x:sheet xmlns:r="http://schemas.openxmlformats.org/officeDocument/2006/relationships" name="Testing_Sessions" sheetId="2" r:id="R780f8b0a49e447ae"/>
    <x:sheet xmlns:r="http://schemas.openxmlformats.org/officeDocument/2006/relationships" name="Performance_Metrics" sheetId="3" r:id="R4480f0bdb4a949be"/>
    <x:sheet xmlns:r="http://schemas.openxmlformats.org/officeDocument/2006/relationships" name="Normative_Data" sheetId="4" r:id="R293f7ad566ec434c"/>
    <x:sheet xmlns:r="http://schemas.openxmlformats.org/officeDocument/2006/relationships" name="Coach_Recommendations" sheetId="5" r:id="R83ca0a69f9c5455a"/>
    <x:sheet xmlns:r="http://schemas.openxmlformats.org/officeDocument/2006/relationships" name="Areas_of_Focus" sheetId="6" r:id="R2cb7bcc50aa44fca"/>
    <x:sheet xmlns:r="http://schemas.openxmlformats.org/officeDocument/2006/relationships" name="Next_Steps" sheetId="7" r:id="R814e7926656b4d74"/>
    <x:sheet xmlns:r="http://schemas.openxmlformats.org/officeDocument/2006/relationships" name="Dashboard_Settings" sheetId="8" r:id="Rfba54efab3884a71"/>
    <x:sheet xmlns:r="http://schemas.openxmlformats.org/officeDocument/2006/relationships" name="Recommendation Matrix" sheetId="9" r:id="Rf1734f00067441ad"/>
    <x:sheet xmlns:r="http://schemas.openxmlformats.org/officeDocument/2006/relationships" name="Status Logic" sheetId="10" r:id="Rd8bd8b40bbb94201"/>
    <x:sheet xmlns:r="http://schemas.openxmlformats.org/officeDocument/2006/relationships" name="RVX App Programs" sheetId="11" r:id="R25f9c83a03f94f16"/>
    <x:sheet xmlns:r="http://schemas.openxmlformats.org/officeDocument/2006/relationships" name="Dashboard Lookup Guide" sheetId="12" r:id="R3ea51cfdfc964d13"/>
    <x:sheet xmlns:r="http://schemas.openxmlformats.org/officeDocument/2006/relationships" name="Dropdown_Lists" sheetId="13" r:id="Rcca4e80d113f4180"/>
    <x:sheet xmlns:r="http://schemas.openxmlformats.org/officeDocument/2006/relationships" name="Recommendation_Output" sheetId="14" r:id="R489375404d4a487b"/>
    <x:sheet xmlns:r="http://schemas.openxmlformats.org/officeDocument/2006/relationships" name="Recommendation_Lookup" sheetId="15" r:id="R988240de84b74009"/>
  </x:sheets>
</x:workbook>
</file>

<file path=xl/sharedStrings.xml><?xml version="1.0" encoding="utf-8"?>
<x:sst xmlns:x="http://schemas.openxmlformats.org/spreadsheetml/2006/main">
  <x:si>
    <x:t xml:space="preserve">athlete_id</x:t>
  </x:si>
  <x:si>
    <x:t xml:space="preserve">first_name</x:t>
  </x:si>
  <x:si>
    <x:t xml:space="preserve">last_name</x:t>
  </x:si>
  <x:si>
    <x:t xml:space="preserve">birth_date</x:t>
  </x:si>
  <x:si>
    <x:t xml:space="preserve">sex</x:t>
  </x:si>
  <x:si>
    <x:t xml:space="preserve">sport</x:t>
  </x:si>
  <x:si>
    <x:t xml:space="preserve">team</x:t>
  </x:si>
  <x:si>
    <x:t xml:space="preserve">position</x:t>
  </x:si>
  <x:si>
    <x:t xml:space="preserve">hand_dominance</x:t>
  </x:si>
  <x:si>
    <x:t xml:space="preserve">height_cm</x:t>
  </x:si>
  <x:si>
    <x:t xml:space="preserve">weight_kg</x:t>
  </x:si>
  <x:si>
    <x:t xml:space="preserve">photo_url</x:t>
  </x:si>
  <x:si>
    <x:t xml:space="preserve">session_id</x:t>
  </x:si>
  <x:si>
    <x:t xml:space="preserve">test_date</x:t>
  </x:si>
  <x:si>
    <x:t xml:space="preserve">session_label</x:t>
  </x:si>
  <x:si>
    <x:t xml:space="preserve">location</x:t>
  </x:si>
  <x:si>
    <x:t xml:space="preserve">notes</x:t>
  </x:si>
  <x:si>
    <x:t xml:space="preserve">metric_key</x:t>
  </x:si>
  <x:si>
    <x:t xml:space="preserve">metric_name</x:t>
  </x:si>
  <x:si>
    <x:t xml:space="preserve">category</x:t>
  </x:si>
  <x:si>
    <x:t xml:space="preserve">value</x:t>
  </x:si>
  <x:si>
    <x:t xml:space="preserve">unit</x:t>
  </x:si>
  <x:si>
    <x:t xml:space="preserve">direction</x:t>
  </x:si>
  <x:si>
    <x:t xml:space="preserve">age_min</x:t>
  </x:si>
  <x:si>
    <x:t xml:space="preserve">age_max</x:t>
  </x:si>
  <x:si>
    <x:t xml:space="preserve">mean</x:t>
  </x:si>
  <x:si>
    <x:t xml:space="preserve">std_dev</x:t>
  </x:si>
  <x:si>
    <x:t xml:space="preserve">source</x:t>
  </x:si>
  <x:si>
    <x:t xml:space="preserve">display_order</x:t>
  </x:si>
  <x:si>
    <x:t xml:space="preserve">title</x:t>
  </x:si>
  <x:si>
    <x:t xml:space="preserve">recommendation</x:t>
  </x:si>
  <x:si>
    <x:t xml:space="preserve">focus_area</x:t>
  </x:si>
  <x:si>
    <x:t xml:space="preserve">next_step</x:t>
  </x:si>
  <x:si>
    <x:t xml:space="preserve">setting</x:t>
  </x:si>
  <x:si>
    <x:t xml:space="preserve">description</x:t>
  </x:si>
  <x:si>
    <x:t xml:space="preserve">organization_name</x:t>
  </x:si>
  <x:si>
    <x:t xml:space="preserve">RVX Performance</x:t>
  </x:si>
  <x:si>
    <x:t xml:space="preserve">Displayed in the dashboard header</x:t>
  </x:si>
  <x:si>
    <x:t xml:space="preserve">report_title</x:t>
  </x:si>
  <x:si>
    <x:t xml:space="preserve">Athlete Testing Report</x:t>
  </x:si>
  <x:si>
    <x:t xml:space="preserve">Main report title</x:t>
  </x:si>
  <x:si>
    <x:t xml:space="preserve">accent_color</x:t>
  </x:si>
  <x:si>
    <x:t xml:space="preserve">#ef1b1b</x:t>
  </x:si>
  <x:si>
    <x:t xml:space="preserve">Primary dashboard accent colour</x:t>
  </x:si>
  <x:si>
    <x:t xml:space="preserve">logo_url</x:t>
  </x:si>
  <x:si>
    <x:t xml:space="preserve">Optional public logo image URL</x:t>
  </x:si>
  <x:si>
    <x:t xml:space="preserve">coach_comments</x:t>
  </x:si>
  <x:si>
    <x:t xml:space="preserve">Excellent progress across the testing block. Maintain consistency and prioritize acceleration mechanics.</x:t>
  </x:si>
  <x:si>
    <x:t xml:space="preserve">Displayed in the planning section</x:t>
  </x:si>
</x:sst>
</file>

<file path=xl/styles.xml><?xml version="1.0" encoding="utf-8"?>
<x:styleSheet xmlns:x="http://schemas.openxmlformats.org/spreadsheetml/2006/main">
  <x:numFmts count="2">
    <x:numFmt numFmtId="164" formatCode="yyyy-mm-dd"/>
    <x:numFmt numFmtId="200" formatCode="0.0%"/>
  </x:numFmts>
  <x:fonts count="3">
    <x:font>
      <x:sz val="11"/>
      <x:color theme="1"/>
      <x:name val="Calibri"/>
    </x:font>
    <x:font>
      <x:b/>
      <x:sz val="11"/>
      <x:color rgb="FFFFFFFF"/>
      <x:name val="Calibri"/>
    </x:font>
    <x:font>
      <x:color theme="1"/>
      <x:name val="Calibri"/>
    </x:font>
  </x:fonts>
  <x:fills count="5">
    <x:fill>
      <x:patternFill patternType="none"/>
    </x:fill>
    <x:fill>
      <x:patternFill patternType="lightGray"/>
    </x:fill>
    <x:fill>
      <x:patternFill patternType="solid">
        <x:fgColor rgb="FF111111"/>
      </x:patternFill>
    </x:fill>
    <x:fill>
      <x:patternFill patternType="solid">
        <x:fgColor rgb="FFF20D0D"/>
      </x:patternFill>
    </x:fill>
    <x:fill>
      <x:patternFill patternType="solid">
        <x:fgColor rgb="FF050505"/>
      </x:patternFill>
    </x:fill>
  </x:fills>
  <x:borders count="2">
    <x:border/>
    <x:border/>
  </x:borders>
  <x:cellStyleXfs count="1">
    <x:xf numFmtId="0" fontId="0" fillId="0" borderId="0" applyFont="1" applyAlignment="1"/>
  </x:cellStyleXfs>
  <x:cellXfs count="20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center"/>
    </x:xf>
    <x:xf numFmtId="0" fontId="2" fillId="0" borderId="0" xfId="0" applyFont="1"/>
    <x:xf numFmtId="0" fontId="2" fillId="0" borderId="0" xfId="0" applyFont="1" applyAlignment="1"/>
    <x:xf numFmtId="164" fontId="2" fillId="0" borderId="0" xfId="0" applyNumberFormat="1" applyFont="1" applyAlignment="1"/>
    <x:xf numFmtId="0" fontId="0" fillId="0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164" fontId="2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bottom" wrapText="0"/>
    </x:xf>
    <x:xf numFmtId="0" fontId="1" fillId="3" borderId="0" xfId="0" applyNumberFormat="1" applyFont="1" applyFill="1" applyBorder="1" applyAlignment="1">
      <x:alignment vertical="bottom" wrapText="0"/>
    </x:xf>
    <x:xf numFmtId="0" fontId="1" fillId="3" borderId="0" xfId="0" applyNumberFormat="1" applyFont="1" applyFill="1" applyBorder="1" applyAlignment="1">
      <x:alignment vertical="bottom" wrapText="1"/>
    </x:xf>
    <x:xf numFmtId="0" fontId="0" fillId="0" borderId="0" xfId="0" applyNumberFormat="1" applyFont="1" applyFill="1" applyBorder="1" applyAlignment="1">
      <x:alignment vertical="bottom" wrapText="1"/>
    </x:xf>
    <x:xf numFmtId="0" fontId="0" fillId="4" borderId="0" xfId="0" applyNumberFormat="1" applyFont="1" applyFill="1" applyBorder="1" applyAlignment="1">
      <x:alignment vertical="bottom" wrapText="0"/>
    </x:xf>
    <x:xf numFmtId="0" fontId="1" fillId="4" borderId="0" xfId="0" applyNumberFormat="1" applyFont="1" applyFill="1" applyBorder="1" applyAlignment="1">
      <x:alignment vertical="bottom" wrapText="0"/>
    </x:xf>
    <x:xf numFmtId="164" fontId="0" fillId="0" borderId="0" xfId="0" applyNumberFormat="1" applyFont="1" applyFill="1" applyBorder="1" applyAlignment="1">
      <x:alignment vertical="bottom" wrapText="0"/>
    </x:xf>
    <x:xf numFmtId="200" fontId="0" fillId="0" borderId="0" xfId="0" applyNumberFormat="1" applyFont="1" applyFill="1" applyBorder="1" applyAlignment="1">
      <x:alignment vertical="bottom" wrapText="0"/>
    </x:xf>
    <x:xf numFmtId="164" fontId="0" fillId="0" borderId="0" xfId="0" applyNumberFormat="1" applyFont="1" applyFill="1" applyBorder="1" applyAlignment="1">
      <x:alignment vertical="bottom" wrapText="1"/>
    </x:xf>
    <x:xf numFmtId="200" fontId="0" fillId="0" borderId="0" xfId="0" applyNumberFormat="1" applyFont="1" applyFill="1" applyBorder="1" applyAlignment="1">
      <x:alignment vertical="bottom" wrapText="1"/>
    </x:xf>
    <x:xf numFmtId="0" fontId="1" fillId="4" borderId="0" xfId="0" applyNumberFormat="1" applyFont="1" applyFill="1" applyBorder="1" applyAlignment="1">
      <x:alignment vertical="bottom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3950b553c3484b" /><Relationship Type="http://schemas.openxmlformats.org/officeDocument/2006/relationships/theme" Target="/xl/theme/theme1.xml" Id="R53b5296dd6ca443d" /><Relationship Type="http://schemas.openxmlformats.org/officeDocument/2006/relationships/sharedStrings" Target="/xl/sharedStrings.xml" Id="R953e03d1878d4fbc" /><Relationship Type="http://schemas.openxmlformats.org/officeDocument/2006/relationships/worksheet" Target="/xl/worksheets/sheet1.xml" Id="Rf3fa081c63214447" /><Relationship Type="http://schemas.openxmlformats.org/officeDocument/2006/relationships/worksheet" Target="/xl/worksheets/sheet2.xml" Id="R780f8b0a49e447ae" /><Relationship Type="http://schemas.openxmlformats.org/officeDocument/2006/relationships/worksheet" Target="/xl/worksheets/sheet3.xml" Id="R4480f0bdb4a949be" /><Relationship Type="http://schemas.openxmlformats.org/officeDocument/2006/relationships/worksheet" Target="/xl/worksheets/sheet4.xml" Id="R293f7ad566ec434c" /><Relationship Type="http://schemas.openxmlformats.org/officeDocument/2006/relationships/worksheet" Target="/xl/worksheets/sheet5.xml" Id="R83ca0a69f9c5455a" /><Relationship Type="http://schemas.openxmlformats.org/officeDocument/2006/relationships/worksheet" Target="/xl/worksheets/sheet6.xml" Id="R2cb7bcc50aa44fca" /><Relationship Type="http://schemas.openxmlformats.org/officeDocument/2006/relationships/worksheet" Target="/xl/worksheets/sheet7.xml" Id="R814e7926656b4d74" /><Relationship Type="http://schemas.openxmlformats.org/officeDocument/2006/relationships/worksheet" Target="/xl/worksheets/sheet8.xml" Id="Rfba54efab3884a71" /><Relationship Type="http://schemas.openxmlformats.org/officeDocument/2006/relationships/worksheet" Target="/xl/worksheets/sheet9.xml" Id="Rf1734f00067441ad" /><Relationship Type="http://schemas.openxmlformats.org/officeDocument/2006/relationships/worksheet" Target="/xl/worksheets/sheet10.xml" Id="Rd8bd8b40bbb94201" /><Relationship Type="http://schemas.openxmlformats.org/officeDocument/2006/relationships/worksheet" Target="/xl/worksheets/sheet11.xml" Id="R25f9c83a03f94f16" /><Relationship Type="http://schemas.openxmlformats.org/officeDocument/2006/relationships/worksheet" Target="/xl/worksheets/sheet12.xml" Id="R3ea51cfdfc964d13" /><Relationship Type="http://schemas.openxmlformats.org/officeDocument/2006/relationships/worksheet" Target="/xl/worksheets/sheet13.xml" Id="Rcca4e80d113f4180" /><Relationship Type="http://schemas.openxmlformats.org/officeDocument/2006/relationships/worksheet" Target="/xl/worksheets/sheet14.xml" Id="R489375404d4a487b" /><Relationship Type="http://schemas.openxmlformats.org/officeDocument/2006/relationships/worksheet" Target="/xl/worksheets/sheet15.xml" Id="R988240de84b74009" /></Relationships>
</file>

<file path=xl/tables/table1.xml><?xml version="1.0" encoding="utf-8"?>
<x:table xmlns:x="http://schemas.openxmlformats.org/spreadsheetml/2006/main" id="1" name="RecommendationMatrixCombined" displayName="RecommendationMatrixCombined" ref="A1:N19" headerRowCount="1">
  <x:tableColumns count="14">
    <x:tableColumn id="1" name="Metric ID"/>
    <x:tableColumn id="2" name="Metric"/>
    <x:tableColumn id="3" name="Direction"/>
    <x:tableColumn id="4" name="Norm Status"/>
    <x:tableColumn id="5" name="Status Logic"/>
    <x:tableColumn id="6" name="Primary Area of Focus"/>
    <x:tableColumn id="7" name="Secondary Areas of Focus"/>
    <x:tableColumn id="8" name="Coach Recommendation"/>
    <x:tableColumn id="9" name="Primary RVX App Program"/>
    <x:tableColumn id="10" name="Secondary RVX App Program"/>
    <x:tableColumn id="11" name="Suggested Coaching Cue"/>
    <x:tableColumn id="12" name="Retest Guidance"/>
    <x:tableColumn id="13" name="Template Metric Key"/>
    <x:tableColumn id="14" name="Lookup Key"/>
  </x:tableColumns>
  <x:tableStyleInfo name="TableStyleMedium2" showRowStripes="1"/>
</x:table>
</file>

<file path=xl/tables/table2.xml><?xml version="1.0" encoding="utf-8"?>
<x:table xmlns:x="http://schemas.openxmlformats.org/spreadsheetml/2006/main" id="2" name="RecommendationLookupTable" displayName="RecommendationLookupTable" ref="A1:H19" headerRowCount="1">
  <x:tableColumns count="8">
    <x:tableColumn id="1" name="Lookup Key"/>
    <x:tableColumn id="2" name="Primary Area of Focus"/>
    <x:tableColumn id="3" name="Secondary Areas of Focus"/>
    <x:tableColumn id="4" name="Coach Recommendation"/>
    <x:tableColumn id="5" name="Primary RVX App Program"/>
    <x:tableColumn id="6" name="Secondary RVX App Program"/>
    <x:tableColumn id="7" name="Coaching Cue"/>
    <x:tableColumn id="8" name="Retest Guidance"/>
  </x:tableColumns>
  <x:tableStyleInfo name="TableStyleMedium2" showRowStripes="1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.xml" Id="Rc9b4b68102a8498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2.xml" Id="R0744413208cc40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4.430000305175781" defaultRowHeight="15"/>
  <x:cols>
    <x:col min="1" max="6" width="12" customWidth="1"/>
    <x:col min="7" max="7" width="23" customWidth="1"/>
    <x:col min="8" max="8" width="12" customWidth="1"/>
    <x:col min="9" max="9" width="16" customWidth="1"/>
    <x:col min="10" max="12" width="12" customWidth="1"/>
    <x:col min="13" max="26" width="8.710000038146973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>
      <x:c r="A2" s="2" t="str">
        <x:v>RVX-00001</x:v>
      </x:c>
      <x:c r="B2" s="3" t="str">
        <x:v>Avery</x:v>
      </x:c>
      <x:c r="C2" s="3" t="str">
        <x:v>Morgan</x:v>
      </x:c>
      <x:c r="D2" s="8" t="n">
        <x:v>40322</x:v>
      </x:c>
      <x:c r="E2" s="2" t="str">
        <x:v>Female</x:v>
      </x:c>
      <x:c r="F2" s="2" t="str">
        <x:v>Hockey</x:v>
      </x:c>
      <x:c r="G2" s="3" t="str">
        <x:v>U16 AAA</x:v>
      </x:c>
      <x:c r="H2" s="3" t="str">
        <x:v>Forward</x:v>
      </x:c>
      <x:c r="I2" s="3" t="str">
        <x:v>Left</x:v>
      </x:c>
      <x:c r="J2" s="2" t="n">
        <x:v>160.4</x:v>
      </x:c>
      <x:c r="K2" s="2" t="n">
        <x:v>83.4</x:v>
      </x:c>
      <x:c r="L2" t="str"/>
    </x:row>
    <x:row r="3">
      <x:c r="A3" s="3" t="str">
        <x:v>RVX-00002</x:v>
      </x:c>
      <x:c r="B3" s="3" t="str">
        <x:v>Noah</x:v>
      </x:c>
      <x:c r="C3" s="3" t="str">
        <x:v>Carter</x:v>
      </x:c>
      <x:c r="D3" s="8" t="n">
        <x:v>40451</x:v>
      </x:c>
      <x:c r="E3" s="3" t="str">
        <x:v>Male</x:v>
      </x:c>
      <x:c r="F3" s="3" t="str">
        <x:v>Hockey</x:v>
      </x:c>
      <x:c r="G3" s="3" t="str">
        <x:v>U16 AA</x:v>
      </x:c>
      <x:c r="H3" s="3" t="str">
        <x:v>Centre</x:v>
      </x:c>
      <x:c r="I3" s="3" t="str">
        <x:v>Right</x:v>
      </x:c>
      <x:c r="J3" s="3" t="n">
        <x:v>172.8</x:v>
      </x:c>
      <x:c r="K3" s="3" t="n">
        <x:v>59.2</x:v>
      </x:c>
      <x:c r="L3" t="str"/>
    </x:row>
    <x:row r="4">
      <x:c r="A4" t="str">
        <x:v>RVX-00003</x:v>
      </x:c>
      <x:c r="B4" t="str">
        <x:v>Maya</x:v>
      </x:c>
      <x:c r="C4" t="str">
        <x:v>Singh</x:v>
      </x:c>
      <x:c r="D4" s="15" t="n">
        <x:v>40224</x:v>
      </x:c>
      <x:c r="E4" t="str">
        <x:v>Female</x:v>
      </x:c>
      <x:c r="F4" t="str">
        <x:v>Hockey</x:v>
      </x:c>
      <x:c r="G4" t="str">
        <x:v>U17 AAA</x:v>
      </x:c>
      <x:c r="H4" t="str">
        <x:v>Defence</x:v>
      </x:c>
      <x:c r="I4" t="str">
        <x:v>Right</x:v>
      </x:c>
      <x:c r="J4" t="n">
        <x:v>170.3</x:v>
      </x:c>
      <x:c r="K4" t="n">
        <x:v>71.6</x:v>
      </x:c>
      <x:c r="L4" t="str"/>
    </x:row>
    <x:row r="5">
      <x:c r="A5" t="str">
        <x:v>RVX-00004</x:v>
      </x:c>
      <x:c r="B5" t="str">
        <x:v>Ethan</x:v>
      </x:c>
      <x:c r="C5" t="str">
        <x:v>Roy</x:v>
      </x:c>
      <x:c r="D5" s="15" t="n">
        <x:v>40316</x:v>
      </x:c>
      <x:c r="E5" t="str">
        <x:v>Male</x:v>
      </x:c>
      <x:c r="F5" t="str">
        <x:v>Hockey</x:v>
      </x:c>
      <x:c r="G5" t="str">
        <x:v>Academy</x:v>
      </x:c>
      <x:c r="H5" t="str">
        <x:v>Defence</x:v>
      </x:c>
      <x:c r="I5" t="str">
        <x:v>Left</x:v>
      </x:c>
      <x:c r="J5" t="n">
        <x:v>184.7</x:v>
      </x:c>
      <x:c r="K5" t="n">
        <x:v>60.2</x:v>
      </x:c>
      <x:c r="L5" t="str"/>
    </x:row>
    <x:row r="6">
      <x:c r="A6" t="str">
        <x:v>RVX-00005</x:v>
      </x:c>
      <x:c r="B6" t="str">
        <x:v>Sophie</x:v>
      </x:c>
      <x:c r="C6" t="str">
        <x:v>Martin</x:v>
      </x:c>
      <x:c r="D6" s="15" t="n">
        <x:v>40484</x:v>
      </x:c>
      <x:c r="E6" t="str">
        <x:v>Female</x:v>
      </x:c>
      <x:c r="F6" t="str">
        <x:v>Hockey</x:v>
      </x:c>
      <x:c r="G6" t="str">
        <x:v>U16 AAA</x:v>
      </x:c>
      <x:c r="H6" t="str">
        <x:v>Centre</x:v>
      </x:c>
      <x:c r="I6" t="str">
        <x:v>Left</x:v>
      </x:c>
      <x:c r="J6" t="n">
        <x:v>169.6</x:v>
      </x:c>
      <x:c r="K6" t="n">
        <x:v>63.5</x:v>
      </x:c>
      <x:c r="L6" t="str"/>
    </x:row>
    <x:row r="7">
      <x:c r="A7" t="str">
        <x:v>RVX-00006</x:v>
      </x:c>
      <x:c r="B7" t="str">
        <x:v>Liam</x:v>
      </x:c>
      <x:c r="C7" t="str">
        <x:v>Lee</x:v>
      </x:c>
      <x:c r="D7" s="15" t="n">
        <x:v>40438</x:v>
      </x:c>
      <x:c r="E7" t="str">
        <x:v>Male</x:v>
      </x:c>
      <x:c r="F7" t="str">
        <x:v>Hockey</x:v>
      </x:c>
      <x:c r="G7" t="str">
        <x:v>U17 AAA</x:v>
      </x:c>
      <x:c r="H7" t="str">
        <x:v>Centre</x:v>
      </x:c>
      <x:c r="I7" t="str">
        <x:v>Left</x:v>
      </x:c>
      <x:c r="J7" t="n">
        <x:v>186.6</x:v>
      </x:c>
      <x:c r="K7" t="n">
        <x:v>85.6</x:v>
      </x:c>
      <x:c r="L7" t="str"/>
    </x:row>
    <x:row r="8">
      <x:c r="A8" t="str">
        <x:v>RVX-00007</x:v>
      </x:c>
      <x:c r="B8" t="str">
        <x:v>Olivia</x:v>
      </x:c>
      <x:c r="C8" t="str">
        <x:v>Brown</x:v>
      </x:c>
      <x:c r="D8" s="15" t="n">
        <x:v>40326</x:v>
      </x:c>
      <x:c r="E8" t="str">
        <x:v>Female</x:v>
      </x:c>
      <x:c r="F8" t="str">
        <x:v>Hockey</x:v>
      </x:c>
      <x:c r="G8" t="str">
        <x:v>U17 AAA</x:v>
      </x:c>
      <x:c r="H8" t="str">
        <x:v>Forward</x:v>
      </x:c>
      <x:c r="I8" t="str">
        <x:v>Left</x:v>
      </x:c>
      <x:c r="J8" t="n">
        <x:v>183.6</x:v>
      </x:c>
      <x:c r="K8" t="n">
        <x:v>86.1</x:v>
      </x:c>
      <x:c r="L8" t="str"/>
    </x:row>
    <x:row r="9">
      <x:c r="A9" t="str">
        <x:v>RVX-00008</x:v>
      </x:c>
      <x:c r="B9" t="str">
        <x:v>Lucas</x:v>
      </x:c>
      <x:c r="C9" t="str">
        <x:v>Wilson</x:v>
      </x:c>
      <x:c r="D9" s="15" t="n">
        <x:v>40351</x:v>
      </x:c>
      <x:c r="E9" t="str">
        <x:v>Male</x:v>
      </x:c>
      <x:c r="F9" t="str">
        <x:v>Hockey</x:v>
      </x:c>
      <x:c r="G9" t="str">
        <x:v>U16 AAA</x:v>
      </x:c>
      <x:c r="H9" t="str">
        <x:v>Centre</x:v>
      </x:c>
      <x:c r="I9" t="str">
        <x:v>Left</x:v>
      </x:c>
      <x:c r="J9" t="n">
        <x:v>157.9</x:v>
      </x:c>
      <x:c r="K9" t="n">
        <x:v>60</x:v>
      </x:c>
      <x:c r="L9" t="str"/>
    </x:row>
    <x:row r="10">
      <x:c r="A10" t="str">
        <x:v>RVX-00009</x:v>
      </x:c>
      <x:c r="B10" t="str">
        <x:v>Emma</x:v>
      </x:c>
      <x:c r="C10" t="str">
        <x:v>Taylor</x:v>
      </x:c>
      <x:c r="D10" s="15" t="n">
        <x:v>40207</x:v>
      </x:c>
      <x:c r="E10" t="str">
        <x:v>Female</x:v>
      </x:c>
      <x:c r="F10" t="str">
        <x:v>Hockey</x:v>
      </x:c>
      <x:c r="G10" t="str">
        <x:v>U16 AAA</x:v>
      </x:c>
      <x:c r="H10" t="str">
        <x:v>Centre</x:v>
      </x:c>
      <x:c r="I10" t="str">
        <x:v>Right</x:v>
      </x:c>
      <x:c r="J10" t="n">
        <x:v>185.6</x:v>
      </x:c>
      <x:c r="K10" t="n">
        <x:v>71.4</x:v>
      </x:c>
      <x:c r="L10" t="str"/>
    </x:row>
    <x:row r="11">
      <x:c r="A11" t="str">
        <x:v>RVX-00010</x:v>
      </x:c>
      <x:c r="B11" t="str">
        <x:v>Jack</x:v>
      </x:c>
      <x:c r="C11" t="str">
        <x:v>Clark</x:v>
      </x:c>
      <x:c r="D11" s="15" t="n">
        <x:v>40510</x:v>
      </x:c>
      <x:c r="E11" t="str">
        <x:v>Male</x:v>
      </x:c>
      <x:c r="F11" t="str">
        <x:v>Hockey</x:v>
      </x:c>
      <x:c r="G11" t="str">
        <x:v>Tier 1</x:v>
      </x:c>
      <x:c r="H11" t="str">
        <x:v>Goalie</x:v>
      </x:c>
      <x:c r="I11" t="str">
        <x:v>Left</x:v>
      </x:c>
      <x:c r="J11" t="n">
        <x:v>160</x:v>
      </x:c>
      <x:c r="K11" t="n">
        <x:v>69.4</x:v>
      </x:c>
      <x:c r="L11" t="str"/>
    </x:row>
    <x:row r="12">
      <x:c r="A12" t="str">
        <x:v>RVX-00011</x:v>
      </x:c>
      <x:c r="B12" t="str">
        <x:v>Chloe</x:v>
      </x:c>
      <x:c r="C12" t="str">
        <x:v>Lewis</x:v>
      </x:c>
      <x:c r="D12" s="15" t="n">
        <x:v>40368</x:v>
      </x:c>
      <x:c r="E12" t="str">
        <x:v>Female</x:v>
      </x:c>
      <x:c r="F12" t="str">
        <x:v>Hockey</x:v>
      </x:c>
      <x:c r="G12" t="str">
        <x:v>Tier 1</x:v>
      </x:c>
      <x:c r="H12" t="str">
        <x:v>Goalie</x:v>
      </x:c>
      <x:c r="I12" t="str">
        <x:v>Left</x:v>
      </x:c>
      <x:c r="J12" t="n">
        <x:v>157.8</x:v>
      </x:c>
      <x:c r="K12" t="n">
        <x:v>50.5</x:v>
      </x:c>
      <x:c r="L12" t="str"/>
    </x:row>
    <x:row r="13">
      <x:c r="A13" t="str">
        <x:v>RVX-00012</x:v>
      </x:c>
      <x:c r="B13" t="str">
        <x:v>Mason</x:v>
      </x:c>
      <x:c r="C13" t="str">
        <x:v>Walker</x:v>
      </x:c>
      <x:c r="D13" s="15" t="n">
        <x:v>40256</x:v>
      </x:c>
      <x:c r="E13" t="str">
        <x:v>Male</x:v>
      </x:c>
      <x:c r="F13" t="str">
        <x:v>Hockey</x:v>
      </x:c>
      <x:c r="G13" t="str">
        <x:v>U16 AAA</x:v>
      </x:c>
      <x:c r="H13" t="str">
        <x:v>Goalie</x:v>
      </x:c>
      <x:c r="I13" t="str">
        <x:v>Left</x:v>
      </x:c>
      <x:c r="J13" t="n">
        <x:v>184.5</x:v>
      </x:c>
      <x:c r="K13" t="n">
        <x:v>57</x:v>
      </x:c>
      <x:c r="L13" t="str"/>
    </x:row>
    <x:row r="14">
      <x:c r="A14" t="str">
        <x:v>RVX-00013</x:v>
      </x:c>
      <x:c r="B14" t="str">
        <x:v>Isla</x:v>
      </x:c>
      <x:c r="C14" t="str">
        <x:v>Hall</x:v>
      </x:c>
      <x:c r="D14" s="15" t="n">
        <x:v>40524</x:v>
      </x:c>
      <x:c r="E14" t="str">
        <x:v>Female</x:v>
      </x:c>
      <x:c r="F14" t="str">
        <x:v>Hockey</x:v>
      </x:c>
      <x:c r="G14" t="str">
        <x:v>U16 AA</x:v>
      </x:c>
      <x:c r="H14" t="str">
        <x:v>Goalie</x:v>
      </x:c>
      <x:c r="I14" t="str">
        <x:v>Left</x:v>
      </x:c>
      <x:c r="J14" t="n">
        <x:v>183</x:v>
      </x:c>
      <x:c r="K14" t="n">
        <x:v>81.7</x:v>
      </x:c>
      <x:c r="L14" t="str"/>
    </x:row>
    <x:row r="15">
      <x:c r="A15" t="str">
        <x:v>RVX-00014</x:v>
      </x:c>
      <x:c r="B15" t="str">
        <x:v>Owen</x:v>
      </x:c>
      <x:c r="C15" t="str">
        <x:v>Young</x:v>
      </x:c>
      <x:c r="D15" s="15" t="n">
        <x:v>40187</x:v>
      </x:c>
      <x:c r="E15" t="str">
        <x:v>Male</x:v>
      </x:c>
      <x:c r="F15" t="str">
        <x:v>Hockey</x:v>
      </x:c>
      <x:c r="G15" t="str">
        <x:v>U17 AAA</x:v>
      </x:c>
      <x:c r="H15" t="str">
        <x:v>Defence</x:v>
      </x:c>
      <x:c r="I15" t="str">
        <x:v>Left</x:v>
      </x:c>
      <x:c r="J15" t="n">
        <x:v>158.4</x:v>
      </x:c>
      <x:c r="K15" t="n">
        <x:v>71.5</x:v>
      </x:c>
      <x:c r="L15" t="str"/>
    </x:row>
    <x:row r="16">
      <x:c r="A16" t="str">
        <x:v>RVX-00015</x:v>
      </x:c>
      <x:c r="B16" t="str">
        <x:v>Mia</x:v>
      </x:c>
      <x:c r="C16" t="str">
        <x:v>King</x:v>
      </x:c>
      <x:c r="D16" s="15" t="n">
        <x:v>40482</x:v>
      </x:c>
      <x:c r="E16" t="str">
        <x:v>Female</x:v>
      </x:c>
      <x:c r="F16" t="str">
        <x:v>Hockey</x:v>
      </x:c>
      <x:c r="G16" t="str">
        <x:v>U17 AAA</x:v>
      </x:c>
      <x:c r="H16" t="str">
        <x:v>Defence</x:v>
      </x:c>
      <x:c r="I16" t="str">
        <x:v>Left</x:v>
      </x:c>
      <x:c r="J16" t="n">
        <x:v>166.5</x:v>
      </x:c>
      <x:c r="K16" t="n">
        <x:v>69.4</x:v>
      </x:c>
      <x:c r="L16" t="str"/>
    </x:row>
    <x:row r="17">
      <x:c r="A17" t="str">
        <x:v>RVX-00016</x:v>
      </x:c>
      <x:c r="B17" t="str">
        <x:v>Hudson</x:v>
      </x:c>
      <x:c r="C17" t="str">
        <x:v>Wright</x:v>
      </x:c>
      <x:c r="D17" s="15" t="n">
        <x:v>40448</x:v>
      </x:c>
      <x:c r="E17" t="str">
        <x:v>Male</x:v>
      </x:c>
      <x:c r="F17" t="str">
        <x:v>Hockey</x:v>
      </x:c>
      <x:c r="G17" t="str">
        <x:v>U17 AAA</x:v>
      </x:c>
      <x:c r="H17" t="str">
        <x:v>Centre</x:v>
      </x:c>
      <x:c r="I17" t="str">
        <x:v>Left</x:v>
      </x:c>
      <x:c r="J17" t="n">
        <x:v>175.3</x:v>
      </x:c>
      <x:c r="K17" t="n">
        <x:v>53.9</x:v>
      </x:c>
      <x:c r="L17" t="str"/>
    </x:row>
    <x:row r="18">
      <x:c r="A18" t="str">
        <x:v>RVX-00017</x:v>
      </x:c>
      <x:c r="B18" t="str">
        <x:v>Ella</x:v>
      </x:c>
      <x:c r="C18" t="str">
        <x:v>Scott</x:v>
      </x:c>
      <x:c r="D18" s="15" t="n">
        <x:v>40201</x:v>
      </x:c>
      <x:c r="E18" t="str">
        <x:v>Female</x:v>
      </x:c>
      <x:c r="F18" t="str">
        <x:v>Hockey</x:v>
      </x:c>
      <x:c r="G18" t="str">
        <x:v>U16 AA</x:v>
      </x:c>
      <x:c r="H18" t="str">
        <x:v>Centre</x:v>
      </x:c>
      <x:c r="I18" t="str">
        <x:v>Right</x:v>
      </x:c>
      <x:c r="J18" t="n">
        <x:v>182.8</x:v>
      </x:c>
      <x:c r="K18" t="n">
        <x:v>68.1</x:v>
      </x:c>
      <x:c r="L18" t="str"/>
    </x:row>
    <x:row r="19">
      <x:c r="A19" t="str">
        <x:v>RVX-00018</x:v>
      </x:c>
      <x:c r="B19" t="str">
        <x:v>Leo</x:v>
      </x:c>
      <x:c r="C19" t="str">
        <x:v>Green</x:v>
      </x:c>
      <x:c r="D19" s="15" t="n">
        <x:v>40351</x:v>
      </x:c>
      <x:c r="E19" t="str">
        <x:v>Male</x:v>
      </x:c>
      <x:c r="F19" t="str">
        <x:v>Hockey</x:v>
      </x:c>
      <x:c r="G19" t="str">
        <x:v>U16 AA</x:v>
      </x:c>
      <x:c r="H19" t="str">
        <x:v>Forward</x:v>
      </x:c>
      <x:c r="I19" t="str">
        <x:v>Right</x:v>
      </x:c>
      <x:c r="J19" t="n">
        <x:v>159.4</x:v>
      </x:c>
      <x:c r="K19" t="n">
        <x:v>74.7</x:v>
      </x:c>
      <x:c r="L19" t="str"/>
    </x:row>
    <x:row r="20">
      <x:c r="A20" t="str">
        <x:v>RVX-00019</x:v>
      </x:c>
      <x:c r="B20" t="str">
        <x:v>Grace</x:v>
      </x:c>
      <x:c r="C20" t="str">
        <x:v>Baker</x:v>
      </x:c>
      <x:c r="D20" s="15" t="n">
        <x:v>40328</x:v>
      </x:c>
      <x:c r="E20" t="str">
        <x:v>Female</x:v>
      </x:c>
      <x:c r="F20" t="str">
        <x:v>Hockey</x:v>
      </x:c>
      <x:c r="G20" t="str">
        <x:v>U17 AAA</x:v>
      </x:c>
      <x:c r="H20" t="str">
        <x:v>Centre</x:v>
      </x:c>
      <x:c r="I20" t="str">
        <x:v>Right</x:v>
      </x:c>
      <x:c r="J20" t="n">
        <x:v>160.3</x:v>
      </x:c>
      <x:c r="K20" t="n">
        <x:v>81.5</x:v>
      </x:c>
      <x:c r="L20" t="str"/>
    </x:row>
    <x:row r="21" ht="15.75" customHeight="1">
      <x:c r="A21" t="str">
        <x:v>RVX-00020</x:v>
      </x:c>
      <x:c r="B21" t="str">
        <x:v>Caleb</x:v>
      </x:c>
      <x:c r="C21" t="str">
        <x:v>Adams</x:v>
      </x:c>
      <x:c r="D21" s="15" t="n">
        <x:v>40485</x:v>
      </x:c>
      <x:c r="E21" t="str">
        <x:v>Male</x:v>
      </x:c>
      <x:c r="F21" t="str">
        <x:v>Hockey</x:v>
      </x:c>
      <x:c r="G21" t="str">
        <x:v>U16 AAA</x:v>
      </x:c>
      <x:c r="H21" t="str">
        <x:v>Defence</x:v>
      </x:c>
      <x:c r="I21" t="str">
        <x:v>Left</x:v>
      </x:c>
      <x:c r="J21" t="n">
        <x:v>159.3</x:v>
      </x:c>
      <x:c r="K21" t="n">
        <x:v>76.8</x:v>
      </x:c>
      <x:c r="L21" t="str"/>
    </x:row>
    <x:row r="22" ht="15.75" customHeight="1">
      <x:c r="A22" t="str">
        <x:v>RVX-00021</x:v>
      </x:c>
      <x:c r="B22" t="str">
        <x:v>Nora</x:v>
      </x:c>
      <x:c r="C22" t="str">
        <x:v>Nelson</x:v>
      </x:c>
      <x:c r="D22" s="15" t="n">
        <x:v>40221</x:v>
      </x:c>
      <x:c r="E22" t="str">
        <x:v>Female</x:v>
      </x:c>
      <x:c r="F22" t="str">
        <x:v>Hockey</x:v>
      </x:c>
      <x:c r="G22" t="str">
        <x:v>Academy</x:v>
      </x:c>
      <x:c r="H22" t="str">
        <x:v>Goalie</x:v>
      </x:c>
      <x:c r="I22" t="str">
        <x:v>Right</x:v>
      </x:c>
      <x:c r="J22" t="n">
        <x:v>172.8</x:v>
      </x:c>
      <x:c r="K22" t="n">
        <x:v>60.8</x:v>
      </x:c>
      <x:c r="L22" t="str"/>
    </x:row>
    <x:row r="23" ht="15.75" customHeight="1">
      <x:c r="A23" t="str">
        <x:v>RVX-00022</x:v>
      </x:c>
      <x:c r="B23" t="str">
        <x:v>Wyatt</x:v>
      </x:c>
      <x:c r="C23" t="str">
        <x:v>Hill</x:v>
      </x:c>
      <x:c r="D23" s="15" t="n">
        <x:v>40472</x:v>
      </x:c>
      <x:c r="E23" t="str">
        <x:v>Male</x:v>
      </x:c>
      <x:c r="F23" t="str">
        <x:v>Hockey</x:v>
      </x:c>
      <x:c r="G23" t="str">
        <x:v>U16 AAA</x:v>
      </x:c>
      <x:c r="H23" t="str">
        <x:v>Forward</x:v>
      </x:c>
      <x:c r="I23" t="str">
        <x:v>Right</x:v>
      </x:c>
      <x:c r="J23" t="n">
        <x:v>159.4</x:v>
      </x:c>
      <x:c r="K23" t="n">
        <x:v>63.7</x:v>
      </x:c>
      <x:c r="L23" t="str"/>
    </x:row>
    <x:row r="24" ht="15.75" customHeight="1">
      <x:c r="A24" t="str">
        <x:v>RVX-00023</x:v>
      </x:c>
      <x:c r="B24" t="str">
        <x:v>Zoe</x:v>
      </x:c>
      <x:c r="C24" t="str">
        <x:v>Campbell</x:v>
      </x:c>
      <x:c r="D24" s="15" t="n">
        <x:v>40385</x:v>
      </x:c>
      <x:c r="E24" t="str">
        <x:v>Female</x:v>
      </x:c>
      <x:c r="F24" t="str">
        <x:v>Hockey</x:v>
      </x:c>
      <x:c r="G24" t="str">
        <x:v>U16 AA</x:v>
      </x:c>
      <x:c r="H24" t="str">
        <x:v>Goalie</x:v>
      </x:c>
      <x:c r="I24" t="str">
        <x:v>Left</x:v>
      </x:c>
      <x:c r="J24" t="n">
        <x:v>178.2</x:v>
      </x:c>
      <x:c r="K24" t="n">
        <x:v>71.7</x:v>
      </x:c>
      <x:c r="L24" t="str"/>
    </x:row>
    <x:row r="25" ht="15.75" customHeight="1">
      <x:c r="A25" t="str">
        <x:v>RVX-00024</x:v>
      </x:c>
      <x:c r="B25" t="str">
        <x:v>Finn</x:v>
      </x:c>
      <x:c r="C25" t="str">
        <x:v>Mitchell</x:v>
      </x:c>
      <x:c r="D25" s="15" t="n">
        <x:v>40224</x:v>
      </x:c>
      <x:c r="E25" t="str">
        <x:v>Male</x:v>
      </x:c>
      <x:c r="F25" t="str">
        <x:v>Hockey</x:v>
      </x:c>
      <x:c r="G25" t="str">
        <x:v>U16 AAA</x:v>
      </x:c>
      <x:c r="H25" t="str">
        <x:v>Centre</x:v>
      </x:c>
      <x:c r="I25" t="str">
        <x:v>Right</x:v>
      </x:c>
      <x:c r="J25" t="n">
        <x:v>168.5</x:v>
      </x:c>
      <x:c r="K25" t="n">
        <x:v>52.9</x:v>
      </x:c>
      <x:c r="L25" t="str"/>
    </x:row>
    <x:row r="26" ht="15.75" customHeight="1">
      <x:c r="A26" t="str">
        <x:v>RVX-00025</x:v>
      </x:c>
      <x:c r="B26" t="str">
        <x:v>Layla</x:v>
      </x:c>
      <x:c r="C26" t="str">
        <x:v>Roberts</x:v>
      </x:c>
      <x:c r="D26" s="15" t="n">
        <x:v>40405</x:v>
      </x:c>
      <x:c r="E26" t="str">
        <x:v>Female</x:v>
      </x:c>
      <x:c r="F26" t="str">
        <x:v>Hockey</x:v>
      </x:c>
      <x:c r="G26" t="str">
        <x:v>U17 AAA</x:v>
      </x:c>
      <x:c r="H26" t="str">
        <x:v>Defence</x:v>
      </x:c>
      <x:c r="I26" t="str">
        <x:v>Left</x:v>
      </x:c>
      <x:c r="J26" t="n">
        <x:v>185.6</x:v>
      </x:c>
      <x:c r="K26" t="n">
        <x:v>56.8</x:v>
      </x:c>
      <x:c r="L26" t="str"/>
    </x:row>
    <x:row r="27" ht="15.75" customHeight="1">
      <x:c r="A27" t="str">
        <x:v>RVX-00026</x:v>
      </x:c>
      <x:c r="B27" t="str">
        <x:v>Cole</x:v>
      </x:c>
      <x:c r="C27" t="str">
        <x:v>Turner</x:v>
      </x:c>
      <x:c r="D27" s="15" t="n">
        <x:v>40400</x:v>
      </x:c>
      <x:c r="E27" t="str">
        <x:v>Male</x:v>
      </x:c>
      <x:c r="F27" t="str">
        <x:v>Hockey</x:v>
      </x:c>
      <x:c r="G27" t="str">
        <x:v>U16 AAA</x:v>
      </x:c>
      <x:c r="H27" t="str">
        <x:v>Forward</x:v>
      </x:c>
      <x:c r="I27" t="str">
        <x:v>Left</x:v>
      </x:c>
      <x:c r="J27" t="n">
        <x:v>168</x:v>
      </x:c>
      <x:c r="K27" t="n">
        <x:v>81.3</x:v>
      </x:c>
      <x:c r="L27" t="str"/>
    </x:row>
    <x:row r="28" ht="15.75" customHeight="1">
      <x:c r="A28" t="str">
        <x:v>RVX-00027</x:v>
      </x:c>
      <x:c r="B28" t="str">
        <x:v>Ruby</x:v>
      </x:c>
      <x:c r="C28" t="str">
        <x:v>Phillips</x:v>
      </x:c>
      <x:c r="D28" s="15" t="n">
        <x:v>40516</x:v>
      </x:c>
      <x:c r="E28" t="str">
        <x:v>Female</x:v>
      </x:c>
      <x:c r="F28" t="str">
        <x:v>Hockey</x:v>
      </x:c>
      <x:c r="G28" t="str">
        <x:v>Tier 1</x:v>
      </x:c>
      <x:c r="H28" t="str">
        <x:v>Goalie</x:v>
      </x:c>
      <x:c r="I28" t="str">
        <x:v>Right</x:v>
      </x:c>
      <x:c r="J28" t="n">
        <x:v>162</x:v>
      </x:c>
      <x:c r="K28" t="n">
        <x:v>69</x:v>
      </x:c>
      <x:c r="L28" t="str"/>
    </x:row>
    <x:row r="29" ht="15.75" customHeight="1">
      <x:c r="A29" t="str">
        <x:v>RVX-00028</x:v>
      </x:c>
      <x:c r="B29" t="str">
        <x:v>Nolan</x:v>
      </x:c>
      <x:c r="C29" t="str">
        <x:v>Parker</x:v>
      </x:c>
      <x:c r="D29" s="15" t="n">
        <x:v>40490</x:v>
      </x:c>
      <x:c r="E29" t="str">
        <x:v>Male</x:v>
      </x:c>
      <x:c r="F29" t="str">
        <x:v>Hockey</x:v>
      </x:c>
      <x:c r="G29" t="str">
        <x:v>Tier 1</x:v>
      </x:c>
      <x:c r="H29" t="str">
        <x:v>Defence</x:v>
      </x:c>
      <x:c r="I29" t="str">
        <x:v>Right</x:v>
      </x:c>
      <x:c r="J29" t="n">
        <x:v>173.2</x:v>
      </x:c>
      <x:c r="K29" t="n">
        <x:v>50.9</x:v>
      </x:c>
      <x:c r="L29" t="str"/>
    </x:row>
    <x:row r="30" ht="15.75" customHeight="1">
      <x:c r="A30" t="str">
        <x:v>RVX-00029</x:v>
      </x:c>
      <x:c r="B30" t="str">
        <x:v>Ivy</x:v>
      </x:c>
      <x:c r="C30" t="str">
        <x:v>Evans</x:v>
      </x:c>
      <x:c r="D30" s="15" t="n">
        <x:v>40420</x:v>
      </x:c>
      <x:c r="E30" t="str">
        <x:v>Female</x:v>
      </x:c>
      <x:c r="F30" t="str">
        <x:v>Hockey</x:v>
      </x:c>
      <x:c r="G30" t="str">
        <x:v>Tier 1</x:v>
      </x:c>
      <x:c r="H30" t="str">
        <x:v>Forward</x:v>
      </x:c>
      <x:c r="I30" t="str">
        <x:v>Right</x:v>
      </x:c>
      <x:c r="J30" t="n">
        <x:v>162.9</x:v>
      </x:c>
      <x:c r="K30" t="n">
        <x:v>66.7</x:v>
      </x:c>
      <x:c r="L30" t="str"/>
    </x:row>
    <x:row r="31" ht="15.75" customHeight="1">
      <x:c r="A31" t="str">
        <x:v>RVX-00030</x:v>
      </x:c>
      <x:c r="B31" t="str">
        <x:v>Blake</x:v>
      </x:c>
      <x:c r="C31" t="str">
        <x:v>Edwards</x:v>
      </x:c>
      <x:c r="D31" s="15" t="n">
        <x:v>40349</x:v>
      </x:c>
      <x:c r="E31" t="str">
        <x:v>Male</x:v>
      </x:c>
      <x:c r="F31" t="str">
        <x:v>Hockey</x:v>
      </x:c>
      <x:c r="G31" t="str">
        <x:v>Tier 1</x:v>
      </x:c>
      <x:c r="H31" t="str">
        <x:v>Defence</x:v>
      </x:c>
      <x:c r="I31" t="str">
        <x:v>Left</x:v>
      </x:c>
      <x:c r="J31" t="n">
        <x:v>170.6</x:v>
      </x:c>
      <x:c r="K31" t="n">
        <x:v>52.7</x:v>
      </x:c>
      <x:c r="L31" t="str"/>
    </x:row>
    <x:row r="32" ht="15.75" customHeight="1">
      <x:c r="A32" t="str">
        <x:v>RVX-00031</x:v>
      </x:c>
      <x:c r="B32" t="str">
        <x:v>Sadie</x:v>
      </x:c>
      <x:c r="C32" t="str">
        <x:v>Collins</x:v>
      </x:c>
      <x:c r="D32" s="15" t="n">
        <x:v>40185</x:v>
      </x:c>
      <x:c r="E32" t="str">
        <x:v>Female</x:v>
      </x:c>
      <x:c r="F32" t="str">
        <x:v>Hockey</x:v>
      </x:c>
      <x:c r="G32" t="str">
        <x:v>U17 AAA</x:v>
      </x:c>
      <x:c r="H32" t="str">
        <x:v>Goalie</x:v>
      </x:c>
      <x:c r="I32" t="str">
        <x:v>Left</x:v>
      </x:c>
      <x:c r="J32" t="n">
        <x:v>182.4</x:v>
      </x:c>
      <x:c r="K32" t="n">
        <x:v>85.7</x:v>
      </x:c>
      <x:c r="L32" t="str"/>
    </x:row>
    <x:row r="33" ht="15.75" customHeight="1">
      <x:c r="A33" t="str">
        <x:v>RVX-00032</x:v>
      </x:c>
      <x:c r="B33" t="str">
        <x:v>Reid</x:v>
      </x:c>
      <x:c r="C33" t="str">
        <x:v>Stewart</x:v>
      </x:c>
      <x:c r="D33" s="15" t="n">
        <x:v>40286</x:v>
      </x:c>
      <x:c r="E33" t="str">
        <x:v>Male</x:v>
      </x:c>
      <x:c r="F33" t="str">
        <x:v>Hockey</x:v>
      </x:c>
      <x:c r="G33" t="str">
        <x:v>U16 AA</x:v>
      </x:c>
      <x:c r="H33" t="str">
        <x:v>Goalie</x:v>
      </x:c>
      <x:c r="I33" t="str">
        <x:v>Right</x:v>
      </x:c>
      <x:c r="J33" t="n">
        <x:v>180.4</x:v>
      </x:c>
      <x:c r="K33" t="n">
        <x:v>73.8</x:v>
      </x:c>
      <x:c r="L33" t="str"/>
    </x:row>
    <x:row r="34" ht="15.75" customHeight="1">
      <x:c r="A34" t="str">
        <x:v>RVX-00033</x:v>
      </x:c>
      <x:c r="B34" t="str">
        <x:v>Ava</x:v>
      </x:c>
      <x:c r="C34" t="str">
        <x:v>Sanchez</x:v>
      </x:c>
      <x:c r="D34" s="15" t="n">
        <x:v>40467</x:v>
      </x:c>
      <x:c r="E34" t="str">
        <x:v>Female</x:v>
      </x:c>
      <x:c r="F34" t="str">
        <x:v>Hockey</x:v>
      </x:c>
      <x:c r="G34" t="str">
        <x:v>U17 AAA</x:v>
      </x:c>
      <x:c r="H34" t="str">
        <x:v>Defence</x:v>
      </x:c>
      <x:c r="I34" t="str">
        <x:v>Left</x:v>
      </x:c>
      <x:c r="J34" t="n">
        <x:v>157.9</x:v>
      </x:c>
      <x:c r="K34" t="n">
        <x:v>87</x:v>
      </x:c>
      <x:c r="L34" t="str"/>
    </x:row>
    <x:row r="35" ht="15.75" customHeight="1">
      <x:c r="A35" t="str">
        <x:v>RVX-00034</x:v>
      </x:c>
      <x:c r="B35" t="str">
        <x:v>Logan</x:v>
      </x:c>
      <x:c r="C35" t="str">
        <x:v>Morris</x:v>
      </x:c>
      <x:c r="D35" s="15" t="n">
        <x:v>40468</x:v>
      </x:c>
      <x:c r="E35" t="str">
        <x:v>Male</x:v>
      </x:c>
      <x:c r="F35" t="str">
        <x:v>Hockey</x:v>
      </x:c>
      <x:c r="G35" t="str">
        <x:v>U17 AAA</x:v>
      </x:c>
      <x:c r="H35" t="str">
        <x:v>Goalie</x:v>
      </x:c>
      <x:c r="I35" t="str">
        <x:v>Left</x:v>
      </x:c>
      <x:c r="J35" t="n">
        <x:v>184.8</x:v>
      </x:c>
      <x:c r="K35" t="n">
        <x:v>72.5</x:v>
      </x:c>
      <x:c r="L35" t="str"/>
    </x:row>
    <x:row r="36" ht="15.75" customHeight="1">
      <x:c r="A36" t="str">
        <x:v>RVX-00035</x:v>
      </x:c>
      <x:c r="B36" t="str">
        <x:v>Lily</x:v>
      </x:c>
      <x:c r="C36" t="str">
        <x:v>Rogers</x:v>
      </x:c>
      <x:c r="D36" s="15" t="n">
        <x:v>40375</x:v>
      </x:c>
      <x:c r="E36" t="str">
        <x:v>Female</x:v>
      </x:c>
      <x:c r="F36" t="str">
        <x:v>Hockey</x:v>
      </x:c>
      <x:c r="G36" t="str">
        <x:v>U17 AAA</x:v>
      </x:c>
      <x:c r="H36" t="str">
        <x:v>Goalie</x:v>
      </x:c>
      <x:c r="I36" t="str">
        <x:v>Left</x:v>
      </x:c>
      <x:c r="J36" t="n">
        <x:v>185</x:v>
      </x:c>
      <x:c r="K36" t="n">
        <x:v>77.9</x:v>
      </x:c>
      <x:c r="L36" t="str"/>
    </x:row>
    <x:row r="37" ht="15.75" customHeight="1">
      <x:c r="A37" t="str">
        <x:v>RVX-00036</x:v>
      </x:c>
      <x:c r="B37" t="str">
        <x:v>Carter</x:v>
      </x:c>
      <x:c r="C37" t="str">
        <x:v>Reed</x:v>
      </x:c>
      <x:c r="D37" s="15" t="n">
        <x:v>40325</x:v>
      </x:c>
      <x:c r="E37" t="str">
        <x:v>Male</x:v>
      </x:c>
      <x:c r="F37" t="str">
        <x:v>Soccer</x:v>
      </x:c>
      <x:c r="G37" t="str">
        <x:v>Tier 1</x:v>
      </x:c>
      <x:c r="H37" t="str">
        <x:v>Midfielder</x:v>
      </x:c>
      <x:c r="I37" t="str">
        <x:v>Left</x:v>
      </x:c>
      <x:c r="J37" t="n">
        <x:v>176.8</x:v>
      </x:c>
      <x:c r="K37" t="n">
        <x:v>77.2</x:v>
      </x:c>
      <x:c r="L37" t="str"/>
    </x:row>
    <x:row r="38" ht="15.75" customHeight="1">
      <x:c r="A38" t="str">
        <x:v>RVX-00037</x:v>
      </x:c>
      <x:c r="B38" t="str">
        <x:v>Aria</x:v>
      </x:c>
      <x:c r="C38" t="str">
        <x:v>Cook</x:v>
      </x:c>
      <x:c r="D38" s="15" t="n">
        <x:v>40343</x:v>
      </x:c>
      <x:c r="E38" t="str">
        <x:v>Female</x:v>
      </x:c>
      <x:c r="F38" t="str">
        <x:v>Soccer</x:v>
      </x:c>
      <x:c r="G38" t="str">
        <x:v>Tier 1</x:v>
      </x:c>
      <x:c r="H38" t="str">
        <x:v>Midfielder</x:v>
      </x:c>
      <x:c r="I38" t="str">
        <x:v>Right</x:v>
      </x:c>
      <x:c r="J38" t="n">
        <x:v>160.2</x:v>
      </x:c>
      <x:c r="K38" t="n">
        <x:v>65.9</x:v>
      </x:c>
      <x:c r="L38" t="str"/>
    </x:row>
    <x:row r="39" ht="15.75" customHeight="1">
      <x:c r="A39" t="str">
        <x:v>RVX-00038</x:v>
      </x:c>
      <x:c r="B39" t="str">
        <x:v>Jace</x:v>
      </x:c>
      <x:c r="C39" t="str">
        <x:v>Bell</x:v>
      </x:c>
      <x:c r="D39" s="15" t="n">
        <x:v>40412</x:v>
      </x:c>
      <x:c r="E39" t="str">
        <x:v>Male</x:v>
      </x:c>
      <x:c r="F39" t="str">
        <x:v>Soccer</x:v>
      </x:c>
      <x:c r="G39" t="str">
        <x:v>U16 AA</x:v>
      </x:c>
      <x:c r="H39" t="str">
        <x:v>Fullback</x:v>
      </x:c>
      <x:c r="I39" t="str">
        <x:v>Right</x:v>
      </x:c>
      <x:c r="J39" t="n">
        <x:v>183.7</x:v>
      </x:c>
      <x:c r="K39" t="n">
        <x:v>60</x:v>
      </x:c>
      <x:c r="L39" t="str"/>
    </x:row>
    <x:row r="40" ht="15.75" customHeight="1">
      <x:c r="A40" t="str">
        <x:v>RVX-00039</x:v>
      </x:c>
      <x:c r="B40" t="str">
        <x:v>Eva</x:v>
      </x:c>
      <x:c r="C40" t="str">
        <x:v>Murphy</x:v>
      </x:c>
      <x:c r="D40" s="15" t="n">
        <x:v>40542</x:v>
      </x:c>
      <x:c r="E40" t="str">
        <x:v>Female</x:v>
      </x:c>
      <x:c r="F40" t="str">
        <x:v>Soccer</x:v>
      </x:c>
      <x:c r="G40" t="str">
        <x:v>U17 AAA</x:v>
      </x:c>
      <x:c r="H40" t="str">
        <x:v>Forward</x:v>
      </x:c>
      <x:c r="I40" t="str">
        <x:v>Left</x:v>
      </x:c>
      <x:c r="J40" t="n">
        <x:v>166.5</x:v>
      </x:c>
      <x:c r="K40" t="n">
        <x:v>54.8</x:v>
      </x:c>
      <x:c r="L40" t="str"/>
    </x:row>
    <x:row r="41" ht="15.75" customHeight="1">
      <x:c r="A41" t="str">
        <x:v>RVX-00040</x:v>
      </x:c>
      <x:c r="B41" t="str">
        <x:v>Bennett</x:v>
      </x:c>
      <x:c r="C41" t="str">
        <x:v>Bailey</x:v>
      </x:c>
      <x:c r="D41" s="15" t="n">
        <x:v>40428</x:v>
      </x:c>
      <x:c r="E41" t="str">
        <x:v>Male</x:v>
      </x:c>
      <x:c r="F41" t="str">
        <x:v>Soccer</x:v>
      </x:c>
      <x:c r="G41" t="str">
        <x:v>Academy</x:v>
      </x:c>
      <x:c r="H41" t="str">
        <x:v>Wing</x:v>
      </x:c>
      <x:c r="I41" t="str">
        <x:v>Left</x:v>
      </x:c>
      <x:c r="J41" t="n">
        <x:v>161.1</x:v>
      </x:c>
      <x:c r="K41" t="n">
        <x:v>60.9</x:v>
      </x:c>
      <x:c r="L41" t="str"/>
    </x:row>
    <x:row r="42" ht="15.75" customHeight="1">
      <x:c r="A42" t="str">
        <x:v>RVX-00041</x:v>
      </x:c>
      <x:c r="B42" t="str">
        <x:v>Claire</x:v>
      </x:c>
      <x:c r="C42" t="str">
        <x:v>Rivera</x:v>
      </x:c>
      <x:c r="D42" s="15" t="n">
        <x:v>40187</x:v>
      </x:c>
      <x:c r="E42" t="str">
        <x:v>Female</x:v>
      </x:c>
      <x:c r="F42" t="str">
        <x:v>Soccer</x:v>
      </x:c>
      <x:c r="G42" t="str">
        <x:v>U17 AAA</x:v>
      </x:c>
      <x:c r="H42" t="str">
        <x:v>Wing</x:v>
      </x:c>
      <x:c r="I42" t="str">
        <x:v>Left</x:v>
      </x:c>
      <x:c r="J42" t="n">
        <x:v>186.7</x:v>
      </x:c>
      <x:c r="K42" t="n">
        <x:v>82.8</x:v>
      </x:c>
      <x:c r="L42" t="str"/>
    </x:row>
    <x:row r="43" ht="15.75" customHeight="1">
      <x:c r="A43" t="str">
        <x:v>RVX-00042</x:v>
      </x:c>
      <x:c r="B43" t="str">
        <x:v>Milo</x:v>
      </x:c>
      <x:c r="C43" t="str">
        <x:v>Cooper</x:v>
      </x:c>
      <x:c r="D43" s="15" t="n">
        <x:v>40203</x:v>
      </x:c>
      <x:c r="E43" t="str">
        <x:v>Male</x:v>
      </x:c>
      <x:c r="F43" t="str">
        <x:v>Soccer</x:v>
      </x:c>
      <x:c r="G43" t="str">
        <x:v>Tier 1</x:v>
      </x:c>
      <x:c r="H43" t="str">
        <x:v>Midfielder</x:v>
      </x:c>
      <x:c r="I43" t="str">
        <x:v>Left</x:v>
      </x:c>
      <x:c r="J43" t="n">
        <x:v>181.1</x:v>
      </x:c>
      <x:c r="K43" t="n">
        <x:v>60.3</x:v>
      </x:c>
      <x:c r="L43" t="str"/>
    </x:row>
    <x:row r="44" ht="15.75" customHeight="1">
      <x:c r="A44" t="str">
        <x:v>RVX-00043</x:v>
      </x:c>
      <x:c r="B44" t="str">
        <x:v>Anna</x:v>
      </x:c>
      <x:c r="C44" t="str">
        <x:v>Richardson</x:v>
      </x:c>
      <x:c r="D44" s="15" t="n">
        <x:v>40370</x:v>
      </x:c>
      <x:c r="E44" t="str">
        <x:v>Female</x:v>
      </x:c>
      <x:c r="F44" t="str">
        <x:v>Soccer</x:v>
      </x:c>
      <x:c r="G44" t="str">
        <x:v>U16 AAA</x:v>
      </x:c>
      <x:c r="H44" t="str">
        <x:v>Forward</x:v>
      </x:c>
      <x:c r="I44" t="str">
        <x:v>Right</x:v>
      </x:c>
      <x:c r="J44" t="n">
        <x:v>160.5</x:v>
      </x:c>
      <x:c r="K44" t="n">
        <x:v>83.9</x:v>
      </x:c>
      <x:c r="L44" t="str"/>
    </x:row>
    <x:row r="45" ht="15.75" customHeight="1">
      <x:c r="A45" t="str">
        <x:v>RVX-00044</x:v>
      </x:c>
      <x:c r="B45" t="str">
        <x:v>Easton</x:v>
      </x:c>
      <x:c r="C45" t="str">
        <x:v>Cox</x:v>
      </x:c>
      <x:c r="D45" s="15" t="n">
        <x:v>40270</x:v>
      </x:c>
      <x:c r="E45" t="str">
        <x:v>Male</x:v>
      </x:c>
      <x:c r="F45" t="str">
        <x:v>Soccer</x:v>
      </x:c>
      <x:c r="G45" t="str">
        <x:v>Tier 1</x:v>
      </x:c>
      <x:c r="H45" t="str">
        <x:v>Midfielder</x:v>
      </x:c>
      <x:c r="I45" t="str">
        <x:v>Right</x:v>
      </x:c>
      <x:c r="J45" t="n">
        <x:v>184.3</x:v>
      </x:c>
      <x:c r="K45" t="n">
        <x:v>56.2</x:v>
      </x:c>
      <x:c r="L45" t="str"/>
    </x:row>
    <x:row r="46" ht="15.75" customHeight="1">
      <x:c r="A46" t="str">
        <x:v>RVX-00045</x:v>
      </x:c>
      <x:c r="B46" t="str">
        <x:v>Lucy</x:v>
      </x:c>
      <x:c r="C46" t="str">
        <x:v>Howard</x:v>
      </x:c>
      <x:c r="D46" s="15" t="n">
        <x:v>40299</x:v>
      </x:c>
      <x:c r="E46" t="str">
        <x:v>Female</x:v>
      </x:c>
      <x:c r="F46" t="str">
        <x:v>Soccer</x:v>
      </x:c>
      <x:c r="G46" t="str">
        <x:v>Academy</x:v>
      </x:c>
      <x:c r="H46" t="str">
        <x:v>Midfielder</x:v>
      </x:c>
      <x:c r="I46" t="str">
        <x:v>Right</x:v>
      </x:c>
      <x:c r="J46" t="n">
        <x:v>180.6</x:v>
      </x:c>
      <x:c r="K46" t="n">
        <x:v>54.8</x:v>
      </x:c>
      <x:c r="L46" t="str"/>
    </x:row>
    <x:row r="47" ht="15.75" customHeight="1">
      <x:c r="A47" t="str">
        <x:v>RVX-00046</x:v>
      </x:c>
      <x:c r="B47" t="str">
        <x:v>Kai</x:v>
      </x:c>
      <x:c r="C47" t="str">
        <x:v>Ward</x:v>
      </x:c>
      <x:c r="D47" s="15" t="n">
        <x:v>40491</x:v>
      </x:c>
      <x:c r="E47" t="str">
        <x:v>Male</x:v>
      </x:c>
      <x:c r="F47" t="str">
        <x:v>Soccer</x:v>
      </x:c>
      <x:c r="G47" t="str">
        <x:v>U17 AAA</x:v>
      </x:c>
      <x:c r="H47" t="str">
        <x:v>Wing</x:v>
      </x:c>
      <x:c r="I47" t="str">
        <x:v>Right</x:v>
      </x:c>
      <x:c r="J47" t="n">
        <x:v>158.4</x:v>
      </x:c>
      <x:c r="K47" t="n">
        <x:v>85.2</x:v>
      </x:c>
      <x:c r="L47" t="str"/>
    </x:row>
    <x:row r="48" ht="15.75" customHeight="1">
      <x:c r="A48" t="str">
        <x:v>RVX-00047</x:v>
      </x:c>
      <x:c r="B48" t="str">
        <x:v>Sarah</x:v>
      </x:c>
      <x:c r="C48" t="str">
        <x:v>Torres</x:v>
      </x:c>
      <x:c r="D48" s="15" t="n">
        <x:v>40455</x:v>
      </x:c>
      <x:c r="E48" t="str">
        <x:v>Female</x:v>
      </x:c>
      <x:c r="F48" t="str">
        <x:v>Soccer</x:v>
      </x:c>
      <x:c r="G48" t="str">
        <x:v>Tier 1</x:v>
      </x:c>
      <x:c r="H48" t="str">
        <x:v>Wing</x:v>
      </x:c>
      <x:c r="I48" t="str">
        <x:v>Right</x:v>
      </x:c>
      <x:c r="J48" t="n">
        <x:v>182.9</x:v>
      </x:c>
      <x:c r="K48" t="n">
        <x:v>50.5</x:v>
      </x:c>
      <x:c r="L48" t="str"/>
    </x:row>
    <x:row r="49" ht="15.75" customHeight="1">
      <x:c r="A49" t="str">
        <x:v>RVX-00048</x:v>
      </x:c>
      <x:c r="B49" t="str">
        <x:v>Rhys</x:v>
      </x:c>
      <x:c r="C49" t="str">
        <x:v>Peterson</x:v>
      </x:c>
      <x:c r="D49" s="15" t="n">
        <x:v>40444</x:v>
      </x:c>
      <x:c r="E49" t="str">
        <x:v>Male</x:v>
      </x:c>
      <x:c r="F49" t="str">
        <x:v>Soccer</x:v>
      </x:c>
      <x:c r="G49" t="str">
        <x:v>U17 AAA</x:v>
      </x:c>
      <x:c r="H49" t="str">
        <x:v>Midfielder</x:v>
      </x:c>
      <x:c r="I49" t="str">
        <x:v>Right</x:v>
      </x:c>
      <x:c r="J49" t="n">
        <x:v>177.4</x:v>
      </x:c>
      <x:c r="K49" t="n">
        <x:v>50.9</x:v>
      </x:c>
      <x:c r="L49" t="str"/>
    </x:row>
    <x:row r="50" ht="15.75" customHeight="1">
      <x:c r="A50" t="str">
        <x:v>RVX-00049</x:v>
      </x:c>
      <x:c r="B50" t="str">
        <x:v>Julia</x:v>
      </x:c>
      <x:c r="C50" t="str">
        <x:v>Gray</x:v>
      </x:c>
      <x:c r="D50" s="15" t="n">
        <x:v>40187</x:v>
      </x:c>
      <x:c r="E50" t="str">
        <x:v>Female</x:v>
      </x:c>
      <x:c r="F50" t="str">
        <x:v>Soccer</x:v>
      </x:c>
      <x:c r="G50" t="str">
        <x:v>Tier 1</x:v>
      </x:c>
      <x:c r="H50" t="str">
        <x:v>Midfielder</x:v>
      </x:c>
      <x:c r="I50" t="str">
        <x:v>Left</x:v>
      </x:c>
      <x:c r="J50" t="n">
        <x:v>157.6</x:v>
      </x:c>
      <x:c r="K50" t="n">
        <x:v>78.3</x:v>
      </x:c>
      <x:c r="L50" t="str"/>
    </x:row>
    <x:row r="51" ht="15.75" customHeight="1">
      <x:c r="A51" t="str">
        <x:v>RVX-00050</x:v>
      </x:c>
      <x:c r="B51" t="str">
        <x:v>Max</x:v>
      </x:c>
      <x:c r="C51" t="str">
        <x:v>James</x:v>
      </x:c>
      <x:c r="D51" s="15" t="n">
        <x:v>40183</x:v>
      </x:c>
      <x:c r="E51" t="str">
        <x:v>Male</x:v>
      </x:c>
      <x:c r="F51" t="str">
        <x:v>Soccer</x:v>
      </x:c>
      <x:c r="G51" t="str">
        <x:v>Academy</x:v>
      </x:c>
      <x:c r="H51" t="str">
        <x:v>Fullback</x:v>
      </x:c>
      <x:c r="I51" t="str">
        <x:v>Left</x:v>
      </x:c>
      <x:c r="J51" t="n">
        <x:v>182.1</x:v>
      </x:c>
      <x:c r="K51" t="n">
        <x:v>65.8</x:v>
      </x:c>
      <x:c r="L51" t="str"/>
    </x:row>
    <x:row r="52" ht="15.75" customHeight="1">
      <x:c r="D52" s="15"/>
    </x:row>
    <x:row r="53" ht="15.75" customHeight="1">
      <x:c r="D53" s="15"/>
    </x:row>
    <x:row r="54" ht="15.75" customHeight="1">
      <x:c r="D54" s="15"/>
    </x:row>
    <x:row r="55" ht="15.75" customHeight="1">
      <x:c r="D55" s="15"/>
    </x:row>
    <x:row r="56" ht="15.75" customHeight="1">
      <x:c r="D56" s="15"/>
    </x:row>
    <x:row r="57" ht="15.75" customHeight="1">
      <x:c r="D57" s="15"/>
    </x:row>
    <x:row r="58" ht="15.75" customHeight="1">
      <x:c r="D58" s="15"/>
    </x:row>
    <x:row r="59" ht="15.75" customHeight="1">
      <x:c r="D59" s="15"/>
    </x:row>
    <x:row r="60" ht="15.75" customHeight="1">
      <x:c r="D60" s="15"/>
    </x:row>
    <x:row r="61" ht="15.75" customHeight="1">
      <x:c r="D61" s="15"/>
    </x:row>
    <x:row r="62" ht="15.75" customHeight="1">
      <x:c r="D62" s="15"/>
    </x:row>
    <x:row r="63" ht="15.75" customHeight="1">
      <x:c r="D63" s="15"/>
    </x:row>
    <x:row r="64" ht="15.75" customHeight="1">
      <x:c r="D64" s="15"/>
    </x:row>
    <x:row r="65" ht="15.75" customHeight="1">
      <x:c r="D65" s="15"/>
    </x:row>
    <x:row r="66" ht="15.75" customHeight="1">
      <x:c r="D66" s="15"/>
    </x:row>
    <x:row r="67" ht="15.75" customHeight="1">
      <x:c r="D67" s="15"/>
    </x:row>
    <x:row r="68" ht="15.75" customHeight="1">
      <x:c r="D68" s="15"/>
    </x:row>
    <x:row r="69" ht="15.75" customHeight="1">
      <x:c r="D69" s="15"/>
    </x:row>
    <x:row r="70" ht="15.75" customHeight="1">
      <x:c r="D70" s="15"/>
    </x:row>
    <x:row r="71" ht="15.75" customHeight="1">
      <x:c r="D71" s="15"/>
    </x:row>
    <x:row r="72" ht="15.75" customHeight="1">
      <x:c r="D72" s="15"/>
    </x:row>
    <x:row r="73" ht="15.75" customHeight="1">
      <x:c r="D73" s="15"/>
    </x:row>
    <x:row r="74" ht="15.75" customHeight="1">
      <x:c r="D74" s="15"/>
    </x:row>
    <x:row r="75" ht="15.75" customHeight="1">
      <x:c r="D75" s="15"/>
    </x:row>
    <x:row r="76" ht="15.75" customHeight="1">
      <x:c r="D76" s="15"/>
    </x:row>
    <x:row r="77" ht="15.75" customHeight="1">
      <x:c r="D77" s="15"/>
    </x:row>
    <x:row r="78" ht="15.75" customHeight="1">
      <x:c r="D78" s="15"/>
    </x:row>
    <x:row r="79" ht="15.75" customHeight="1">
      <x:c r="D79" s="15"/>
    </x:row>
    <x:row r="80" ht="15.75" customHeight="1">
      <x:c r="D80" s="15"/>
    </x:row>
    <x:row r="81" ht="15.75" customHeight="1">
      <x:c r="D81" s="15"/>
    </x:row>
    <x:row r="82" ht="15.75" customHeight="1">
      <x:c r="D82" s="15"/>
    </x:row>
    <x:row r="83" ht="15.75" customHeight="1">
      <x:c r="D83" s="15"/>
    </x:row>
    <x:row r="84" ht="15.75" customHeight="1">
      <x:c r="D84" s="15"/>
    </x:row>
    <x:row r="85" ht="15.75" customHeight="1">
      <x:c r="D85" s="15"/>
    </x:row>
    <x:row r="86" ht="15.75" customHeight="1">
      <x:c r="D86" s="15"/>
    </x:row>
    <x:row r="87" ht="15.75" customHeight="1">
      <x:c r="D87" s="15"/>
    </x:row>
    <x:row r="88" ht="15.75" customHeight="1">
      <x:c r="D88" s="15"/>
    </x:row>
    <x:row r="89" ht="15.75" customHeight="1">
      <x:c r="D89" s="15"/>
    </x:row>
    <x:row r="90" ht="15.75" customHeight="1">
      <x:c r="D90" s="15"/>
    </x:row>
    <x:row r="91" ht="15.75" customHeight="1">
      <x:c r="D91" s="15"/>
    </x:row>
    <x:row r="92" ht="15.75" customHeight="1">
      <x:c r="D92" s="15"/>
    </x:row>
    <x:row r="93" ht="15.75" customHeight="1">
      <x:c r="D93" s="15"/>
    </x:row>
    <x:row r="94" ht="15.75" customHeight="1">
      <x:c r="D94" s="15"/>
    </x:row>
    <x:row r="95" ht="15.75" customHeight="1">
      <x:c r="D95" s="15"/>
    </x:row>
    <x:row r="96" ht="15.75" customHeight="1">
      <x:c r="D96" s="15"/>
    </x:row>
    <x:row r="97" ht="15.75" customHeight="1">
      <x:c r="D97" s="15"/>
    </x:row>
    <x:row r="98" ht="15.75" customHeight="1">
      <x:c r="D98" s="15"/>
    </x:row>
    <x:row r="99" ht="15.75" customHeight="1">
      <x:c r="D99" s="15"/>
    </x:row>
    <x:row r="100" ht="15.75" customHeight="1">
      <x:c r="D100" s="15"/>
    </x:row>
    <x:row r="101" ht="15.75" customHeight="1">
      <x:c r="D101" s="15"/>
    </x:row>
    <x:row r="102" ht="15.75" customHeight="1">
      <x:c r="D102" s="15"/>
    </x:row>
    <x:row r="103" ht="15.75" customHeight="1">
      <x:c r="D103" s="15"/>
    </x:row>
    <x:row r="104" ht="15.75" customHeight="1">
      <x:c r="D104" s="15"/>
    </x:row>
    <x:row r="105" ht="15.75" customHeight="1">
      <x:c r="D105" s="15"/>
    </x:row>
    <x:row r="106" ht="15.75" customHeight="1">
      <x:c r="D106" s="15"/>
    </x:row>
    <x:row r="107" ht="15.75" customHeight="1">
      <x:c r="D107" s="15"/>
    </x:row>
    <x:row r="108" ht="15.75" customHeight="1">
      <x:c r="D108" s="15"/>
    </x:row>
    <x:row r="109" ht="15.75" customHeight="1">
      <x:c r="D109" s="15"/>
    </x:row>
    <x:row r="110" ht="15.75" customHeight="1">
      <x:c r="D110" s="15"/>
    </x:row>
    <x:row r="111" ht="15.75" customHeight="1">
      <x:c r="D111" s="15"/>
    </x:row>
    <x:row r="112" ht="15.75" customHeight="1">
      <x:c r="D112" s="15"/>
    </x:row>
    <x:row r="113" ht="15.75" customHeight="1">
      <x:c r="D113" s="15"/>
    </x:row>
    <x:row r="114" ht="15.75" customHeight="1">
      <x:c r="D114" s="15"/>
    </x:row>
    <x:row r="115" ht="15.75" customHeight="1">
      <x:c r="D115" s="15"/>
    </x:row>
    <x:row r="116" ht="15.75" customHeight="1">
      <x:c r="D116" s="15"/>
    </x:row>
    <x:row r="117" ht="15.75" customHeight="1">
      <x:c r="D117" s="15"/>
    </x:row>
    <x:row r="118" ht="15.75" customHeight="1">
      <x:c r="D118" s="15"/>
    </x:row>
    <x:row r="119" ht="15.75" customHeight="1">
      <x:c r="D119" s="15"/>
    </x:row>
    <x:row r="120" ht="15.75" customHeight="1">
      <x:c r="D120" s="15"/>
    </x:row>
    <x:row r="121" ht="15.75" customHeight="1">
      <x:c r="D121" s="15"/>
    </x:row>
    <x:row r="122" ht="15.75" customHeight="1">
      <x:c r="D122" s="15"/>
    </x:row>
    <x:row r="123" ht="15.75" customHeight="1">
      <x:c r="D123" s="15"/>
    </x:row>
    <x:row r="124" ht="15.75" customHeight="1">
      <x:c r="D124" s="15"/>
    </x:row>
    <x:row r="125" ht="15.75" customHeight="1">
      <x:c r="D125" s="15"/>
    </x:row>
    <x:row r="126" ht="15.75" customHeight="1">
      <x:c r="D126" s="15"/>
    </x:row>
    <x:row r="127" ht="15.75" customHeight="1">
      <x:c r="D127" s="15"/>
    </x:row>
    <x:row r="128" ht="15.75" customHeight="1">
      <x:c r="D128" s="15"/>
    </x:row>
    <x:row r="129" ht="15.75" customHeight="1">
      <x:c r="D129" s="15"/>
    </x:row>
    <x:row r="130" ht="15.75" customHeight="1">
      <x:c r="D130" s="15"/>
    </x:row>
    <x:row r="131" ht="15.75" customHeight="1">
      <x:c r="D131" s="15"/>
    </x:row>
    <x:row r="132" ht="15.75" customHeight="1">
      <x:c r="D132" s="15"/>
    </x:row>
    <x:row r="133" ht="15.75" customHeight="1">
      <x:c r="D133" s="15"/>
    </x:row>
    <x:row r="134" ht="15.75" customHeight="1">
      <x:c r="D134" s="15"/>
    </x:row>
    <x:row r="135" ht="15.75" customHeight="1">
      <x:c r="D135" s="15"/>
    </x:row>
    <x:row r="136" ht="15.75" customHeight="1">
      <x:c r="D136" s="15"/>
    </x:row>
    <x:row r="137" ht="15.75" customHeight="1">
      <x:c r="D137" s="15"/>
    </x:row>
    <x:row r="138" ht="15.75" customHeight="1">
      <x:c r="D138" s="15"/>
    </x:row>
    <x:row r="139" ht="15.75" customHeight="1">
      <x:c r="D139" s="15"/>
    </x:row>
    <x:row r="140" ht="15.75" customHeight="1">
      <x:c r="D140" s="15"/>
    </x:row>
    <x:row r="141" ht="15.75" customHeight="1">
      <x:c r="D141" s="15"/>
    </x:row>
    <x:row r="142" ht="15.75" customHeight="1">
      <x:c r="D142" s="15"/>
    </x:row>
    <x:row r="143" ht="15.75" customHeight="1">
      <x:c r="D143" s="15"/>
    </x:row>
    <x:row r="144" ht="15.75" customHeight="1">
      <x:c r="D144" s="15"/>
    </x:row>
    <x:row r="145" ht="15.75" customHeight="1">
      <x:c r="D145" s="15"/>
    </x:row>
    <x:row r="146" ht="15.75" customHeight="1">
      <x:c r="D146" s="15"/>
    </x:row>
    <x:row r="147" ht="15.75" customHeight="1">
      <x:c r="D147" s="15"/>
    </x:row>
    <x:row r="148" ht="15.75" customHeight="1">
      <x:c r="D148" s="15"/>
    </x:row>
    <x:row r="149" ht="15.75" customHeight="1">
      <x:c r="D149" s="15"/>
    </x:row>
    <x:row r="150" ht="15.75" customHeight="1">
      <x:c r="D150" s="15"/>
    </x:row>
    <x:row r="151" ht="15.75" customHeight="1">
      <x:c r="D151" s="15"/>
    </x:row>
    <x:row r="152" ht="15.75" customHeight="1">
      <x:c r="D152" s="15"/>
    </x:row>
    <x:row r="153" ht="15.75" customHeight="1">
      <x:c r="D153" s="15"/>
    </x:row>
    <x:row r="154" ht="15.75" customHeight="1">
      <x:c r="D154" s="15"/>
    </x:row>
    <x:row r="155" ht="15.75" customHeight="1">
      <x:c r="D155" s="15"/>
    </x:row>
    <x:row r="156" ht="15.75" customHeight="1">
      <x:c r="D156" s="15"/>
    </x:row>
    <x:row r="157" ht="15.75" customHeight="1">
      <x:c r="D157" s="15"/>
    </x:row>
    <x:row r="158" ht="15.75" customHeight="1">
      <x:c r="D158" s="15"/>
    </x:row>
    <x:row r="159" ht="15.75" customHeight="1">
      <x:c r="D159" s="15"/>
    </x:row>
    <x:row r="160" ht="15.75" customHeight="1">
      <x:c r="D160" s="15"/>
    </x:row>
    <x:row r="161" ht="15.75" customHeight="1">
      <x:c r="D161" s="15"/>
    </x:row>
    <x:row r="162" ht="15.75" customHeight="1">
      <x:c r="D162" s="15"/>
    </x:row>
    <x:row r="163" ht="15.75" customHeight="1">
      <x:c r="D163" s="15"/>
    </x:row>
    <x:row r="164" ht="15.75" customHeight="1">
      <x:c r="D164" s="15"/>
    </x:row>
    <x:row r="165" ht="15.75" customHeight="1">
      <x:c r="D165" s="15"/>
    </x:row>
    <x:row r="166" ht="15.75" customHeight="1">
      <x:c r="D166" s="15"/>
    </x:row>
    <x:row r="167" ht="15.75" customHeight="1">
      <x:c r="D167" s="15"/>
    </x:row>
    <x:row r="168" ht="15.75" customHeight="1">
      <x:c r="D168" s="15"/>
    </x:row>
    <x:row r="169" ht="15.75" customHeight="1">
      <x:c r="D169" s="15"/>
    </x:row>
    <x:row r="170" ht="15.75" customHeight="1">
      <x:c r="D170" s="15"/>
    </x:row>
    <x:row r="171" ht="15.75" customHeight="1">
      <x:c r="D171" s="15"/>
    </x:row>
    <x:row r="172" ht="15.75" customHeight="1">
      <x:c r="D172" s="15"/>
    </x:row>
    <x:row r="173" ht="15.75" customHeight="1">
      <x:c r="D173" s="15"/>
    </x:row>
    <x:row r="174" ht="15.75" customHeight="1">
      <x:c r="D174" s="15"/>
    </x:row>
    <x:row r="175" ht="15.75" customHeight="1">
      <x:c r="D175" s="15"/>
    </x:row>
    <x:row r="176" ht="15.75" customHeight="1">
      <x:c r="D176" s="15"/>
    </x:row>
    <x:row r="177" ht="15.75" customHeight="1">
      <x:c r="D177" s="15"/>
    </x:row>
    <x:row r="178" ht="15.75" customHeight="1">
      <x:c r="D178" s="15"/>
    </x:row>
    <x:row r="179" ht="15.75" customHeight="1">
      <x:c r="D179" s="15"/>
    </x:row>
    <x:row r="180" ht="15.75" customHeight="1">
      <x:c r="D180" s="15"/>
    </x:row>
    <x:row r="181" ht="15.75" customHeight="1">
      <x:c r="D181" s="15"/>
    </x:row>
    <x:row r="182" ht="15.75" customHeight="1">
      <x:c r="D182" s="15"/>
    </x:row>
    <x:row r="183" ht="15.75" customHeight="1">
      <x:c r="D183" s="15"/>
    </x:row>
    <x:row r="184" ht="15.75" customHeight="1">
      <x:c r="D184" s="15"/>
    </x:row>
    <x:row r="185" ht="15.75" customHeight="1">
      <x:c r="D185" s="15"/>
    </x:row>
    <x:row r="186" ht="15.75" customHeight="1">
      <x:c r="D186" s="15"/>
    </x:row>
    <x:row r="187" ht="15.75" customHeight="1">
      <x:c r="D187" s="15"/>
    </x:row>
    <x:row r="188" ht="15.75" customHeight="1">
      <x:c r="D188" s="15"/>
    </x:row>
    <x:row r="189" ht="15.75" customHeight="1">
      <x:c r="D189" s="15"/>
    </x:row>
    <x:row r="190" ht="15.75" customHeight="1">
      <x:c r="D190" s="15"/>
    </x:row>
    <x:row r="191" ht="15.75" customHeight="1">
      <x:c r="D191" s="15"/>
    </x:row>
    <x:row r="192" ht="15.75" customHeight="1">
      <x:c r="D192" s="15"/>
    </x:row>
    <x:row r="193" ht="15.75" customHeight="1">
      <x:c r="D193" s="15"/>
    </x:row>
    <x:row r="194" ht="15.75" customHeight="1">
      <x:c r="D194" s="15"/>
    </x:row>
    <x:row r="195" ht="15.75" customHeight="1">
      <x:c r="D195" s="15"/>
    </x:row>
    <x:row r="196" ht="15.75" customHeight="1">
      <x:c r="D196" s="15"/>
    </x:row>
    <x:row r="197" ht="15.75" customHeight="1">
      <x:c r="D197" s="15"/>
    </x:row>
    <x:row r="198" ht="15.75" customHeight="1">
      <x:c r="D198" s="15"/>
    </x:row>
    <x:row r="199" ht="15.75" customHeight="1">
      <x:c r="D199" s="15"/>
    </x:row>
    <x:row r="200" ht="15.75" customHeight="1">
      <x:c r="D200" s="15"/>
    </x:row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4">
    <x:dataValidation type="list" sqref="E2:E200">
      <x:formula1>Dropdown_Lists!$B$2:$B$5</x:formula1>
    </x:dataValidation>
    <x:dataValidation type="list" sqref="F2:F200">
      <x:formula1>Dropdown_Lists!$C$2:$C$8</x:formula1>
    </x:dataValidation>
    <x:dataValidation type="list" sqref="H2:H200">
      <x:formula1>Dropdown_Lists!$D$2:$D$10</x:formula1>
    </x:dataValidation>
    <x:dataValidation type="list" sqref="I2:I200">
      <x:formula1>Dropdown_Lists!$E$2:$E$4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4.430000305175781" defaultRowHeight="15"/>
  <x:cols>
    <x:col min="1" max="3" width="12" customWidth="1"/>
    <x:col min="4" max="4" width="15" customWidth="1"/>
    <x:col min="5" max="5" width="17" customWidth="1"/>
    <x:col min="6" max="6" width="12" customWidth="1"/>
    <x:col min="7" max="26" width="8.710000038146973" customWidth="1"/>
  </x:cols>
  <x:sheetData>
    <x:row r="1">
      <x:c r="A1" s="1" t="s">
        <x:v>0</x:v>
      </x:c>
      <x:c r="B1" s="1" t="s">
        <x:v>12</x:v>
      </x:c>
      <x:c r="C1" s="1" t="s">
        <x:v>13</x:v>
      </x:c>
      <x:c r="D1" s="1" t="s">
        <x:v>14</x:v>
      </x:c>
      <x:c r="E1" s="1" t="s">
        <x:v>15</x:v>
      </x:c>
      <x:c r="F1" s="1" t="s">
        <x:v>16</x:v>
      </x:c>
    </x:row>
    <x:row r="2">
      <x:c r="A2" s="2" t="str">
        <x:v>RVX-00001</x:v>
      </x:c>
      <x:c r="B2" s="2" t="n">
        <x:v>1</x:v>
      </x:c>
      <x:c r="C2" s="15" t="n">
        <x:v>46146</x:v>
      </x:c>
      <x:c r="D2" s="2" t="str">
        <x:v>Session 1</x:v>
      </x:c>
      <x:c r="E2" s="2" t="str">
        <x:v>Performance Lab</x:v>
      </x:c>
      <x:c r="F2" s="2" t="str">
        <x:v>Baseline</x:v>
      </x:c>
    </x:row>
    <x:row r="3">
      <x:c r="A3" s="2" t="str">
        <x:v>RVX-00001</x:v>
      </x:c>
      <x:c r="B3" s="2" t="n">
        <x:v>2</x:v>
      </x:c>
      <x:c r="C3" s="15" t="n">
        <x:v>46174</x:v>
      </x:c>
      <x:c r="D3" s="2" t="str">
        <x:v>Session 2</x:v>
      </x:c>
      <x:c r="E3" s="2" t="str">
        <x:v>Performance Lab</x:v>
      </x:c>
      <x:c r="F3" t="str"/>
    </x:row>
    <x:row r="4">
      <x:c r="A4" s="2" t="str">
        <x:v>RVX-00001</x:v>
      </x:c>
      <x:c r="B4" s="2" t="n">
        <x:v>3</x:v>
      </x:c>
      <x:c r="C4" s="15" t="n">
        <x:v>46202</x:v>
      </x:c>
      <x:c r="D4" s="2" t="str">
        <x:v>Session 3</x:v>
      </x:c>
      <x:c r="E4" s="2" t="str">
        <x:v>Performance Lab</x:v>
      </x:c>
      <x:c r="F4" t="str"/>
    </x:row>
    <x:row r="5">
      <x:c r="A5" s="2" t="str">
        <x:v>RVX-00001</x:v>
      </x:c>
      <x:c r="B5" s="2" t="n">
        <x:v>4</x:v>
      </x:c>
      <x:c r="C5" s="15" t="n">
        <x:v>46230</x:v>
      </x:c>
      <x:c r="D5" s="2" t="str">
        <x:v>Session 4</x:v>
      </x:c>
      <x:c r="E5" s="2" t="str">
        <x:v>Performance Lab</x:v>
      </x:c>
      <x:c r="F5" s="2" t="str">
        <x:v>Retest</x:v>
      </x:c>
    </x:row>
    <x:row r="6">
      <x:c r="A6" s="3" t="str">
        <x:v>RVX-00002</x:v>
      </x:c>
      <x:c r="B6" s="2" t="n">
        <x:v>1</x:v>
      </x:c>
      <x:c r="C6" s="15" t="n">
        <x:v>46146</x:v>
      </x:c>
      <x:c r="D6" s="2" t="str">
        <x:v>Session 1</x:v>
      </x:c>
      <x:c r="E6" s="2" t="str">
        <x:v>Performance Lab</x:v>
      </x:c>
      <x:c r="F6" s="2" t="str">
        <x:v>Baseline</x:v>
      </x:c>
    </x:row>
    <x:row r="7">
      <x:c r="A7" s="3" t="str">
        <x:v>RVX-00002</x:v>
      </x:c>
      <x:c r="B7" s="2" t="n">
        <x:v>2</x:v>
      </x:c>
      <x:c r="C7" s="15" t="n">
        <x:v>46174</x:v>
      </x:c>
      <x:c r="D7" s="2" t="str">
        <x:v>Session 2</x:v>
      </x:c>
      <x:c r="E7" s="2" t="str">
        <x:v>Performance Lab</x:v>
      </x:c>
      <x:c r="F7" t="str"/>
    </x:row>
    <x:row r="8">
      <x:c r="A8" s="3" t="str">
        <x:v>RVX-00002</x:v>
      </x:c>
      <x:c r="B8" s="2" t="n">
        <x:v>3</x:v>
      </x:c>
      <x:c r="C8" s="15" t="n">
        <x:v>46202</x:v>
      </x:c>
      <x:c r="D8" s="2" t="str">
        <x:v>Session 3</x:v>
      </x:c>
      <x:c r="E8" s="2" t="str">
        <x:v>Performance Lab</x:v>
      </x:c>
      <x:c r="F8" t="str"/>
    </x:row>
    <x:row r="9">
      <x:c r="A9" s="3" t="str">
        <x:v>RVX-00002</x:v>
      </x:c>
      <x:c r="B9" s="2" t="n">
        <x:v>4</x:v>
      </x:c>
      <x:c r="C9" s="15" t="n">
        <x:v>46230</x:v>
      </x:c>
      <x:c r="D9" s="2" t="str">
        <x:v>Session 4</x:v>
      </x:c>
      <x:c r="E9" s="2" t="str">
        <x:v>Performance Lab</x:v>
      </x:c>
      <x:c r="F9" s="2" t="str">
        <x:v>Retest</x:v>
      </x:c>
    </x:row>
    <x:row r="10">
      <x:c r="A10" t="str">
        <x:v>RVX-00003</x:v>
      </x:c>
      <x:c r="B10" t="n">
        <x:v>1</x:v>
      </x:c>
      <x:c r="C10" s="15" t="n">
        <x:v>46146</x:v>
      </x:c>
      <x:c r="D10" t="str">
        <x:v>Session 1</x:v>
      </x:c>
      <x:c r="E10" t="str">
        <x:v>Performance Lab</x:v>
      </x:c>
      <x:c r="F10" t="str">
        <x:v>Baseline</x:v>
      </x:c>
    </x:row>
    <x:row r="11">
      <x:c r="A11" t="str">
        <x:v>RVX-00003</x:v>
      </x:c>
      <x:c r="B11" t="n">
        <x:v>2</x:v>
      </x:c>
      <x:c r="C11" s="15" t="n">
        <x:v>46174</x:v>
      </x:c>
      <x:c r="D11" t="str">
        <x:v>Session 2</x:v>
      </x:c>
      <x:c r="E11" t="str">
        <x:v>Performance Lab</x:v>
      </x:c>
      <x:c r="F11" t="str"/>
    </x:row>
    <x:row r="12">
      <x:c r="A12" t="str">
        <x:v>RVX-00003</x:v>
      </x:c>
      <x:c r="B12" t="n">
        <x:v>3</x:v>
      </x:c>
      <x:c r="C12" s="15" t="n">
        <x:v>46202</x:v>
      </x:c>
      <x:c r="D12" t="str">
        <x:v>Session 3</x:v>
      </x:c>
      <x:c r="E12" t="str">
        <x:v>Performance Lab</x:v>
      </x:c>
      <x:c r="F12" t="str"/>
    </x:row>
    <x:row r="13">
      <x:c r="A13" t="str">
        <x:v>RVX-00003</x:v>
      </x:c>
      <x:c r="B13" t="n">
        <x:v>4</x:v>
      </x:c>
      <x:c r="C13" s="15" t="n">
        <x:v>46230</x:v>
      </x:c>
      <x:c r="D13" t="str">
        <x:v>Session 4</x:v>
      </x:c>
      <x:c r="E13" t="str">
        <x:v>Performance Lab</x:v>
      </x:c>
      <x:c r="F13" t="str">
        <x:v>Retest</x:v>
      </x:c>
    </x:row>
    <x:row r="14">
      <x:c r="A14" t="str">
        <x:v>RVX-00004</x:v>
      </x:c>
      <x:c r="B14" t="n">
        <x:v>1</x:v>
      </x:c>
      <x:c r="C14" s="15" t="n">
        <x:v>46146</x:v>
      </x:c>
      <x:c r="D14" t="str">
        <x:v>Session 1</x:v>
      </x:c>
      <x:c r="E14" t="str">
        <x:v>Performance Lab</x:v>
      </x:c>
      <x:c r="F14" t="str">
        <x:v>Baseline</x:v>
      </x:c>
    </x:row>
    <x:row r="15">
      <x:c r="A15" t="str">
        <x:v>RVX-00004</x:v>
      </x:c>
      <x:c r="B15" t="n">
        <x:v>2</x:v>
      </x:c>
      <x:c r="C15" s="15" t="n">
        <x:v>46174</x:v>
      </x:c>
      <x:c r="D15" t="str">
        <x:v>Session 2</x:v>
      </x:c>
      <x:c r="E15" t="str">
        <x:v>Performance Lab</x:v>
      </x:c>
      <x:c r="F15" t="str"/>
    </x:row>
    <x:row r="16">
      <x:c r="A16" t="str">
        <x:v>RVX-00004</x:v>
      </x:c>
      <x:c r="B16" t="n">
        <x:v>3</x:v>
      </x:c>
      <x:c r="C16" s="15" t="n">
        <x:v>46202</x:v>
      </x:c>
      <x:c r="D16" t="str">
        <x:v>Session 3</x:v>
      </x:c>
      <x:c r="E16" t="str">
        <x:v>Performance Lab</x:v>
      </x:c>
      <x:c r="F16" t="str"/>
    </x:row>
    <x:row r="17">
      <x:c r="A17" t="str">
        <x:v>RVX-00004</x:v>
      </x:c>
      <x:c r="B17" t="n">
        <x:v>4</x:v>
      </x:c>
      <x:c r="C17" s="15" t="n">
        <x:v>46230</x:v>
      </x:c>
      <x:c r="D17" t="str">
        <x:v>Session 4</x:v>
      </x:c>
      <x:c r="E17" t="str">
        <x:v>Performance Lab</x:v>
      </x:c>
      <x:c r="F17" t="str">
        <x:v>Retest</x:v>
      </x:c>
    </x:row>
    <x:row r="18">
      <x:c r="A18" t="str">
        <x:v>RVX-00005</x:v>
      </x:c>
      <x:c r="B18" t="n">
        <x:v>1</x:v>
      </x:c>
      <x:c r="C18" s="15" t="n">
        <x:v>46146</x:v>
      </x:c>
      <x:c r="D18" t="str">
        <x:v>Session 1</x:v>
      </x:c>
      <x:c r="E18" t="str">
        <x:v>Performance Lab</x:v>
      </x:c>
      <x:c r="F18" t="str">
        <x:v>Baseline</x:v>
      </x:c>
    </x:row>
    <x:row r="19">
      <x:c r="A19" t="str">
        <x:v>RVX-00005</x:v>
      </x:c>
      <x:c r="B19" t="n">
        <x:v>2</x:v>
      </x:c>
      <x:c r="C19" s="15" t="n">
        <x:v>46174</x:v>
      </x:c>
      <x:c r="D19" t="str">
        <x:v>Session 2</x:v>
      </x:c>
      <x:c r="E19" t="str">
        <x:v>Performance Lab</x:v>
      </x:c>
      <x:c r="F19" t="str"/>
    </x:row>
    <x:row r="20">
      <x:c r="A20" t="str">
        <x:v>RVX-00005</x:v>
      </x:c>
      <x:c r="B20" t="n">
        <x:v>3</x:v>
      </x:c>
      <x:c r="C20" s="15" t="n">
        <x:v>46202</x:v>
      </x:c>
      <x:c r="D20" t="str">
        <x:v>Session 3</x:v>
      </x:c>
      <x:c r="E20" t="str">
        <x:v>Performance Lab</x:v>
      </x:c>
      <x:c r="F20" t="str"/>
    </x:row>
    <x:row r="21" ht="15.75" customHeight="1">
      <x:c r="A21" t="str">
        <x:v>RVX-00005</x:v>
      </x:c>
      <x:c r="B21" t="n">
        <x:v>4</x:v>
      </x:c>
      <x:c r="C21" s="15" t="n">
        <x:v>46230</x:v>
      </x:c>
      <x:c r="D21" t="str">
        <x:v>Session 4</x:v>
      </x:c>
      <x:c r="E21" t="str">
        <x:v>Performance Lab</x:v>
      </x:c>
      <x:c r="F21" t="str">
        <x:v>Retest</x:v>
      </x:c>
    </x:row>
    <x:row r="22" ht="15.75" customHeight="1">
      <x:c r="A22" t="str">
        <x:v>RVX-00006</x:v>
      </x:c>
      <x:c r="B22" t="n">
        <x:v>1</x:v>
      </x:c>
      <x:c r="C22" s="15" t="n">
        <x:v>46146</x:v>
      </x:c>
      <x:c r="D22" t="str">
        <x:v>Session 1</x:v>
      </x:c>
      <x:c r="E22" t="str">
        <x:v>Performance Lab</x:v>
      </x:c>
      <x:c r="F22" t="str">
        <x:v>Baseline</x:v>
      </x:c>
    </x:row>
    <x:row r="23" ht="15.75" customHeight="1">
      <x:c r="A23" t="str">
        <x:v>RVX-00006</x:v>
      </x:c>
      <x:c r="B23" t="n">
        <x:v>2</x:v>
      </x:c>
      <x:c r="C23" s="15" t="n">
        <x:v>46174</x:v>
      </x:c>
      <x:c r="D23" t="str">
        <x:v>Session 2</x:v>
      </x:c>
      <x:c r="E23" t="str">
        <x:v>Performance Lab</x:v>
      </x:c>
      <x:c r="F23" t="str"/>
    </x:row>
    <x:row r="24" ht="15.75" customHeight="1">
      <x:c r="A24" t="str">
        <x:v>RVX-00006</x:v>
      </x:c>
      <x:c r="B24" t="n">
        <x:v>3</x:v>
      </x:c>
      <x:c r="C24" s="15" t="n">
        <x:v>46202</x:v>
      </x:c>
      <x:c r="D24" t="str">
        <x:v>Session 3</x:v>
      </x:c>
      <x:c r="E24" t="str">
        <x:v>Performance Lab</x:v>
      </x:c>
      <x:c r="F24" t="str"/>
    </x:row>
    <x:row r="25" ht="15.75" customHeight="1">
      <x:c r="A25" t="str">
        <x:v>RVX-00006</x:v>
      </x:c>
      <x:c r="B25" t="n">
        <x:v>4</x:v>
      </x:c>
      <x:c r="C25" s="15" t="n">
        <x:v>46230</x:v>
      </x:c>
      <x:c r="D25" t="str">
        <x:v>Session 4</x:v>
      </x:c>
      <x:c r="E25" t="str">
        <x:v>Performance Lab</x:v>
      </x:c>
      <x:c r="F25" t="str">
        <x:v>Retest</x:v>
      </x:c>
    </x:row>
    <x:row r="26" ht="15.75" customHeight="1">
      <x:c r="A26" t="str">
        <x:v>RVX-00007</x:v>
      </x:c>
      <x:c r="B26" t="n">
        <x:v>1</x:v>
      </x:c>
      <x:c r="C26" s="15" t="n">
        <x:v>46146</x:v>
      </x:c>
      <x:c r="D26" t="str">
        <x:v>Session 1</x:v>
      </x:c>
      <x:c r="E26" t="str">
        <x:v>Performance Lab</x:v>
      </x:c>
      <x:c r="F26" t="str">
        <x:v>Baseline</x:v>
      </x:c>
    </x:row>
    <x:row r="27" ht="15.75" customHeight="1">
      <x:c r="A27" t="str">
        <x:v>RVX-00007</x:v>
      </x:c>
      <x:c r="B27" t="n">
        <x:v>2</x:v>
      </x:c>
      <x:c r="C27" s="15" t="n">
        <x:v>46174</x:v>
      </x:c>
      <x:c r="D27" t="str">
        <x:v>Session 2</x:v>
      </x:c>
      <x:c r="E27" t="str">
        <x:v>Performance Lab</x:v>
      </x:c>
      <x:c r="F27" t="str"/>
    </x:row>
    <x:row r="28" ht="15.75" customHeight="1">
      <x:c r="A28" t="str">
        <x:v>RVX-00007</x:v>
      </x:c>
      <x:c r="B28" t="n">
        <x:v>3</x:v>
      </x:c>
      <x:c r="C28" s="15" t="n">
        <x:v>46202</x:v>
      </x:c>
      <x:c r="D28" t="str">
        <x:v>Session 3</x:v>
      </x:c>
      <x:c r="E28" t="str">
        <x:v>Performance Lab</x:v>
      </x:c>
      <x:c r="F28" t="str"/>
    </x:row>
    <x:row r="29" ht="15.75" customHeight="1">
      <x:c r="A29" t="str">
        <x:v>RVX-00007</x:v>
      </x:c>
      <x:c r="B29" t="n">
        <x:v>4</x:v>
      </x:c>
      <x:c r="C29" s="15" t="n">
        <x:v>46230</x:v>
      </x:c>
      <x:c r="D29" t="str">
        <x:v>Session 4</x:v>
      </x:c>
      <x:c r="E29" t="str">
        <x:v>Performance Lab</x:v>
      </x:c>
      <x:c r="F29" t="str">
        <x:v>Retest</x:v>
      </x:c>
    </x:row>
    <x:row r="30" ht="15.75" customHeight="1">
      <x:c r="A30" t="str">
        <x:v>RVX-00008</x:v>
      </x:c>
      <x:c r="B30" t="n">
        <x:v>1</x:v>
      </x:c>
      <x:c r="C30" s="15" t="n">
        <x:v>46146</x:v>
      </x:c>
      <x:c r="D30" t="str">
        <x:v>Session 1</x:v>
      </x:c>
      <x:c r="E30" t="str">
        <x:v>Performance Lab</x:v>
      </x:c>
      <x:c r="F30" t="str">
        <x:v>Baseline</x:v>
      </x:c>
    </x:row>
    <x:row r="31" ht="15.75" customHeight="1">
      <x:c r="A31" t="str">
        <x:v>RVX-00008</x:v>
      </x:c>
      <x:c r="B31" t="n">
        <x:v>2</x:v>
      </x:c>
      <x:c r="C31" s="15" t="n">
        <x:v>46174</x:v>
      </x:c>
      <x:c r="D31" t="str">
        <x:v>Session 2</x:v>
      </x:c>
      <x:c r="E31" t="str">
        <x:v>Performance Lab</x:v>
      </x:c>
      <x:c r="F31" t="str"/>
    </x:row>
    <x:row r="32" ht="15.75" customHeight="1">
      <x:c r="A32" t="str">
        <x:v>RVX-00008</x:v>
      </x:c>
      <x:c r="B32" t="n">
        <x:v>3</x:v>
      </x:c>
      <x:c r="C32" s="15" t="n">
        <x:v>46202</x:v>
      </x:c>
      <x:c r="D32" t="str">
        <x:v>Session 3</x:v>
      </x:c>
      <x:c r="E32" t="str">
        <x:v>Performance Lab</x:v>
      </x:c>
      <x:c r="F32" t="str"/>
    </x:row>
    <x:row r="33" ht="15.75" customHeight="1">
      <x:c r="A33" t="str">
        <x:v>RVX-00008</x:v>
      </x:c>
      <x:c r="B33" t="n">
        <x:v>4</x:v>
      </x:c>
      <x:c r="C33" s="15" t="n">
        <x:v>46230</x:v>
      </x:c>
      <x:c r="D33" t="str">
        <x:v>Session 4</x:v>
      </x:c>
      <x:c r="E33" t="str">
        <x:v>Performance Lab</x:v>
      </x:c>
      <x:c r="F33" t="str">
        <x:v>Retest</x:v>
      </x:c>
    </x:row>
    <x:row r="34" ht="15.75" customHeight="1">
      <x:c r="A34" t="str">
        <x:v>RVX-00009</x:v>
      </x:c>
      <x:c r="B34" t="n">
        <x:v>1</x:v>
      </x:c>
      <x:c r="C34" s="15" t="n">
        <x:v>46146</x:v>
      </x:c>
      <x:c r="D34" t="str">
        <x:v>Session 1</x:v>
      </x:c>
      <x:c r="E34" t="str">
        <x:v>Performance Lab</x:v>
      </x:c>
      <x:c r="F34" t="str">
        <x:v>Baseline</x:v>
      </x:c>
    </x:row>
    <x:row r="35" ht="15.75" customHeight="1">
      <x:c r="A35" t="str">
        <x:v>RVX-00009</x:v>
      </x:c>
      <x:c r="B35" t="n">
        <x:v>2</x:v>
      </x:c>
      <x:c r="C35" s="15" t="n">
        <x:v>46174</x:v>
      </x:c>
      <x:c r="D35" t="str">
        <x:v>Session 2</x:v>
      </x:c>
      <x:c r="E35" t="str">
        <x:v>Performance Lab</x:v>
      </x:c>
      <x:c r="F35" t="str"/>
    </x:row>
    <x:row r="36" ht="15.75" customHeight="1">
      <x:c r="A36" t="str">
        <x:v>RVX-00009</x:v>
      </x:c>
      <x:c r="B36" t="n">
        <x:v>3</x:v>
      </x:c>
      <x:c r="C36" s="15" t="n">
        <x:v>46202</x:v>
      </x:c>
      <x:c r="D36" t="str">
        <x:v>Session 3</x:v>
      </x:c>
      <x:c r="E36" t="str">
        <x:v>Performance Lab</x:v>
      </x:c>
      <x:c r="F36" t="str"/>
    </x:row>
    <x:row r="37" ht="15.75" customHeight="1">
      <x:c r="A37" t="str">
        <x:v>RVX-00009</x:v>
      </x:c>
      <x:c r="B37" t="n">
        <x:v>4</x:v>
      </x:c>
      <x:c r="C37" s="15" t="n">
        <x:v>46230</x:v>
      </x:c>
      <x:c r="D37" t="str">
        <x:v>Session 4</x:v>
      </x:c>
      <x:c r="E37" t="str">
        <x:v>Performance Lab</x:v>
      </x:c>
      <x:c r="F37" t="str">
        <x:v>Retest</x:v>
      </x:c>
    </x:row>
    <x:row r="38" ht="15.75" customHeight="1">
      <x:c r="A38" t="str">
        <x:v>RVX-00010</x:v>
      </x:c>
      <x:c r="B38" t="n">
        <x:v>1</x:v>
      </x:c>
      <x:c r="C38" s="15" t="n">
        <x:v>46146</x:v>
      </x:c>
      <x:c r="D38" t="str">
        <x:v>Session 1</x:v>
      </x:c>
      <x:c r="E38" t="str">
        <x:v>Performance Lab</x:v>
      </x:c>
      <x:c r="F38" t="str">
        <x:v>Baseline</x:v>
      </x:c>
    </x:row>
    <x:row r="39" ht="15.75" customHeight="1">
      <x:c r="A39" t="str">
        <x:v>RVX-00010</x:v>
      </x:c>
      <x:c r="B39" t="n">
        <x:v>2</x:v>
      </x:c>
      <x:c r="C39" s="15" t="n">
        <x:v>46174</x:v>
      </x:c>
      <x:c r="D39" t="str">
        <x:v>Session 2</x:v>
      </x:c>
      <x:c r="E39" t="str">
        <x:v>Performance Lab</x:v>
      </x:c>
      <x:c r="F39" t="str"/>
    </x:row>
    <x:row r="40" ht="15.75" customHeight="1">
      <x:c r="A40" t="str">
        <x:v>RVX-00010</x:v>
      </x:c>
      <x:c r="B40" t="n">
        <x:v>3</x:v>
      </x:c>
      <x:c r="C40" s="15" t="n">
        <x:v>46202</x:v>
      </x:c>
      <x:c r="D40" t="str">
        <x:v>Session 3</x:v>
      </x:c>
      <x:c r="E40" t="str">
        <x:v>Performance Lab</x:v>
      </x:c>
      <x:c r="F40" t="str"/>
    </x:row>
    <x:row r="41" ht="15.75" customHeight="1">
      <x:c r="A41" t="str">
        <x:v>RVX-00010</x:v>
      </x:c>
      <x:c r="B41" t="n">
        <x:v>4</x:v>
      </x:c>
      <x:c r="C41" s="15" t="n">
        <x:v>46230</x:v>
      </x:c>
      <x:c r="D41" t="str">
        <x:v>Session 4</x:v>
      </x:c>
      <x:c r="E41" t="str">
        <x:v>Performance Lab</x:v>
      </x:c>
      <x:c r="F41" t="str">
        <x:v>Retest</x:v>
      </x:c>
    </x:row>
    <x:row r="42" ht="15.75" customHeight="1">
      <x:c r="A42" t="str">
        <x:v>RVX-00011</x:v>
      </x:c>
      <x:c r="B42" t="n">
        <x:v>1</x:v>
      </x:c>
      <x:c r="C42" s="15" t="n">
        <x:v>46146</x:v>
      </x:c>
      <x:c r="D42" t="str">
        <x:v>Session 1</x:v>
      </x:c>
      <x:c r="E42" t="str">
        <x:v>Performance Lab</x:v>
      </x:c>
      <x:c r="F42" t="str">
        <x:v>Baseline</x:v>
      </x:c>
    </x:row>
    <x:row r="43" ht="15.75" customHeight="1">
      <x:c r="A43" t="str">
        <x:v>RVX-00011</x:v>
      </x:c>
      <x:c r="B43" t="n">
        <x:v>2</x:v>
      </x:c>
      <x:c r="C43" s="15" t="n">
        <x:v>46174</x:v>
      </x:c>
      <x:c r="D43" t="str">
        <x:v>Session 2</x:v>
      </x:c>
      <x:c r="E43" t="str">
        <x:v>Performance Lab</x:v>
      </x:c>
      <x:c r="F43" t="str"/>
    </x:row>
    <x:row r="44" ht="15.75" customHeight="1">
      <x:c r="A44" t="str">
        <x:v>RVX-00011</x:v>
      </x:c>
      <x:c r="B44" t="n">
        <x:v>3</x:v>
      </x:c>
      <x:c r="C44" s="15" t="n">
        <x:v>46202</x:v>
      </x:c>
      <x:c r="D44" t="str">
        <x:v>Session 3</x:v>
      </x:c>
      <x:c r="E44" t="str">
        <x:v>Performance Lab</x:v>
      </x:c>
      <x:c r="F44" t="str"/>
    </x:row>
    <x:row r="45" ht="15.75" customHeight="1">
      <x:c r="A45" t="str">
        <x:v>RVX-00011</x:v>
      </x:c>
      <x:c r="B45" t="n">
        <x:v>4</x:v>
      </x:c>
      <x:c r="C45" s="15" t="n">
        <x:v>46230</x:v>
      </x:c>
      <x:c r="D45" t="str">
        <x:v>Session 4</x:v>
      </x:c>
      <x:c r="E45" t="str">
        <x:v>Performance Lab</x:v>
      </x:c>
      <x:c r="F45" t="str">
        <x:v>Retest</x:v>
      </x:c>
    </x:row>
    <x:row r="46" ht="15.75" customHeight="1">
      <x:c r="A46" t="str">
        <x:v>RVX-00012</x:v>
      </x:c>
      <x:c r="B46" t="n">
        <x:v>1</x:v>
      </x:c>
      <x:c r="C46" s="15" t="n">
        <x:v>46146</x:v>
      </x:c>
      <x:c r="D46" t="str">
        <x:v>Session 1</x:v>
      </x:c>
      <x:c r="E46" t="str">
        <x:v>Performance Lab</x:v>
      </x:c>
      <x:c r="F46" t="str">
        <x:v>Baseline</x:v>
      </x:c>
    </x:row>
    <x:row r="47" ht="15.75" customHeight="1">
      <x:c r="A47" t="str">
        <x:v>RVX-00012</x:v>
      </x:c>
      <x:c r="B47" t="n">
        <x:v>2</x:v>
      </x:c>
      <x:c r="C47" s="15" t="n">
        <x:v>46174</x:v>
      </x:c>
      <x:c r="D47" t="str">
        <x:v>Session 2</x:v>
      </x:c>
      <x:c r="E47" t="str">
        <x:v>Performance Lab</x:v>
      </x:c>
      <x:c r="F47" t="str"/>
    </x:row>
    <x:row r="48" ht="15.75" customHeight="1">
      <x:c r="A48" t="str">
        <x:v>RVX-00012</x:v>
      </x:c>
      <x:c r="B48" t="n">
        <x:v>3</x:v>
      </x:c>
      <x:c r="C48" s="15" t="n">
        <x:v>46202</x:v>
      </x:c>
      <x:c r="D48" t="str">
        <x:v>Session 3</x:v>
      </x:c>
      <x:c r="E48" t="str">
        <x:v>Performance Lab</x:v>
      </x:c>
      <x:c r="F48" t="str"/>
    </x:row>
    <x:row r="49" ht="15.75" customHeight="1">
      <x:c r="A49" t="str">
        <x:v>RVX-00012</x:v>
      </x:c>
      <x:c r="B49" t="n">
        <x:v>4</x:v>
      </x:c>
      <x:c r="C49" s="15" t="n">
        <x:v>46230</x:v>
      </x:c>
      <x:c r="D49" t="str">
        <x:v>Session 4</x:v>
      </x:c>
      <x:c r="E49" t="str">
        <x:v>Performance Lab</x:v>
      </x:c>
      <x:c r="F49" t="str">
        <x:v>Retest</x:v>
      </x:c>
    </x:row>
    <x:row r="50" ht="15.75" customHeight="1">
      <x:c r="A50" t="str">
        <x:v>RVX-00013</x:v>
      </x:c>
      <x:c r="B50" t="n">
        <x:v>1</x:v>
      </x:c>
      <x:c r="C50" s="15" t="n">
        <x:v>46146</x:v>
      </x:c>
      <x:c r="D50" t="str">
        <x:v>Session 1</x:v>
      </x:c>
      <x:c r="E50" t="str">
        <x:v>Performance Lab</x:v>
      </x:c>
      <x:c r="F50" t="str">
        <x:v>Baseline</x:v>
      </x:c>
    </x:row>
    <x:row r="51" ht="15.75" customHeight="1">
      <x:c r="A51" t="str">
        <x:v>RVX-00013</x:v>
      </x:c>
      <x:c r="B51" t="n">
        <x:v>2</x:v>
      </x:c>
      <x:c r="C51" s="15" t="n">
        <x:v>46174</x:v>
      </x:c>
      <x:c r="D51" t="str">
        <x:v>Session 2</x:v>
      </x:c>
      <x:c r="E51" t="str">
        <x:v>Performance Lab</x:v>
      </x:c>
      <x:c r="F51" t="str"/>
    </x:row>
    <x:row r="52" ht="15.75" customHeight="1">
      <x:c r="A52" t="str">
        <x:v>RVX-00013</x:v>
      </x:c>
      <x:c r="B52" t="n">
        <x:v>3</x:v>
      </x:c>
      <x:c r="C52" s="15" t="n">
        <x:v>46202</x:v>
      </x:c>
      <x:c r="D52" t="str">
        <x:v>Session 3</x:v>
      </x:c>
      <x:c r="E52" t="str">
        <x:v>Performance Lab</x:v>
      </x:c>
      <x:c r="F52" t="str"/>
    </x:row>
    <x:row r="53" ht="15.75" customHeight="1">
      <x:c r="A53" t="str">
        <x:v>RVX-00013</x:v>
      </x:c>
      <x:c r="B53" t="n">
        <x:v>4</x:v>
      </x:c>
      <x:c r="C53" s="15" t="n">
        <x:v>46230</x:v>
      </x:c>
      <x:c r="D53" t="str">
        <x:v>Session 4</x:v>
      </x:c>
      <x:c r="E53" t="str">
        <x:v>Performance Lab</x:v>
      </x:c>
      <x:c r="F53" t="str">
        <x:v>Retest</x:v>
      </x:c>
    </x:row>
    <x:row r="54" ht="15.75" customHeight="1">
      <x:c r="A54" t="str">
        <x:v>RVX-00014</x:v>
      </x:c>
      <x:c r="B54" t="n">
        <x:v>1</x:v>
      </x:c>
      <x:c r="C54" s="15" t="n">
        <x:v>46146</x:v>
      </x:c>
      <x:c r="D54" t="str">
        <x:v>Session 1</x:v>
      </x:c>
      <x:c r="E54" t="str">
        <x:v>Performance Lab</x:v>
      </x:c>
      <x:c r="F54" t="str">
        <x:v>Baseline</x:v>
      </x:c>
    </x:row>
    <x:row r="55" ht="15.75" customHeight="1">
      <x:c r="A55" t="str">
        <x:v>RVX-00014</x:v>
      </x:c>
      <x:c r="B55" t="n">
        <x:v>2</x:v>
      </x:c>
      <x:c r="C55" s="15" t="n">
        <x:v>46174</x:v>
      </x:c>
      <x:c r="D55" t="str">
        <x:v>Session 2</x:v>
      </x:c>
      <x:c r="E55" t="str">
        <x:v>Performance Lab</x:v>
      </x:c>
      <x:c r="F55" t="str"/>
    </x:row>
    <x:row r="56" ht="15.75" customHeight="1">
      <x:c r="A56" t="str">
        <x:v>RVX-00014</x:v>
      </x:c>
      <x:c r="B56" t="n">
        <x:v>3</x:v>
      </x:c>
      <x:c r="C56" s="15" t="n">
        <x:v>46202</x:v>
      </x:c>
      <x:c r="D56" t="str">
        <x:v>Session 3</x:v>
      </x:c>
      <x:c r="E56" t="str">
        <x:v>Performance Lab</x:v>
      </x:c>
      <x:c r="F56" t="str"/>
    </x:row>
    <x:row r="57" ht="15.75" customHeight="1">
      <x:c r="A57" t="str">
        <x:v>RVX-00014</x:v>
      </x:c>
      <x:c r="B57" t="n">
        <x:v>4</x:v>
      </x:c>
      <x:c r="C57" s="15" t="n">
        <x:v>46230</x:v>
      </x:c>
      <x:c r="D57" t="str">
        <x:v>Session 4</x:v>
      </x:c>
      <x:c r="E57" t="str">
        <x:v>Performance Lab</x:v>
      </x:c>
      <x:c r="F57" t="str">
        <x:v>Retest</x:v>
      </x:c>
    </x:row>
    <x:row r="58" ht="15.75" customHeight="1">
      <x:c r="A58" t="str">
        <x:v>RVX-00015</x:v>
      </x:c>
      <x:c r="B58" t="n">
        <x:v>1</x:v>
      </x:c>
      <x:c r="C58" s="15" t="n">
        <x:v>46146</x:v>
      </x:c>
      <x:c r="D58" t="str">
        <x:v>Session 1</x:v>
      </x:c>
      <x:c r="E58" t="str">
        <x:v>Performance Lab</x:v>
      </x:c>
      <x:c r="F58" t="str">
        <x:v>Baseline</x:v>
      </x:c>
    </x:row>
    <x:row r="59" ht="15.75" customHeight="1">
      <x:c r="A59" t="str">
        <x:v>RVX-00015</x:v>
      </x:c>
      <x:c r="B59" t="n">
        <x:v>2</x:v>
      </x:c>
      <x:c r="C59" s="15" t="n">
        <x:v>46174</x:v>
      </x:c>
      <x:c r="D59" t="str">
        <x:v>Session 2</x:v>
      </x:c>
      <x:c r="E59" t="str">
        <x:v>Performance Lab</x:v>
      </x:c>
      <x:c r="F59" t="str"/>
    </x:row>
    <x:row r="60" ht="15.75" customHeight="1">
      <x:c r="A60" t="str">
        <x:v>RVX-00015</x:v>
      </x:c>
      <x:c r="B60" t="n">
        <x:v>3</x:v>
      </x:c>
      <x:c r="C60" s="15" t="n">
        <x:v>46202</x:v>
      </x:c>
      <x:c r="D60" t="str">
        <x:v>Session 3</x:v>
      </x:c>
      <x:c r="E60" t="str">
        <x:v>Performance Lab</x:v>
      </x:c>
      <x:c r="F60" t="str"/>
    </x:row>
    <x:row r="61" ht="15.75" customHeight="1">
      <x:c r="A61" t="str">
        <x:v>RVX-00015</x:v>
      </x:c>
      <x:c r="B61" t="n">
        <x:v>4</x:v>
      </x:c>
      <x:c r="C61" s="15" t="n">
        <x:v>46230</x:v>
      </x:c>
      <x:c r="D61" t="str">
        <x:v>Session 4</x:v>
      </x:c>
      <x:c r="E61" t="str">
        <x:v>Performance Lab</x:v>
      </x:c>
      <x:c r="F61" t="str">
        <x:v>Retest</x:v>
      </x:c>
    </x:row>
    <x:row r="62" ht="15.75" customHeight="1">
      <x:c r="A62" t="str">
        <x:v>RVX-00016</x:v>
      </x:c>
      <x:c r="B62" t="n">
        <x:v>1</x:v>
      </x:c>
      <x:c r="C62" s="15" t="n">
        <x:v>46146</x:v>
      </x:c>
      <x:c r="D62" t="str">
        <x:v>Session 1</x:v>
      </x:c>
      <x:c r="E62" t="str">
        <x:v>Performance Lab</x:v>
      </x:c>
      <x:c r="F62" t="str">
        <x:v>Baseline</x:v>
      </x:c>
    </x:row>
    <x:row r="63" ht="15.75" customHeight="1">
      <x:c r="A63" t="str">
        <x:v>RVX-00016</x:v>
      </x:c>
      <x:c r="B63" t="n">
        <x:v>2</x:v>
      </x:c>
      <x:c r="C63" s="15" t="n">
        <x:v>46174</x:v>
      </x:c>
      <x:c r="D63" t="str">
        <x:v>Session 2</x:v>
      </x:c>
      <x:c r="E63" t="str">
        <x:v>Performance Lab</x:v>
      </x:c>
      <x:c r="F63" t="str"/>
    </x:row>
    <x:row r="64" ht="15.75" customHeight="1">
      <x:c r="A64" t="str">
        <x:v>RVX-00016</x:v>
      </x:c>
      <x:c r="B64" t="n">
        <x:v>3</x:v>
      </x:c>
      <x:c r="C64" s="15" t="n">
        <x:v>46202</x:v>
      </x:c>
      <x:c r="D64" t="str">
        <x:v>Session 3</x:v>
      </x:c>
      <x:c r="E64" t="str">
        <x:v>Performance Lab</x:v>
      </x:c>
      <x:c r="F64" t="str"/>
    </x:row>
    <x:row r="65" ht="15.75" customHeight="1">
      <x:c r="A65" t="str">
        <x:v>RVX-00016</x:v>
      </x:c>
      <x:c r="B65" t="n">
        <x:v>4</x:v>
      </x:c>
      <x:c r="C65" s="15" t="n">
        <x:v>46230</x:v>
      </x:c>
      <x:c r="D65" t="str">
        <x:v>Session 4</x:v>
      </x:c>
      <x:c r="E65" t="str">
        <x:v>Performance Lab</x:v>
      </x:c>
      <x:c r="F65" t="str">
        <x:v>Retest</x:v>
      </x:c>
    </x:row>
    <x:row r="66" ht="15.75" customHeight="1">
      <x:c r="A66" t="str">
        <x:v>RVX-00017</x:v>
      </x:c>
      <x:c r="B66" t="n">
        <x:v>1</x:v>
      </x:c>
      <x:c r="C66" s="15" t="n">
        <x:v>46146</x:v>
      </x:c>
      <x:c r="D66" t="str">
        <x:v>Session 1</x:v>
      </x:c>
      <x:c r="E66" t="str">
        <x:v>Performance Lab</x:v>
      </x:c>
      <x:c r="F66" t="str">
        <x:v>Baseline</x:v>
      </x:c>
    </x:row>
    <x:row r="67" ht="15.75" customHeight="1">
      <x:c r="A67" t="str">
        <x:v>RVX-00017</x:v>
      </x:c>
      <x:c r="B67" t="n">
        <x:v>2</x:v>
      </x:c>
      <x:c r="C67" s="15" t="n">
        <x:v>46174</x:v>
      </x:c>
      <x:c r="D67" t="str">
        <x:v>Session 2</x:v>
      </x:c>
      <x:c r="E67" t="str">
        <x:v>Performance Lab</x:v>
      </x:c>
      <x:c r="F67" t="str"/>
    </x:row>
    <x:row r="68" ht="15.75" customHeight="1">
      <x:c r="A68" t="str">
        <x:v>RVX-00017</x:v>
      </x:c>
      <x:c r="B68" t="n">
        <x:v>3</x:v>
      </x:c>
      <x:c r="C68" s="15" t="n">
        <x:v>46202</x:v>
      </x:c>
      <x:c r="D68" t="str">
        <x:v>Session 3</x:v>
      </x:c>
      <x:c r="E68" t="str">
        <x:v>Performance Lab</x:v>
      </x:c>
      <x:c r="F68" t="str"/>
    </x:row>
    <x:row r="69" ht="15.75" customHeight="1">
      <x:c r="A69" t="str">
        <x:v>RVX-00017</x:v>
      </x:c>
      <x:c r="B69" t="n">
        <x:v>4</x:v>
      </x:c>
      <x:c r="C69" s="15" t="n">
        <x:v>46230</x:v>
      </x:c>
      <x:c r="D69" t="str">
        <x:v>Session 4</x:v>
      </x:c>
      <x:c r="E69" t="str">
        <x:v>Performance Lab</x:v>
      </x:c>
      <x:c r="F69" t="str">
        <x:v>Retest</x:v>
      </x:c>
    </x:row>
    <x:row r="70" ht="15.75" customHeight="1">
      <x:c r="A70" t="str">
        <x:v>RVX-00018</x:v>
      </x:c>
      <x:c r="B70" t="n">
        <x:v>1</x:v>
      </x:c>
      <x:c r="C70" s="15" t="n">
        <x:v>46146</x:v>
      </x:c>
      <x:c r="D70" t="str">
        <x:v>Session 1</x:v>
      </x:c>
      <x:c r="E70" t="str">
        <x:v>Performance Lab</x:v>
      </x:c>
      <x:c r="F70" t="str">
        <x:v>Baseline</x:v>
      </x:c>
    </x:row>
    <x:row r="71" ht="15.75" customHeight="1">
      <x:c r="A71" t="str">
        <x:v>RVX-00018</x:v>
      </x:c>
      <x:c r="B71" t="n">
        <x:v>2</x:v>
      </x:c>
      <x:c r="C71" s="15" t="n">
        <x:v>46174</x:v>
      </x:c>
      <x:c r="D71" t="str">
        <x:v>Session 2</x:v>
      </x:c>
      <x:c r="E71" t="str">
        <x:v>Performance Lab</x:v>
      </x:c>
      <x:c r="F71" t="str"/>
    </x:row>
    <x:row r="72" ht="15.75" customHeight="1">
      <x:c r="A72" t="str">
        <x:v>RVX-00018</x:v>
      </x:c>
      <x:c r="B72" t="n">
        <x:v>3</x:v>
      </x:c>
      <x:c r="C72" s="15" t="n">
        <x:v>46202</x:v>
      </x:c>
      <x:c r="D72" t="str">
        <x:v>Session 3</x:v>
      </x:c>
      <x:c r="E72" t="str">
        <x:v>Performance Lab</x:v>
      </x:c>
      <x:c r="F72" t="str"/>
    </x:row>
    <x:row r="73" ht="15.75" customHeight="1">
      <x:c r="A73" t="str">
        <x:v>RVX-00018</x:v>
      </x:c>
      <x:c r="B73" t="n">
        <x:v>4</x:v>
      </x:c>
      <x:c r="C73" s="15" t="n">
        <x:v>46230</x:v>
      </x:c>
      <x:c r="D73" t="str">
        <x:v>Session 4</x:v>
      </x:c>
      <x:c r="E73" t="str">
        <x:v>Performance Lab</x:v>
      </x:c>
      <x:c r="F73" t="str">
        <x:v>Retest</x:v>
      </x:c>
    </x:row>
    <x:row r="74" ht="15.75" customHeight="1">
      <x:c r="A74" t="str">
        <x:v>RVX-00019</x:v>
      </x:c>
      <x:c r="B74" t="n">
        <x:v>1</x:v>
      </x:c>
      <x:c r="C74" s="15" t="n">
        <x:v>46146</x:v>
      </x:c>
      <x:c r="D74" t="str">
        <x:v>Session 1</x:v>
      </x:c>
      <x:c r="E74" t="str">
        <x:v>Performance Lab</x:v>
      </x:c>
      <x:c r="F74" t="str">
        <x:v>Baseline</x:v>
      </x:c>
    </x:row>
    <x:row r="75" ht="15.75" customHeight="1">
      <x:c r="A75" t="str">
        <x:v>RVX-00019</x:v>
      </x:c>
      <x:c r="B75" t="n">
        <x:v>2</x:v>
      </x:c>
      <x:c r="C75" s="15" t="n">
        <x:v>46174</x:v>
      </x:c>
      <x:c r="D75" t="str">
        <x:v>Session 2</x:v>
      </x:c>
      <x:c r="E75" t="str">
        <x:v>Performance Lab</x:v>
      </x:c>
      <x:c r="F75" t="str"/>
    </x:row>
    <x:row r="76" ht="15.75" customHeight="1">
      <x:c r="A76" t="str">
        <x:v>RVX-00019</x:v>
      </x:c>
      <x:c r="B76" t="n">
        <x:v>3</x:v>
      </x:c>
      <x:c r="C76" s="15" t="n">
        <x:v>46202</x:v>
      </x:c>
      <x:c r="D76" t="str">
        <x:v>Session 3</x:v>
      </x:c>
      <x:c r="E76" t="str">
        <x:v>Performance Lab</x:v>
      </x:c>
      <x:c r="F76" t="str"/>
    </x:row>
    <x:row r="77" ht="15.75" customHeight="1">
      <x:c r="A77" t="str">
        <x:v>RVX-00019</x:v>
      </x:c>
      <x:c r="B77" t="n">
        <x:v>4</x:v>
      </x:c>
      <x:c r="C77" s="15" t="n">
        <x:v>46230</x:v>
      </x:c>
      <x:c r="D77" t="str">
        <x:v>Session 4</x:v>
      </x:c>
      <x:c r="E77" t="str">
        <x:v>Performance Lab</x:v>
      </x:c>
      <x:c r="F77" t="str">
        <x:v>Retest</x:v>
      </x:c>
    </x:row>
    <x:row r="78" ht="15.75" customHeight="1">
      <x:c r="A78" t="str">
        <x:v>RVX-00020</x:v>
      </x:c>
      <x:c r="B78" t="n">
        <x:v>1</x:v>
      </x:c>
      <x:c r="C78" s="15" t="n">
        <x:v>46146</x:v>
      </x:c>
      <x:c r="D78" t="str">
        <x:v>Session 1</x:v>
      </x:c>
      <x:c r="E78" t="str">
        <x:v>Performance Lab</x:v>
      </x:c>
      <x:c r="F78" t="str">
        <x:v>Baseline</x:v>
      </x:c>
    </x:row>
    <x:row r="79" ht="15.75" customHeight="1">
      <x:c r="A79" t="str">
        <x:v>RVX-00020</x:v>
      </x:c>
      <x:c r="B79" t="n">
        <x:v>2</x:v>
      </x:c>
      <x:c r="C79" s="15" t="n">
        <x:v>46174</x:v>
      </x:c>
      <x:c r="D79" t="str">
        <x:v>Session 2</x:v>
      </x:c>
      <x:c r="E79" t="str">
        <x:v>Performance Lab</x:v>
      </x:c>
      <x:c r="F79" t="str"/>
    </x:row>
    <x:row r="80" ht="15.75" customHeight="1">
      <x:c r="A80" t="str">
        <x:v>RVX-00020</x:v>
      </x:c>
      <x:c r="B80" t="n">
        <x:v>3</x:v>
      </x:c>
      <x:c r="C80" s="15" t="n">
        <x:v>46202</x:v>
      </x:c>
      <x:c r="D80" t="str">
        <x:v>Session 3</x:v>
      </x:c>
      <x:c r="E80" t="str">
        <x:v>Performance Lab</x:v>
      </x:c>
      <x:c r="F80" t="str"/>
    </x:row>
    <x:row r="81" ht="15.75" customHeight="1">
      <x:c r="A81" t="str">
        <x:v>RVX-00020</x:v>
      </x:c>
      <x:c r="B81" t="n">
        <x:v>4</x:v>
      </x:c>
      <x:c r="C81" s="15" t="n">
        <x:v>46230</x:v>
      </x:c>
      <x:c r="D81" t="str">
        <x:v>Session 4</x:v>
      </x:c>
      <x:c r="E81" t="str">
        <x:v>Performance Lab</x:v>
      </x:c>
      <x:c r="F81" t="str">
        <x:v>Retest</x:v>
      </x:c>
    </x:row>
    <x:row r="82" ht="15.75" customHeight="1">
      <x:c r="A82" t="str">
        <x:v>RVX-00021</x:v>
      </x:c>
      <x:c r="B82" t="n">
        <x:v>1</x:v>
      </x:c>
      <x:c r="C82" s="15" t="n">
        <x:v>46146</x:v>
      </x:c>
      <x:c r="D82" t="str">
        <x:v>Session 1</x:v>
      </x:c>
      <x:c r="E82" t="str">
        <x:v>Performance Lab</x:v>
      </x:c>
      <x:c r="F82" t="str">
        <x:v>Baseline</x:v>
      </x:c>
    </x:row>
    <x:row r="83" ht="15.75" customHeight="1">
      <x:c r="A83" t="str">
        <x:v>RVX-00021</x:v>
      </x:c>
      <x:c r="B83" t="n">
        <x:v>2</x:v>
      </x:c>
      <x:c r="C83" s="15" t="n">
        <x:v>46174</x:v>
      </x:c>
      <x:c r="D83" t="str">
        <x:v>Session 2</x:v>
      </x:c>
      <x:c r="E83" t="str">
        <x:v>Performance Lab</x:v>
      </x:c>
      <x:c r="F83" t="str"/>
    </x:row>
    <x:row r="84" ht="15.75" customHeight="1">
      <x:c r="A84" t="str">
        <x:v>RVX-00021</x:v>
      </x:c>
      <x:c r="B84" t="n">
        <x:v>3</x:v>
      </x:c>
      <x:c r="C84" s="15" t="n">
        <x:v>46202</x:v>
      </x:c>
      <x:c r="D84" t="str">
        <x:v>Session 3</x:v>
      </x:c>
      <x:c r="E84" t="str">
        <x:v>Performance Lab</x:v>
      </x:c>
      <x:c r="F84" t="str"/>
    </x:row>
    <x:row r="85" ht="15.75" customHeight="1">
      <x:c r="A85" t="str">
        <x:v>RVX-00021</x:v>
      </x:c>
      <x:c r="B85" t="n">
        <x:v>4</x:v>
      </x:c>
      <x:c r="C85" s="15" t="n">
        <x:v>46230</x:v>
      </x:c>
      <x:c r="D85" t="str">
        <x:v>Session 4</x:v>
      </x:c>
      <x:c r="E85" t="str">
        <x:v>Performance Lab</x:v>
      </x:c>
      <x:c r="F85" t="str">
        <x:v>Retest</x:v>
      </x:c>
    </x:row>
    <x:row r="86" ht="15.75" customHeight="1">
      <x:c r="A86" t="str">
        <x:v>RVX-00022</x:v>
      </x:c>
      <x:c r="B86" t="n">
        <x:v>1</x:v>
      </x:c>
      <x:c r="C86" s="15" t="n">
        <x:v>46146</x:v>
      </x:c>
      <x:c r="D86" t="str">
        <x:v>Session 1</x:v>
      </x:c>
      <x:c r="E86" t="str">
        <x:v>Performance Lab</x:v>
      </x:c>
      <x:c r="F86" t="str">
        <x:v>Baseline</x:v>
      </x:c>
    </x:row>
    <x:row r="87" ht="15.75" customHeight="1">
      <x:c r="A87" t="str">
        <x:v>RVX-00022</x:v>
      </x:c>
      <x:c r="B87" t="n">
        <x:v>2</x:v>
      </x:c>
      <x:c r="C87" s="15" t="n">
        <x:v>46174</x:v>
      </x:c>
      <x:c r="D87" t="str">
        <x:v>Session 2</x:v>
      </x:c>
      <x:c r="E87" t="str">
        <x:v>Performance Lab</x:v>
      </x:c>
      <x:c r="F87" t="str"/>
    </x:row>
    <x:row r="88" ht="15.75" customHeight="1">
      <x:c r="A88" t="str">
        <x:v>RVX-00022</x:v>
      </x:c>
      <x:c r="B88" t="n">
        <x:v>3</x:v>
      </x:c>
      <x:c r="C88" s="15" t="n">
        <x:v>46202</x:v>
      </x:c>
      <x:c r="D88" t="str">
        <x:v>Session 3</x:v>
      </x:c>
      <x:c r="E88" t="str">
        <x:v>Performance Lab</x:v>
      </x:c>
      <x:c r="F88" t="str"/>
    </x:row>
    <x:row r="89" ht="15.75" customHeight="1">
      <x:c r="A89" t="str">
        <x:v>RVX-00022</x:v>
      </x:c>
      <x:c r="B89" t="n">
        <x:v>4</x:v>
      </x:c>
      <x:c r="C89" s="15" t="n">
        <x:v>46230</x:v>
      </x:c>
      <x:c r="D89" t="str">
        <x:v>Session 4</x:v>
      </x:c>
      <x:c r="E89" t="str">
        <x:v>Performance Lab</x:v>
      </x:c>
      <x:c r="F89" t="str">
        <x:v>Retest</x:v>
      </x:c>
    </x:row>
    <x:row r="90" ht="15.75" customHeight="1">
      <x:c r="A90" t="str">
        <x:v>RVX-00023</x:v>
      </x:c>
      <x:c r="B90" t="n">
        <x:v>1</x:v>
      </x:c>
      <x:c r="C90" s="15" t="n">
        <x:v>46146</x:v>
      </x:c>
      <x:c r="D90" t="str">
        <x:v>Session 1</x:v>
      </x:c>
      <x:c r="E90" t="str">
        <x:v>Performance Lab</x:v>
      </x:c>
      <x:c r="F90" t="str">
        <x:v>Baseline</x:v>
      </x:c>
    </x:row>
    <x:row r="91" ht="15.75" customHeight="1">
      <x:c r="A91" t="str">
        <x:v>RVX-00023</x:v>
      </x:c>
      <x:c r="B91" t="n">
        <x:v>2</x:v>
      </x:c>
      <x:c r="C91" s="15" t="n">
        <x:v>46174</x:v>
      </x:c>
      <x:c r="D91" t="str">
        <x:v>Session 2</x:v>
      </x:c>
      <x:c r="E91" t="str">
        <x:v>Performance Lab</x:v>
      </x:c>
      <x:c r="F91" t="str"/>
    </x:row>
    <x:row r="92" ht="15.75" customHeight="1">
      <x:c r="A92" t="str">
        <x:v>RVX-00023</x:v>
      </x:c>
      <x:c r="B92" t="n">
        <x:v>3</x:v>
      </x:c>
      <x:c r="C92" s="15" t="n">
        <x:v>46202</x:v>
      </x:c>
      <x:c r="D92" t="str">
        <x:v>Session 3</x:v>
      </x:c>
      <x:c r="E92" t="str">
        <x:v>Performance Lab</x:v>
      </x:c>
      <x:c r="F92" t="str"/>
    </x:row>
    <x:row r="93" ht="15.75" customHeight="1">
      <x:c r="A93" t="str">
        <x:v>RVX-00023</x:v>
      </x:c>
      <x:c r="B93" t="n">
        <x:v>4</x:v>
      </x:c>
      <x:c r="C93" s="15" t="n">
        <x:v>46230</x:v>
      </x:c>
      <x:c r="D93" t="str">
        <x:v>Session 4</x:v>
      </x:c>
      <x:c r="E93" t="str">
        <x:v>Performance Lab</x:v>
      </x:c>
      <x:c r="F93" t="str">
        <x:v>Retest</x:v>
      </x:c>
    </x:row>
    <x:row r="94" ht="15.75" customHeight="1">
      <x:c r="A94" t="str">
        <x:v>RVX-00024</x:v>
      </x:c>
      <x:c r="B94" t="n">
        <x:v>1</x:v>
      </x:c>
      <x:c r="C94" s="15" t="n">
        <x:v>46146</x:v>
      </x:c>
      <x:c r="D94" t="str">
        <x:v>Session 1</x:v>
      </x:c>
      <x:c r="E94" t="str">
        <x:v>Performance Lab</x:v>
      </x:c>
      <x:c r="F94" t="str">
        <x:v>Baseline</x:v>
      </x:c>
    </x:row>
    <x:row r="95" ht="15.75" customHeight="1">
      <x:c r="A95" t="str">
        <x:v>RVX-00024</x:v>
      </x:c>
      <x:c r="B95" t="n">
        <x:v>2</x:v>
      </x:c>
      <x:c r="C95" s="15" t="n">
        <x:v>46174</x:v>
      </x:c>
      <x:c r="D95" t="str">
        <x:v>Session 2</x:v>
      </x:c>
      <x:c r="E95" t="str">
        <x:v>Performance Lab</x:v>
      </x:c>
      <x:c r="F95" t="str"/>
    </x:row>
    <x:row r="96" ht="15.75" customHeight="1">
      <x:c r="A96" t="str">
        <x:v>RVX-00024</x:v>
      </x:c>
      <x:c r="B96" t="n">
        <x:v>3</x:v>
      </x:c>
      <x:c r="C96" s="15" t="n">
        <x:v>46202</x:v>
      </x:c>
      <x:c r="D96" t="str">
        <x:v>Session 3</x:v>
      </x:c>
      <x:c r="E96" t="str">
        <x:v>Performance Lab</x:v>
      </x:c>
      <x:c r="F96" t="str"/>
    </x:row>
    <x:row r="97" ht="15.75" customHeight="1">
      <x:c r="A97" t="str">
        <x:v>RVX-00024</x:v>
      </x:c>
      <x:c r="B97" t="n">
        <x:v>4</x:v>
      </x:c>
      <x:c r="C97" s="15" t="n">
        <x:v>46230</x:v>
      </x:c>
      <x:c r="D97" t="str">
        <x:v>Session 4</x:v>
      </x:c>
      <x:c r="E97" t="str">
        <x:v>Performance Lab</x:v>
      </x:c>
      <x:c r="F97" t="str">
        <x:v>Retest</x:v>
      </x:c>
    </x:row>
    <x:row r="98" ht="15.75" customHeight="1">
      <x:c r="A98" t="str">
        <x:v>RVX-00025</x:v>
      </x:c>
      <x:c r="B98" t="n">
        <x:v>1</x:v>
      </x:c>
      <x:c r="C98" s="15" t="n">
        <x:v>46146</x:v>
      </x:c>
      <x:c r="D98" t="str">
        <x:v>Session 1</x:v>
      </x:c>
      <x:c r="E98" t="str">
        <x:v>Performance Lab</x:v>
      </x:c>
      <x:c r="F98" t="str">
        <x:v>Baseline</x:v>
      </x:c>
    </x:row>
    <x:row r="99" ht="15.75" customHeight="1">
      <x:c r="A99" t="str">
        <x:v>RVX-00025</x:v>
      </x:c>
      <x:c r="B99" t="n">
        <x:v>2</x:v>
      </x:c>
      <x:c r="C99" s="15" t="n">
        <x:v>46174</x:v>
      </x:c>
      <x:c r="D99" t="str">
        <x:v>Session 2</x:v>
      </x:c>
      <x:c r="E99" t="str">
        <x:v>Performance Lab</x:v>
      </x:c>
      <x:c r="F99" t="str"/>
    </x:row>
    <x:row r="100" ht="15.75" customHeight="1">
      <x:c r="A100" t="str">
        <x:v>RVX-00025</x:v>
      </x:c>
      <x:c r="B100" t="n">
        <x:v>3</x:v>
      </x:c>
      <x:c r="C100" s="15" t="n">
        <x:v>46202</x:v>
      </x:c>
      <x:c r="D100" t="str">
        <x:v>Session 3</x:v>
      </x:c>
      <x:c r="E100" t="str">
        <x:v>Performance Lab</x:v>
      </x:c>
      <x:c r="F100" t="str"/>
    </x:row>
    <x:row r="101" ht="15.75" customHeight="1">
      <x:c r="A101" t="str">
        <x:v>RVX-00025</x:v>
      </x:c>
      <x:c r="B101" t="n">
        <x:v>4</x:v>
      </x:c>
      <x:c r="C101" s="15" t="n">
        <x:v>46230</x:v>
      </x:c>
      <x:c r="D101" t="str">
        <x:v>Session 4</x:v>
      </x:c>
      <x:c r="E101" t="str">
        <x:v>Performance Lab</x:v>
      </x:c>
      <x:c r="F101" t="str">
        <x:v>Retest</x:v>
      </x:c>
    </x:row>
    <x:row r="102" ht="15.75" customHeight="1">
      <x:c r="A102" t="str">
        <x:v>RVX-00026</x:v>
      </x:c>
      <x:c r="B102" t="n">
        <x:v>1</x:v>
      </x:c>
      <x:c r="C102" s="15" t="n">
        <x:v>46146</x:v>
      </x:c>
      <x:c r="D102" t="str">
        <x:v>Session 1</x:v>
      </x:c>
      <x:c r="E102" t="str">
        <x:v>Performance Lab</x:v>
      </x:c>
      <x:c r="F102" t="str">
        <x:v>Baseline</x:v>
      </x:c>
    </x:row>
    <x:row r="103" ht="15.75" customHeight="1">
      <x:c r="A103" t="str">
        <x:v>RVX-00026</x:v>
      </x:c>
      <x:c r="B103" t="n">
        <x:v>2</x:v>
      </x:c>
      <x:c r="C103" s="15" t="n">
        <x:v>46174</x:v>
      </x:c>
      <x:c r="D103" t="str">
        <x:v>Session 2</x:v>
      </x:c>
      <x:c r="E103" t="str">
        <x:v>Performance Lab</x:v>
      </x:c>
      <x:c r="F103" t="str"/>
    </x:row>
    <x:row r="104" ht="15.75" customHeight="1">
      <x:c r="A104" t="str">
        <x:v>RVX-00026</x:v>
      </x:c>
      <x:c r="B104" t="n">
        <x:v>3</x:v>
      </x:c>
      <x:c r="C104" s="15" t="n">
        <x:v>46202</x:v>
      </x:c>
      <x:c r="D104" t="str">
        <x:v>Session 3</x:v>
      </x:c>
      <x:c r="E104" t="str">
        <x:v>Performance Lab</x:v>
      </x:c>
      <x:c r="F104" t="str"/>
    </x:row>
    <x:row r="105" ht="15.75" customHeight="1">
      <x:c r="A105" t="str">
        <x:v>RVX-00026</x:v>
      </x:c>
      <x:c r="B105" t="n">
        <x:v>4</x:v>
      </x:c>
      <x:c r="C105" s="15" t="n">
        <x:v>46230</x:v>
      </x:c>
      <x:c r="D105" t="str">
        <x:v>Session 4</x:v>
      </x:c>
      <x:c r="E105" t="str">
        <x:v>Performance Lab</x:v>
      </x:c>
      <x:c r="F105" t="str">
        <x:v>Retest</x:v>
      </x:c>
    </x:row>
    <x:row r="106" ht="15.75" customHeight="1">
      <x:c r="A106" t="str">
        <x:v>RVX-00027</x:v>
      </x:c>
      <x:c r="B106" t="n">
        <x:v>1</x:v>
      </x:c>
      <x:c r="C106" s="15" t="n">
        <x:v>46146</x:v>
      </x:c>
      <x:c r="D106" t="str">
        <x:v>Session 1</x:v>
      </x:c>
      <x:c r="E106" t="str">
        <x:v>Performance Lab</x:v>
      </x:c>
      <x:c r="F106" t="str">
        <x:v>Baseline</x:v>
      </x:c>
    </x:row>
    <x:row r="107" ht="15.75" customHeight="1">
      <x:c r="A107" t="str">
        <x:v>RVX-00027</x:v>
      </x:c>
      <x:c r="B107" t="n">
        <x:v>2</x:v>
      </x:c>
      <x:c r="C107" s="15" t="n">
        <x:v>46174</x:v>
      </x:c>
      <x:c r="D107" t="str">
        <x:v>Session 2</x:v>
      </x:c>
      <x:c r="E107" t="str">
        <x:v>Performance Lab</x:v>
      </x:c>
      <x:c r="F107" t="str"/>
    </x:row>
    <x:row r="108" ht="15.75" customHeight="1">
      <x:c r="A108" t="str">
        <x:v>RVX-00027</x:v>
      </x:c>
      <x:c r="B108" t="n">
        <x:v>3</x:v>
      </x:c>
      <x:c r="C108" s="15" t="n">
        <x:v>46202</x:v>
      </x:c>
      <x:c r="D108" t="str">
        <x:v>Session 3</x:v>
      </x:c>
      <x:c r="E108" t="str">
        <x:v>Performance Lab</x:v>
      </x:c>
      <x:c r="F108" t="str"/>
    </x:row>
    <x:row r="109" ht="15.75" customHeight="1">
      <x:c r="A109" t="str">
        <x:v>RVX-00027</x:v>
      </x:c>
      <x:c r="B109" t="n">
        <x:v>4</x:v>
      </x:c>
      <x:c r="C109" s="15" t="n">
        <x:v>46230</x:v>
      </x:c>
      <x:c r="D109" t="str">
        <x:v>Session 4</x:v>
      </x:c>
      <x:c r="E109" t="str">
        <x:v>Performance Lab</x:v>
      </x:c>
      <x:c r="F109" t="str">
        <x:v>Retest</x:v>
      </x:c>
    </x:row>
    <x:row r="110" ht="15.75" customHeight="1">
      <x:c r="A110" t="str">
        <x:v>RVX-00028</x:v>
      </x:c>
      <x:c r="B110" t="n">
        <x:v>1</x:v>
      </x:c>
      <x:c r="C110" s="15" t="n">
        <x:v>46146</x:v>
      </x:c>
      <x:c r="D110" t="str">
        <x:v>Session 1</x:v>
      </x:c>
      <x:c r="E110" t="str">
        <x:v>Performance Lab</x:v>
      </x:c>
      <x:c r="F110" t="str">
        <x:v>Baseline</x:v>
      </x:c>
    </x:row>
    <x:row r="111" ht="15.75" customHeight="1">
      <x:c r="A111" t="str">
        <x:v>RVX-00028</x:v>
      </x:c>
      <x:c r="B111" t="n">
        <x:v>2</x:v>
      </x:c>
      <x:c r="C111" s="15" t="n">
        <x:v>46174</x:v>
      </x:c>
      <x:c r="D111" t="str">
        <x:v>Session 2</x:v>
      </x:c>
      <x:c r="E111" t="str">
        <x:v>Performance Lab</x:v>
      </x:c>
      <x:c r="F111" t="str"/>
    </x:row>
    <x:row r="112" ht="15.75" customHeight="1">
      <x:c r="A112" t="str">
        <x:v>RVX-00028</x:v>
      </x:c>
      <x:c r="B112" t="n">
        <x:v>3</x:v>
      </x:c>
      <x:c r="C112" s="15" t="n">
        <x:v>46202</x:v>
      </x:c>
      <x:c r="D112" t="str">
        <x:v>Session 3</x:v>
      </x:c>
      <x:c r="E112" t="str">
        <x:v>Performance Lab</x:v>
      </x:c>
      <x:c r="F112" t="str"/>
    </x:row>
    <x:row r="113" ht="15.75" customHeight="1">
      <x:c r="A113" t="str">
        <x:v>RVX-00028</x:v>
      </x:c>
      <x:c r="B113" t="n">
        <x:v>4</x:v>
      </x:c>
      <x:c r="C113" s="15" t="n">
        <x:v>46230</x:v>
      </x:c>
      <x:c r="D113" t="str">
        <x:v>Session 4</x:v>
      </x:c>
      <x:c r="E113" t="str">
        <x:v>Performance Lab</x:v>
      </x:c>
      <x:c r="F113" t="str">
        <x:v>Retest</x:v>
      </x:c>
    </x:row>
    <x:row r="114" ht="15.75" customHeight="1">
      <x:c r="A114" t="str">
        <x:v>RVX-00029</x:v>
      </x:c>
      <x:c r="B114" t="n">
        <x:v>1</x:v>
      </x:c>
      <x:c r="C114" s="15" t="n">
        <x:v>46146</x:v>
      </x:c>
      <x:c r="D114" t="str">
        <x:v>Session 1</x:v>
      </x:c>
      <x:c r="E114" t="str">
        <x:v>Performance Lab</x:v>
      </x:c>
      <x:c r="F114" t="str">
        <x:v>Baseline</x:v>
      </x:c>
    </x:row>
    <x:row r="115" ht="15.75" customHeight="1">
      <x:c r="A115" t="str">
        <x:v>RVX-00029</x:v>
      </x:c>
      <x:c r="B115" t="n">
        <x:v>2</x:v>
      </x:c>
      <x:c r="C115" s="15" t="n">
        <x:v>46174</x:v>
      </x:c>
      <x:c r="D115" t="str">
        <x:v>Session 2</x:v>
      </x:c>
      <x:c r="E115" t="str">
        <x:v>Performance Lab</x:v>
      </x:c>
      <x:c r="F115" t="str"/>
    </x:row>
    <x:row r="116" ht="15.75" customHeight="1">
      <x:c r="A116" t="str">
        <x:v>RVX-00029</x:v>
      </x:c>
      <x:c r="B116" t="n">
        <x:v>3</x:v>
      </x:c>
      <x:c r="C116" s="15" t="n">
        <x:v>46202</x:v>
      </x:c>
      <x:c r="D116" t="str">
        <x:v>Session 3</x:v>
      </x:c>
      <x:c r="E116" t="str">
        <x:v>Performance Lab</x:v>
      </x:c>
      <x:c r="F116" t="str"/>
    </x:row>
    <x:row r="117" ht="15.75" customHeight="1">
      <x:c r="A117" t="str">
        <x:v>RVX-00029</x:v>
      </x:c>
      <x:c r="B117" t="n">
        <x:v>4</x:v>
      </x:c>
      <x:c r="C117" s="15" t="n">
        <x:v>46230</x:v>
      </x:c>
      <x:c r="D117" t="str">
        <x:v>Session 4</x:v>
      </x:c>
      <x:c r="E117" t="str">
        <x:v>Performance Lab</x:v>
      </x:c>
      <x:c r="F117" t="str">
        <x:v>Retest</x:v>
      </x:c>
    </x:row>
    <x:row r="118" ht="15.75" customHeight="1">
      <x:c r="A118" t="str">
        <x:v>RVX-00030</x:v>
      </x:c>
      <x:c r="B118" t="n">
        <x:v>1</x:v>
      </x:c>
      <x:c r="C118" s="15" t="n">
        <x:v>46146</x:v>
      </x:c>
      <x:c r="D118" t="str">
        <x:v>Session 1</x:v>
      </x:c>
      <x:c r="E118" t="str">
        <x:v>Performance Lab</x:v>
      </x:c>
      <x:c r="F118" t="str">
        <x:v>Baseline</x:v>
      </x:c>
    </x:row>
    <x:row r="119" ht="15.75" customHeight="1">
      <x:c r="A119" t="str">
        <x:v>RVX-00030</x:v>
      </x:c>
      <x:c r="B119" t="n">
        <x:v>2</x:v>
      </x:c>
      <x:c r="C119" s="15" t="n">
        <x:v>46174</x:v>
      </x:c>
      <x:c r="D119" t="str">
        <x:v>Session 2</x:v>
      </x:c>
      <x:c r="E119" t="str">
        <x:v>Performance Lab</x:v>
      </x:c>
      <x:c r="F119" t="str"/>
    </x:row>
    <x:row r="120" ht="15.75" customHeight="1">
      <x:c r="A120" t="str">
        <x:v>RVX-00030</x:v>
      </x:c>
      <x:c r="B120" t="n">
        <x:v>3</x:v>
      </x:c>
      <x:c r="C120" s="15" t="n">
        <x:v>46202</x:v>
      </x:c>
      <x:c r="D120" t="str">
        <x:v>Session 3</x:v>
      </x:c>
      <x:c r="E120" t="str">
        <x:v>Performance Lab</x:v>
      </x:c>
      <x:c r="F120" t="str"/>
    </x:row>
    <x:row r="121" ht="15.75" customHeight="1">
      <x:c r="A121" t="str">
        <x:v>RVX-00030</x:v>
      </x:c>
      <x:c r="B121" t="n">
        <x:v>4</x:v>
      </x:c>
      <x:c r="C121" s="15" t="n">
        <x:v>46230</x:v>
      </x:c>
      <x:c r="D121" t="str">
        <x:v>Session 4</x:v>
      </x:c>
      <x:c r="E121" t="str">
        <x:v>Performance Lab</x:v>
      </x:c>
      <x:c r="F121" t="str">
        <x:v>Retest</x:v>
      </x:c>
    </x:row>
    <x:row r="122" ht="15.75" customHeight="1">
      <x:c r="A122" t="str">
        <x:v>RVX-00031</x:v>
      </x:c>
      <x:c r="B122" t="n">
        <x:v>1</x:v>
      </x:c>
      <x:c r="C122" s="15" t="n">
        <x:v>46146</x:v>
      </x:c>
      <x:c r="D122" t="str">
        <x:v>Session 1</x:v>
      </x:c>
      <x:c r="E122" t="str">
        <x:v>Performance Lab</x:v>
      </x:c>
      <x:c r="F122" t="str">
        <x:v>Baseline</x:v>
      </x:c>
    </x:row>
    <x:row r="123" ht="15.75" customHeight="1">
      <x:c r="A123" t="str">
        <x:v>RVX-00031</x:v>
      </x:c>
      <x:c r="B123" t="n">
        <x:v>2</x:v>
      </x:c>
      <x:c r="C123" s="15" t="n">
        <x:v>46174</x:v>
      </x:c>
      <x:c r="D123" t="str">
        <x:v>Session 2</x:v>
      </x:c>
      <x:c r="E123" t="str">
        <x:v>Performance Lab</x:v>
      </x:c>
      <x:c r="F123" t="str"/>
    </x:row>
    <x:row r="124" ht="15.75" customHeight="1">
      <x:c r="A124" t="str">
        <x:v>RVX-00031</x:v>
      </x:c>
      <x:c r="B124" t="n">
        <x:v>3</x:v>
      </x:c>
      <x:c r="C124" s="15" t="n">
        <x:v>46202</x:v>
      </x:c>
      <x:c r="D124" t="str">
        <x:v>Session 3</x:v>
      </x:c>
      <x:c r="E124" t="str">
        <x:v>Performance Lab</x:v>
      </x:c>
      <x:c r="F124" t="str"/>
    </x:row>
    <x:row r="125" ht="15.75" customHeight="1">
      <x:c r="A125" t="str">
        <x:v>RVX-00031</x:v>
      </x:c>
      <x:c r="B125" t="n">
        <x:v>4</x:v>
      </x:c>
      <x:c r="C125" s="15" t="n">
        <x:v>46230</x:v>
      </x:c>
      <x:c r="D125" t="str">
        <x:v>Session 4</x:v>
      </x:c>
      <x:c r="E125" t="str">
        <x:v>Performance Lab</x:v>
      </x:c>
      <x:c r="F125" t="str">
        <x:v>Retest</x:v>
      </x:c>
    </x:row>
    <x:row r="126" ht="15.75" customHeight="1">
      <x:c r="A126" t="str">
        <x:v>RVX-00032</x:v>
      </x:c>
      <x:c r="B126" t="n">
        <x:v>1</x:v>
      </x:c>
      <x:c r="C126" s="15" t="n">
        <x:v>46146</x:v>
      </x:c>
      <x:c r="D126" t="str">
        <x:v>Session 1</x:v>
      </x:c>
      <x:c r="E126" t="str">
        <x:v>Performance Lab</x:v>
      </x:c>
      <x:c r="F126" t="str">
        <x:v>Baseline</x:v>
      </x:c>
    </x:row>
    <x:row r="127" ht="15.75" customHeight="1">
      <x:c r="A127" t="str">
        <x:v>RVX-00032</x:v>
      </x:c>
      <x:c r="B127" t="n">
        <x:v>2</x:v>
      </x:c>
      <x:c r="C127" s="15" t="n">
        <x:v>46174</x:v>
      </x:c>
      <x:c r="D127" t="str">
        <x:v>Session 2</x:v>
      </x:c>
      <x:c r="E127" t="str">
        <x:v>Performance Lab</x:v>
      </x:c>
      <x:c r="F127" t="str"/>
    </x:row>
    <x:row r="128" ht="15.75" customHeight="1">
      <x:c r="A128" t="str">
        <x:v>RVX-00032</x:v>
      </x:c>
      <x:c r="B128" t="n">
        <x:v>3</x:v>
      </x:c>
      <x:c r="C128" s="15" t="n">
        <x:v>46202</x:v>
      </x:c>
      <x:c r="D128" t="str">
        <x:v>Session 3</x:v>
      </x:c>
      <x:c r="E128" t="str">
        <x:v>Performance Lab</x:v>
      </x:c>
      <x:c r="F128" t="str"/>
    </x:row>
    <x:row r="129" ht="15.75" customHeight="1">
      <x:c r="A129" t="str">
        <x:v>RVX-00032</x:v>
      </x:c>
      <x:c r="B129" t="n">
        <x:v>4</x:v>
      </x:c>
      <x:c r="C129" s="15" t="n">
        <x:v>46230</x:v>
      </x:c>
      <x:c r="D129" t="str">
        <x:v>Session 4</x:v>
      </x:c>
      <x:c r="E129" t="str">
        <x:v>Performance Lab</x:v>
      </x:c>
      <x:c r="F129" t="str">
        <x:v>Retest</x:v>
      </x:c>
    </x:row>
    <x:row r="130" ht="15.75" customHeight="1">
      <x:c r="A130" t="str">
        <x:v>RVX-00033</x:v>
      </x:c>
      <x:c r="B130" t="n">
        <x:v>1</x:v>
      </x:c>
      <x:c r="C130" s="15" t="n">
        <x:v>46146</x:v>
      </x:c>
      <x:c r="D130" t="str">
        <x:v>Session 1</x:v>
      </x:c>
      <x:c r="E130" t="str">
        <x:v>Performance Lab</x:v>
      </x:c>
      <x:c r="F130" t="str">
        <x:v>Baseline</x:v>
      </x:c>
    </x:row>
    <x:row r="131" ht="15.75" customHeight="1">
      <x:c r="A131" t="str">
        <x:v>RVX-00033</x:v>
      </x:c>
      <x:c r="B131" t="n">
        <x:v>2</x:v>
      </x:c>
      <x:c r="C131" s="15" t="n">
        <x:v>46174</x:v>
      </x:c>
      <x:c r="D131" t="str">
        <x:v>Session 2</x:v>
      </x:c>
      <x:c r="E131" t="str">
        <x:v>Performance Lab</x:v>
      </x:c>
      <x:c r="F131" t="str"/>
    </x:row>
    <x:row r="132" ht="15.75" customHeight="1">
      <x:c r="A132" t="str">
        <x:v>RVX-00033</x:v>
      </x:c>
      <x:c r="B132" t="n">
        <x:v>3</x:v>
      </x:c>
      <x:c r="C132" s="15" t="n">
        <x:v>46202</x:v>
      </x:c>
      <x:c r="D132" t="str">
        <x:v>Session 3</x:v>
      </x:c>
      <x:c r="E132" t="str">
        <x:v>Performance Lab</x:v>
      </x:c>
      <x:c r="F132" t="str"/>
    </x:row>
    <x:row r="133" ht="15.75" customHeight="1">
      <x:c r="A133" t="str">
        <x:v>RVX-00033</x:v>
      </x:c>
      <x:c r="B133" t="n">
        <x:v>4</x:v>
      </x:c>
      <x:c r="C133" s="15" t="n">
        <x:v>46230</x:v>
      </x:c>
      <x:c r="D133" t="str">
        <x:v>Session 4</x:v>
      </x:c>
      <x:c r="E133" t="str">
        <x:v>Performance Lab</x:v>
      </x:c>
      <x:c r="F133" t="str">
        <x:v>Retest</x:v>
      </x:c>
    </x:row>
    <x:row r="134" ht="15.75" customHeight="1">
      <x:c r="A134" t="str">
        <x:v>RVX-00034</x:v>
      </x:c>
      <x:c r="B134" t="n">
        <x:v>1</x:v>
      </x:c>
      <x:c r="C134" s="15" t="n">
        <x:v>46146</x:v>
      </x:c>
      <x:c r="D134" t="str">
        <x:v>Session 1</x:v>
      </x:c>
      <x:c r="E134" t="str">
        <x:v>Performance Lab</x:v>
      </x:c>
      <x:c r="F134" t="str">
        <x:v>Baseline</x:v>
      </x:c>
    </x:row>
    <x:row r="135" ht="15.75" customHeight="1">
      <x:c r="A135" t="str">
        <x:v>RVX-00034</x:v>
      </x:c>
      <x:c r="B135" t="n">
        <x:v>2</x:v>
      </x:c>
      <x:c r="C135" s="15" t="n">
        <x:v>46174</x:v>
      </x:c>
      <x:c r="D135" t="str">
        <x:v>Session 2</x:v>
      </x:c>
      <x:c r="E135" t="str">
        <x:v>Performance Lab</x:v>
      </x:c>
      <x:c r="F135" t="str"/>
    </x:row>
    <x:row r="136" ht="15.75" customHeight="1">
      <x:c r="A136" t="str">
        <x:v>RVX-00034</x:v>
      </x:c>
      <x:c r="B136" t="n">
        <x:v>3</x:v>
      </x:c>
      <x:c r="C136" s="15" t="n">
        <x:v>46202</x:v>
      </x:c>
      <x:c r="D136" t="str">
        <x:v>Session 3</x:v>
      </x:c>
      <x:c r="E136" t="str">
        <x:v>Performance Lab</x:v>
      </x:c>
      <x:c r="F136" t="str"/>
    </x:row>
    <x:row r="137" ht="15.75" customHeight="1">
      <x:c r="A137" t="str">
        <x:v>RVX-00034</x:v>
      </x:c>
      <x:c r="B137" t="n">
        <x:v>4</x:v>
      </x:c>
      <x:c r="C137" s="15" t="n">
        <x:v>46230</x:v>
      </x:c>
      <x:c r="D137" t="str">
        <x:v>Session 4</x:v>
      </x:c>
      <x:c r="E137" t="str">
        <x:v>Performance Lab</x:v>
      </x:c>
      <x:c r="F137" t="str">
        <x:v>Retest</x:v>
      </x:c>
    </x:row>
    <x:row r="138" ht="15.75" customHeight="1">
      <x:c r="A138" t="str">
        <x:v>RVX-00035</x:v>
      </x:c>
      <x:c r="B138" t="n">
        <x:v>1</x:v>
      </x:c>
      <x:c r="C138" s="15" t="n">
        <x:v>46146</x:v>
      </x:c>
      <x:c r="D138" t="str">
        <x:v>Session 1</x:v>
      </x:c>
      <x:c r="E138" t="str">
        <x:v>Performance Lab</x:v>
      </x:c>
      <x:c r="F138" t="str">
        <x:v>Baseline</x:v>
      </x:c>
    </x:row>
    <x:row r="139" ht="15.75" customHeight="1">
      <x:c r="A139" t="str">
        <x:v>RVX-00035</x:v>
      </x:c>
      <x:c r="B139" t="n">
        <x:v>2</x:v>
      </x:c>
      <x:c r="C139" s="15" t="n">
        <x:v>46174</x:v>
      </x:c>
      <x:c r="D139" t="str">
        <x:v>Session 2</x:v>
      </x:c>
      <x:c r="E139" t="str">
        <x:v>Performance Lab</x:v>
      </x:c>
      <x:c r="F139" t="str"/>
    </x:row>
    <x:row r="140" ht="15.75" customHeight="1">
      <x:c r="A140" t="str">
        <x:v>RVX-00035</x:v>
      </x:c>
      <x:c r="B140" t="n">
        <x:v>3</x:v>
      </x:c>
      <x:c r="C140" s="15" t="n">
        <x:v>46202</x:v>
      </x:c>
      <x:c r="D140" t="str">
        <x:v>Session 3</x:v>
      </x:c>
      <x:c r="E140" t="str">
        <x:v>Performance Lab</x:v>
      </x:c>
      <x:c r="F140" t="str"/>
    </x:row>
    <x:row r="141" ht="15.75" customHeight="1">
      <x:c r="A141" t="str">
        <x:v>RVX-00035</x:v>
      </x:c>
      <x:c r="B141" t="n">
        <x:v>4</x:v>
      </x:c>
      <x:c r="C141" s="15" t="n">
        <x:v>46230</x:v>
      </x:c>
      <x:c r="D141" t="str">
        <x:v>Session 4</x:v>
      </x:c>
      <x:c r="E141" t="str">
        <x:v>Performance Lab</x:v>
      </x:c>
      <x:c r="F141" t="str">
        <x:v>Retest</x:v>
      </x:c>
    </x:row>
    <x:row r="142" ht="15.75" customHeight="1">
      <x:c r="A142" t="str">
        <x:v>RVX-00036</x:v>
      </x:c>
      <x:c r="B142" t="n">
        <x:v>1</x:v>
      </x:c>
      <x:c r="C142" s="15" t="n">
        <x:v>46146</x:v>
      </x:c>
      <x:c r="D142" t="str">
        <x:v>Session 1</x:v>
      </x:c>
      <x:c r="E142" t="str">
        <x:v>Performance Lab</x:v>
      </x:c>
      <x:c r="F142" t="str">
        <x:v>Baseline</x:v>
      </x:c>
    </x:row>
    <x:row r="143" ht="15.75" customHeight="1">
      <x:c r="A143" t="str">
        <x:v>RVX-00036</x:v>
      </x:c>
      <x:c r="B143" t="n">
        <x:v>2</x:v>
      </x:c>
      <x:c r="C143" s="15" t="n">
        <x:v>46174</x:v>
      </x:c>
      <x:c r="D143" t="str">
        <x:v>Session 2</x:v>
      </x:c>
      <x:c r="E143" t="str">
        <x:v>Performance Lab</x:v>
      </x:c>
      <x:c r="F143" t="str"/>
    </x:row>
    <x:row r="144" ht="15.75" customHeight="1">
      <x:c r="A144" t="str">
        <x:v>RVX-00036</x:v>
      </x:c>
      <x:c r="B144" t="n">
        <x:v>3</x:v>
      </x:c>
      <x:c r="C144" s="15" t="n">
        <x:v>46202</x:v>
      </x:c>
      <x:c r="D144" t="str">
        <x:v>Session 3</x:v>
      </x:c>
      <x:c r="E144" t="str">
        <x:v>Performance Lab</x:v>
      </x:c>
      <x:c r="F144" t="str"/>
    </x:row>
    <x:row r="145" ht="15.75" customHeight="1">
      <x:c r="A145" t="str">
        <x:v>RVX-00036</x:v>
      </x:c>
      <x:c r="B145" t="n">
        <x:v>4</x:v>
      </x:c>
      <x:c r="C145" s="15" t="n">
        <x:v>46230</x:v>
      </x:c>
      <x:c r="D145" t="str">
        <x:v>Session 4</x:v>
      </x:c>
      <x:c r="E145" t="str">
        <x:v>Performance Lab</x:v>
      </x:c>
      <x:c r="F145" t="str">
        <x:v>Retest</x:v>
      </x:c>
    </x:row>
    <x:row r="146" ht="15.75" customHeight="1">
      <x:c r="A146" t="str">
        <x:v>RVX-00037</x:v>
      </x:c>
      <x:c r="B146" t="n">
        <x:v>1</x:v>
      </x:c>
      <x:c r="C146" s="15" t="n">
        <x:v>46146</x:v>
      </x:c>
      <x:c r="D146" t="str">
        <x:v>Session 1</x:v>
      </x:c>
      <x:c r="E146" t="str">
        <x:v>Performance Lab</x:v>
      </x:c>
      <x:c r="F146" t="str">
        <x:v>Baseline</x:v>
      </x:c>
    </x:row>
    <x:row r="147" ht="15.75" customHeight="1">
      <x:c r="A147" t="str">
        <x:v>RVX-00037</x:v>
      </x:c>
      <x:c r="B147" t="n">
        <x:v>2</x:v>
      </x:c>
      <x:c r="C147" s="15" t="n">
        <x:v>46174</x:v>
      </x:c>
      <x:c r="D147" t="str">
        <x:v>Session 2</x:v>
      </x:c>
      <x:c r="E147" t="str">
        <x:v>Performance Lab</x:v>
      </x:c>
      <x:c r="F147" t="str"/>
    </x:row>
    <x:row r="148" ht="15.75" customHeight="1">
      <x:c r="A148" t="str">
        <x:v>RVX-00037</x:v>
      </x:c>
      <x:c r="B148" t="n">
        <x:v>3</x:v>
      </x:c>
      <x:c r="C148" s="15" t="n">
        <x:v>46202</x:v>
      </x:c>
      <x:c r="D148" t="str">
        <x:v>Session 3</x:v>
      </x:c>
      <x:c r="E148" t="str">
        <x:v>Performance Lab</x:v>
      </x:c>
      <x:c r="F148" t="str"/>
    </x:row>
    <x:row r="149" ht="15.75" customHeight="1">
      <x:c r="A149" t="str">
        <x:v>RVX-00037</x:v>
      </x:c>
      <x:c r="B149" t="n">
        <x:v>4</x:v>
      </x:c>
      <x:c r="C149" s="15" t="n">
        <x:v>46230</x:v>
      </x:c>
      <x:c r="D149" t="str">
        <x:v>Session 4</x:v>
      </x:c>
      <x:c r="E149" t="str">
        <x:v>Performance Lab</x:v>
      </x:c>
      <x:c r="F149" t="str">
        <x:v>Retest</x:v>
      </x:c>
    </x:row>
    <x:row r="150" ht="15.75" customHeight="1">
      <x:c r="A150" t="str">
        <x:v>RVX-00038</x:v>
      </x:c>
      <x:c r="B150" t="n">
        <x:v>1</x:v>
      </x:c>
      <x:c r="C150" s="15" t="n">
        <x:v>46146</x:v>
      </x:c>
      <x:c r="D150" t="str">
        <x:v>Session 1</x:v>
      </x:c>
      <x:c r="E150" t="str">
        <x:v>Performance Lab</x:v>
      </x:c>
      <x:c r="F150" t="str">
        <x:v>Baseline</x:v>
      </x:c>
    </x:row>
    <x:row r="151" ht="15.75" customHeight="1">
      <x:c r="A151" t="str">
        <x:v>RVX-00038</x:v>
      </x:c>
      <x:c r="B151" t="n">
        <x:v>2</x:v>
      </x:c>
      <x:c r="C151" s="15" t="n">
        <x:v>46174</x:v>
      </x:c>
      <x:c r="D151" t="str">
        <x:v>Session 2</x:v>
      </x:c>
      <x:c r="E151" t="str">
        <x:v>Performance Lab</x:v>
      </x:c>
      <x:c r="F151" t="str"/>
    </x:row>
    <x:row r="152" ht="15.75" customHeight="1">
      <x:c r="A152" t="str">
        <x:v>RVX-00038</x:v>
      </x:c>
      <x:c r="B152" t="n">
        <x:v>3</x:v>
      </x:c>
      <x:c r="C152" s="15" t="n">
        <x:v>46202</x:v>
      </x:c>
      <x:c r="D152" t="str">
        <x:v>Session 3</x:v>
      </x:c>
      <x:c r="E152" t="str">
        <x:v>Performance Lab</x:v>
      </x:c>
      <x:c r="F152" t="str"/>
    </x:row>
    <x:row r="153" ht="15.75" customHeight="1">
      <x:c r="A153" t="str">
        <x:v>RVX-00038</x:v>
      </x:c>
      <x:c r="B153" t="n">
        <x:v>4</x:v>
      </x:c>
      <x:c r="C153" s="15" t="n">
        <x:v>46230</x:v>
      </x:c>
      <x:c r="D153" t="str">
        <x:v>Session 4</x:v>
      </x:c>
      <x:c r="E153" t="str">
        <x:v>Performance Lab</x:v>
      </x:c>
      <x:c r="F153" t="str">
        <x:v>Retest</x:v>
      </x:c>
    </x:row>
    <x:row r="154" ht="15.75" customHeight="1">
      <x:c r="A154" t="str">
        <x:v>RVX-00039</x:v>
      </x:c>
      <x:c r="B154" t="n">
        <x:v>1</x:v>
      </x:c>
      <x:c r="C154" s="15" t="n">
        <x:v>46146</x:v>
      </x:c>
      <x:c r="D154" t="str">
        <x:v>Session 1</x:v>
      </x:c>
      <x:c r="E154" t="str">
        <x:v>Performance Lab</x:v>
      </x:c>
      <x:c r="F154" t="str">
        <x:v>Baseline</x:v>
      </x:c>
    </x:row>
    <x:row r="155" ht="15.75" customHeight="1">
      <x:c r="A155" t="str">
        <x:v>RVX-00039</x:v>
      </x:c>
      <x:c r="B155" t="n">
        <x:v>2</x:v>
      </x:c>
      <x:c r="C155" s="15" t="n">
        <x:v>46174</x:v>
      </x:c>
      <x:c r="D155" t="str">
        <x:v>Session 2</x:v>
      </x:c>
      <x:c r="E155" t="str">
        <x:v>Performance Lab</x:v>
      </x:c>
      <x:c r="F155" t="str"/>
    </x:row>
    <x:row r="156" ht="15.75" customHeight="1">
      <x:c r="A156" t="str">
        <x:v>RVX-00039</x:v>
      </x:c>
      <x:c r="B156" t="n">
        <x:v>3</x:v>
      </x:c>
      <x:c r="C156" s="15" t="n">
        <x:v>46202</x:v>
      </x:c>
      <x:c r="D156" t="str">
        <x:v>Session 3</x:v>
      </x:c>
      <x:c r="E156" t="str">
        <x:v>Performance Lab</x:v>
      </x:c>
      <x:c r="F156" t="str"/>
    </x:row>
    <x:row r="157" ht="15.75" customHeight="1">
      <x:c r="A157" t="str">
        <x:v>RVX-00039</x:v>
      </x:c>
      <x:c r="B157" t="n">
        <x:v>4</x:v>
      </x:c>
      <x:c r="C157" s="15" t="n">
        <x:v>46230</x:v>
      </x:c>
      <x:c r="D157" t="str">
        <x:v>Session 4</x:v>
      </x:c>
      <x:c r="E157" t="str">
        <x:v>Performance Lab</x:v>
      </x:c>
      <x:c r="F157" t="str">
        <x:v>Retest</x:v>
      </x:c>
    </x:row>
    <x:row r="158" ht="15.75" customHeight="1">
      <x:c r="A158" t="str">
        <x:v>RVX-00040</x:v>
      </x:c>
      <x:c r="B158" t="n">
        <x:v>1</x:v>
      </x:c>
      <x:c r="C158" s="15" t="n">
        <x:v>46146</x:v>
      </x:c>
      <x:c r="D158" t="str">
        <x:v>Session 1</x:v>
      </x:c>
      <x:c r="E158" t="str">
        <x:v>Performance Lab</x:v>
      </x:c>
      <x:c r="F158" t="str">
        <x:v>Baseline</x:v>
      </x:c>
    </x:row>
    <x:row r="159" ht="15.75" customHeight="1">
      <x:c r="A159" t="str">
        <x:v>RVX-00040</x:v>
      </x:c>
      <x:c r="B159" t="n">
        <x:v>2</x:v>
      </x:c>
      <x:c r="C159" s="15" t="n">
        <x:v>46174</x:v>
      </x:c>
      <x:c r="D159" t="str">
        <x:v>Session 2</x:v>
      </x:c>
      <x:c r="E159" t="str">
        <x:v>Performance Lab</x:v>
      </x:c>
      <x:c r="F159" t="str"/>
    </x:row>
    <x:row r="160" ht="15.75" customHeight="1">
      <x:c r="A160" t="str">
        <x:v>RVX-00040</x:v>
      </x:c>
      <x:c r="B160" t="n">
        <x:v>3</x:v>
      </x:c>
      <x:c r="C160" s="15" t="n">
        <x:v>46202</x:v>
      </x:c>
      <x:c r="D160" t="str">
        <x:v>Session 3</x:v>
      </x:c>
      <x:c r="E160" t="str">
        <x:v>Performance Lab</x:v>
      </x:c>
      <x:c r="F160" t="str"/>
    </x:row>
    <x:row r="161" ht="15.75" customHeight="1">
      <x:c r="A161" t="str">
        <x:v>RVX-00040</x:v>
      </x:c>
      <x:c r="B161" t="n">
        <x:v>4</x:v>
      </x:c>
      <x:c r="C161" s="15" t="n">
        <x:v>46230</x:v>
      </x:c>
      <x:c r="D161" t="str">
        <x:v>Session 4</x:v>
      </x:c>
      <x:c r="E161" t="str">
        <x:v>Performance Lab</x:v>
      </x:c>
      <x:c r="F161" t="str">
        <x:v>Retest</x:v>
      </x:c>
    </x:row>
    <x:row r="162" ht="15.75" customHeight="1">
      <x:c r="A162" t="str">
        <x:v>RVX-00041</x:v>
      </x:c>
      <x:c r="B162" t="n">
        <x:v>1</x:v>
      </x:c>
      <x:c r="C162" s="15" t="n">
        <x:v>46146</x:v>
      </x:c>
      <x:c r="D162" t="str">
        <x:v>Session 1</x:v>
      </x:c>
      <x:c r="E162" t="str">
        <x:v>Performance Lab</x:v>
      </x:c>
      <x:c r="F162" t="str">
        <x:v>Baseline</x:v>
      </x:c>
    </x:row>
    <x:row r="163" ht="15.75" customHeight="1">
      <x:c r="A163" t="str">
        <x:v>RVX-00041</x:v>
      </x:c>
      <x:c r="B163" t="n">
        <x:v>2</x:v>
      </x:c>
      <x:c r="C163" s="15" t="n">
        <x:v>46174</x:v>
      </x:c>
      <x:c r="D163" t="str">
        <x:v>Session 2</x:v>
      </x:c>
      <x:c r="E163" t="str">
        <x:v>Performance Lab</x:v>
      </x:c>
      <x:c r="F163" t="str"/>
    </x:row>
    <x:row r="164" ht="15.75" customHeight="1">
      <x:c r="A164" t="str">
        <x:v>RVX-00041</x:v>
      </x:c>
      <x:c r="B164" t="n">
        <x:v>3</x:v>
      </x:c>
      <x:c r="C164" s="15" t="n">
        <x:v>46202</x:v>
      </x:c>
      <x:c r="D164" t="str">
        <x:v>Session 3</x:v>
      </x:c>
      <x:c r="E164" t="str">
        <x:v>Performance Lab</x:v>
      </x:c>
      <x:c r="F164" t="str"/>
    </x:row>
    <x:row r="165" ht="15.75" customHeight="1">
      <x:c r="A165" t="str">
        <x:v>RVX-00041</x:v>
      </x:c>
      <x:c r="B165" t="n">
        <x:v>4</x:v>
      </x:c>
      <x:c r="C165" s="15" t="n">
        <x:v>46230</x:v>
      </x:c>
      <x:c r="D165" t="str">
        <x:v>Session 4</x:v>
      </x:c>
      <x:c r="E165" t="str">
        <x:v>Performance Lab</x:v>
      </x:c>
      <x:c r="F165" t="str">
        <x:v>Retest</x:v>
      </x:c>
    </x:row>
    <x:row r="166" ht="15.75" customHeight="1">
      <x:c r="A166" t="str">
        <x:v>RVX-00042</x:v>
      </x:c>
      <x:c r="B166" t="n">
        <x:v>1</x:v>
      </x:c>
      <x:c r="C166" s="15" t="n">
        <x:v>46146</x:v>
      </x:c>
      <x:c r="D166" t="str">
        <x:v>Session 1</x:v>
      </x:c>
      <x:c r="E166" t="str">
        <x:v>Performance Lab</x:v>
      </x:c>
      <x:c r="F166" t="str">
        <x:v>Baseline</x:v>
      </x:c>
    </x:row>
    <x:row r="167" ht="15.75" customHeight="1">
      <x:c r="A167" t="str">
        <x:v>RVX-00042</x:v>
      </x:c>
      <x:c r="B167" t="n">
        <x:v>2</x:v>
      </x:c>
      <x:c r="C167" s="15" t="n">
        <x:v>46174</x:v>
      </x:c>
      <x:c r="D167" t="str">
        <x:v>Session 2</x:v>
      </x:c>
      <x:c r="E167" t="str">
        <x:v>Performance Lab</x:v>
      </x:c>
      <x:c r="F167" t="str"/>
    </x:row>
    <x:row r="168" ht="15.75" customHeight="1">
      <x:c r="A168" t="str">
        <x:v>RVX-00042</x:v>
      </x:c>
      <x:c r="B168" t="n">
        <x:v>3</x:v>
      </x:c>
      <x:c r="C168" s="15" t="n">
        <x:v>46202</x:v>
      </x:c>
      <x:c r="D168" t="str">
        <x:v>Session 3</x:v>
      </x:c>
      <x:c r="E168" t="str">
        <x:v>Performance Lab</x:v>
      </x:c>
      <x:c r="F168" t="str"/>
    </x:row>
    <x:row r="169" ht="15.75" customHeight="1">
      <x:c r="A169" t="str">
        <x:v>RVX-00042</x:v>
      </x:c>
      <x:c r="B169" t="n">
        <x:v>4</x:v>
      </x:c>
      <x:c r="C169" s="15" t="n">
        <x:v>46230</x:v>
      </x:c>
      <x:c r="D169" t="str">
        <x:v>Session 4</x:v>
      </x:c>
      <x:c r="E169" t="str">
        <x:v>Performance Lab</x:v>
      </x:c>
      <x:c r="F169" t="str">
        <x:v>Retest</x:v>
      </x:c>
    </x:row>
    <x:row r="170" ht="15.75" customHeight="1">
      <x:c r="A170" t="str">
        <x:v>RVX-00043</x:v>
      </x:c>
      <x:c r="B170" t="n">
        <x:v>1</x:v>
      </x:c>
      <x:c r="C170" s="15" t="n">
        <x:v>46146</x:v>
      </x:c>
      <x:c r="D170" t="str">
        <x:v>Session 1</x:v>
      </x:c>
      <x:c r="E170" t="str">
        <x:v>Performance Lab</x:v>
      </x:c>
      <x:c r="F170" t="str">
        <x:v>Baseline</x:v>
      </x:c>
    </x:row>
    <x:row r="171" ht="15.75" customHeight="1">
      <x:c r="A171" t="str">
        <x:v>RVX-00043</x:v>
      </x:c>
      <x:c r="B171" t="n">
        <x:v>2</x:v>
      </x:c>
      <x:c r="C171" s="15" t="n">
        <x:v>46174</x:v>
      </x:c>
      <x:c r="D171" t="str">
        <x:v>Session 2</x:v>
      </x:c>
      <x:c r="E171" t="str">
        <x:v>Performance Lab</x:v>
      </x:c>
      <x:c r="F171" t="str"/>
    </x:row>
    <x:row r="172" ht="15.75" customHeight="1">
      <x:c r="A172" t="str">
        <x:v>RVX-00043</x:v>
      </x:c>
      <x:c r="B172" t="n">
        <x:v>3</x:v>
      </x:c>
      <x:c r="C172" s="15" t="n">
        <x:v>46202</x:v>
      </x:c>
      <x:c r="D172" t="str">
        <x:v>Session 3</x:v>
      </x:c>
      <x:c r="E172" t="str">
        <x:v>Performance Lab</x:v>
      </x:c>
      <x:c r="F172" t="str"/>
    </x:row>
    <x:row r="173" ht="15.75" customHeight="1">
      <x:c r="A173" t="str">
        <x:v>RVX-00043</x:v>
      </x:c>
      <x:c r="B173" t="n">
        <x:v>4</x:v>
      </x:c>
      <x:c r="C173" s="15" t="n">
        <x:v>46230</x:v>
      </x:c>
      <x:c r="D173" t="str">
        <x:v>Session 4</x:v>
      </x:c>
      <x:c r="E173" t="str">
        <x:v>Performance Lab</x:v>
      </x:c>
      <x:c r="F173" t="str">
        <x:v>Retest</x:v>
      </x:c>
    </x:row>
    <x:row r="174" ht="15.75" customHeight="1">
      <x:c r="A174" t="str">
        <x:v>RVX-00044</x:v>
      </x:c>
      <x:c r="B174" t="n">
        <x:v>1</x:v>
      </x:c>
      <x:c r="C174" s="15" t="n">
        <x:v>46146</x:v>
      </x:c>
      <x:c r="D174" t="str">
        <x:v>Session 1</x:v>
      </x:c>
      <x:c r="E174" t="str">
        <x:v>Performance Lab</x:v>
      </x:c>
      <x:c r="F174" t="str">
        <x:v>Baseline</x:v>
      </x:c>
    </x:row>
    <x:row r="175" ht="15.75" customHeight="1">
      <x:c r="A175" t="str">
        <x:v>RVX-00044</x:v>
      </x:c>
      <x:c r="B175" t="n">
        <x:v>2</x:v>
      </x:c>
      <x:c r="C175" s="15" t="n">
        <x:v>46174</x:v>
      </x:c>
      <x:c r="D175" t="str">
        <x:v>Session 2</x:v>
      </x:c>
      <x:c r="E175" t="str">
        <x:v>Performance Lab</x:v>
      </x:c>
      <x:c r="F175" t="str"/>
    </x:row>
    <x:row r="176" ht="15.75" customHeight="1">
      <x:c r="A176" t="str">
        <x:v>RVX-00044</x:v>
      </x:c>
      <x:c r="B176" t="n">
        <x:v>3</x:v>
      </x:c>
      <x:c r="C176" s="15" t="n">
        <x:v>46202</x:v>
      </x:c>
      <x:c r="D176" t="str">
        <x:v>Session 3</x:v>
      </x:c>
      <x:c r="E176" t="str">
        <x:v>Performance Lab</x:v>
      </x:c>
      <x:c r="F176" t="str"/>
    </x:row>
    <x:row r="177" ht="15.75" customHeight="1">
      <x:c r="A177" t="str">
        <x:v>RVX-00044</x:v>
      </x:c>
      <x:c r="B177" t="n">
        <x:v>4</x:v>
      </x:c>
      <x:c r="C177" s="15" t="n">
        <x:v>46230</x:v>
      </x:c>
      <x:c r="D177" t="str">
        <x:v>Session 4</x:v>
      </x:c>
      <x:c r="E177" t="str">
        <x:v>Performance Lab</x:v>
      </x:c>
      <x:c r="F177" t="str">
        <x:v>Retest</x:v>
      </x:c>
    </x:row>
    <x:row r="178" ht="15.75" customHeight="1">
      <x:c r="A178" t="str">
        <x:v>RVX-00045</x:v>
      </x:c>
      <x:c r="B178" t="n">
        <x:v>1</x:v>
      </x:c>
      <x:c r="C178" s="15" t="n">
        <x:v>46146</x:v>
      </x:c>
      <x:c r="D178" t="str">
        <x:v>Session 1</x:v>
      </x:c>
      <x:c r="E178" t="str">
        <x:v>Performance Lab</x:v>
      </x:c>
      <x:c r="F178" t="str">
        <x:v>Baseline</x:v>
      </x:c>
    </x:row>
    <x:row r="179" ht="15.75" customHeight="1">
      <x:c r="A179" t="str">
        <x:v>RVX-00045</x:v>
      </x:c>
      <x:c r="B179" t="n">
        <x:v>2</x:v>
      </x:c>
      <x:c r="C179" s="15" t="n">
        <x:v>46174</x:v>
      </x:c>
      <x:c r="D179" t="str">
        <x:v>Session 2</x:v>
      </x:c>
      <x:c r="E179" t="str">
        <x:v>Performance Lab</x:v>
      </x:c>
      <x:c r="F179" t="str"/>
    </x:row>
    <x:row r="180" ht="15.75" customHeight="1">
      <x:c r="A180" t="str">
        <x:v>RVX-00045</x:v>
      </x:c>
      <x:c r="B180" t="n">
        <x:v>3</x:v>
      </x:c>
      <x:c r="C180" s="15" t="n">
        <x:v>46202</x:v>
      </x:c>
      <x:c r="D180" t="str">
        <x:v>Session 3</x:v>
      </x:c>
      <x:c r="E180" t="str">
        <x:v>Performance Lab</x:v>
      </x:c>
      <x:c r="F180" t="str"/>
    </x:row>
    <x:row r="181" ht="15.75" customHeight="1">
      <x:c r="A181" t="str">
        <x:v>RVX-00045</x:v>
      </x:c>
      <x:c r="B181" t="n">
        <x:v>4</x:v>
      </x:c>
      <x:c r="C181" s="15" t="n">
        <x:v>46230</x:v>
      </x:c>
      <x:c r="D181" t="str">
        <x:v>Session 4</x:v>
      </x:c>
      <x:c r="E181" t="str">
        <x:v>Performance Lab</x:v>
      </x:c>
      <x:c r="F181" t="str">
        <x:v>Retest</x:v>
      </x:c>
    </x:row>
    <x:row r="182" ht="15.75" customHeight="1">
      <x:c r="A182" t="str">
        <x:v>RVX-00046</x:v>
      </x:c>
      <x:c r="B182" t="n">
        <x:v>1</x:v>
      </x:c>
      <x:c r="C182" s="15" t="n">
        <x:v>46146</x:v>
      </x:c>
      <x:c r="D182" t="str">
        <x:v>Session 1</x:v>
      </x:c>
      <x:c r="E182" t="str">
        <x:v>Performance Lab</x:v>
      </x:c>
      <x:c r="F182" t="str">
        <x:v>Baseline</x:v>
      </x:c>
    </x:row>
    <x:row r="183" ht="15.75" customHeight="1">
      <x:c r="A183" t="str">
        <x:v>RVX-00046</x:v>
      </x:c>
      <x:c r="B183" t="n">
        <x:v>2</x:v>
      </x:c>
      <x:c r="C183" s="15" t="n">
        <x:v>46174</x:v>
      </x:c>
      <x:c r="D183" t="str">
        <x:v>Session 2</x:v>
      </x:c>
      <x:c r="E183" t="str">
        <x:v>Performance Lab</x:v>
      </x:c>
      <x:c r="F183" t="str"/>
    </x:row>
    <x:row r="184" ht="15.75" customHeight="1">
      <x:c r="A184" t="str">
        <x:v>RVX-00046</x:v>
      </x:c>
      <x:c r="B184" t="n">
        <x:v>3</x:v>
      </x:c>
      <x:c r="C184" s="15" t="n">
        <x:v>46202</x:v>
      </x:c>
      <x:c r="D184" t="str">
        <x:v>Session 3</x:v>
      </x:c>
      <x:c r="E184" t="str">
        <x:v>Performance Lab</x:v>
      </x:c>
      <x:c r="F184" t="str"/>
    </x:row>
    <x:row r="185" ht="15.75" customHeight="1">
      <x:c r="A185" t="str">
        <x:v>RVX-00046</x:v>
      </x:c>
      <x:c r="B185" t="n">
        <x:v>4</x:v>
      </x:c>
      <x:c r="C185" s="15" t="n">
        <x:v>46230</x:v>
      </x:c>
      <x:c r="D185" t="str">
        <x:v>Session 4</x:v>
      </x:c>
      <x:c r="E185" t="str">
        <x:v>Performance Lab</x:v>
      </x:c>
      <x:c r="F185" t="str">
        <x:v>Retest</x:v>
      </x:c>
    </x:row>
    <x:row r="186" ht="15.75" customHeight="1">
      <x:c r="A186" t="str">
        <x:v>RVX-00047</x:v>
      </x:c>
      <x:c r="B186" t="n">
        <x:v>1</x:v>
      </x:c>
      <x:c r="C186" s="15" t="n">
        <x:v>46146</x:v>
      </x:c>
      <x:c r="D186" t="str">
        <x:v>Session 1</x:v>
      </x:c>
      <x:c r="E186" t="str">
        <x:v>Performance Lab</x:v>
      </x:c>
      <x:c r="F186" t="str">
        <x:v>Baseline</x:v>
      </x:c>
    </x:row>
    <x:row r="187" ht="15.75" customHeight="1">
      <x:c r="A187" t="str">
        <x:v>RVX-00047</x:v>
      </x:c>
      <x:c r="B187" t="n">
        <x:v>2</x:v>
      </x:c>
      <x:c r="C187" s="15" t="n">
        <x:v>46174</x:v>
      </x:c>
      <x:c r="D187" t="str">
        <x:v>Session 2</x:v>
      </x:c>
      <x:c r="E187" t="str">
        <x:v>Performance Lab</x:v>
      </x:c>
      <x:c r="F187" t="str"/>
    </x:row>
    <x:row r="188" ht="15.75" customHeight="1">
      <x:c r="A188" t="str">
        <x:v>RVX-00047</x:v>
      </x:c>
      <x:c r="B188" t="n">
        <x:v>3</x:v>
      </x:c>
      <x:c r="C188" s="15" t="n">
        <x:v>46202</x:v>
      </x:c>
      <x:c r="D188" t="str">
        <x:v>Session 3</x:v>
      </x:c>
      <x:c r="E188" t="str">
        <x:v>Performance Lab</x:v>
      </x:c>
      <x:c r="F188" t="str"/>
    </x:row>
    <x:row r="189" ht="15.75" customHeight="1">
      <x:c r="A189" t="str">
        <x:v>RVX-00047</x:v>
      </x:c>
      <x:c r="B189" t="n">
        <x:v>4</x:v>
      </x:c>
      <x:c r="C189" s="15" t="n">
        <x:v>46230</x:v>
      </x:c>
      <x:c r="D189" t="str">
        <x:v>Session 4</x:v>
      </x:c>
      <x:c r="E189" t="str">
        <x:v>Performance Lab</x:v>
      </x:c>
      <x:c r="F189" t="str">
        <x:v>Retest</x:v>
      </x:c>
    </x:row>
    <x:row r="190" ht="15.75" customHeight="1">
      <x:c r="A190" t="str">
        <x:v>RVX-00048</x:v>
      </x:c>
      <x:c r="B190" t="n">
        <x:v>1</x:v>
      </x:c>
      <x:c r="C190" s="15" t="n">
        <x:v>46146</x:v>
      </x:c>
      <x:c r="D190" t="str">
        <x:v>Session 1</x:v>
      </x:c>
      <x:c r="E190" t="str">
        <x:v>Performance Lab</x:v>
      </x:c>
      <x:c r="F190" t="str">
        <x:v>Baseline</x:v>
      </x:c>
    </x:row>
    <x:row r="191" ht="15.75" customHeight="1">
      <x:c r="A191" t="str">
        <x:v>RVX-00048</x:v>
      </x:c>
      <x:c r="B191" t="n">
        <x:v>2</x:v>
      </x:c>
      <x:c r="C191" s="15" t="n">
        <x:v>46174</x:v>
      </x:c>
      <x:c r="D191" t="str">
        <x:v>Session 2</x:v>
      </x:c>
      <x:c r="E191" t="str">
        <x:v>Performance Lab</x:v>
      </x:c>
      <x:c r="F191" t="str"/>
    </x:row>
    <x:row r="192" ht="15.75" customHeight="1">
      <x:c r="A192" t="str">
        <x:v>RVX-00048</x:v>
      </x:c>
      <x:c r="B192" t="n">
        <x:v>3</x:v>
      </x:c>
      <x:c r="C192" s="15" t="n">
        <x:v>46202</x:v>
      </x:c>
      <x:c r="D192" t="str">
        <x:v>Session 3</x:v>
      </x:c>
      <x:c r="E192" t="str">
        <x:v>Performance Lab</x:v>
      </x:c>
      <x:c r="F192" t="str"/>
    </x:row>
    <x:row r="193" ht="15.75" customHeight="1">
      <x:c r="A193" t="str">
        <x:v>RVX-00048</x:v>
      </x:c>
      <x:c r="B193" t="n">
        <x:v>4</x:v>
      </x:c>
      <x:c r="C193" s="15" t="n">
        <x:v>46230</x:v>
      </x:c>
      <x:c r="D193" t="str">
        <x:v>Session 4</x:v>
      </x:c>
      <x:c r="E193" t="str">
        <x:v>Performance Lab</x:v>
      </x:c>
      <x:c r="F193" t="str">
        <x:v>Retest</x:v>
      </x:c>
    </x:row>
    <x:row r="194" ht="15.75" customHeight="1">
      <x:c r="A194" t="str">
        <x:v>RVX-00049</x:v>
      </x:c>
      <x:c r="B194" t="n">
        <x:v>1</x:v>
      </x:c>
      <x:c r="C194" s="15" t="n">
        <x:v>46146</x:v>
      </x:c>
      <x:c r="D194" t="str">
        <x:v>Session 1</x:v>
      </x:c>
      <x:c r="E194" t="str">
        <x:v>Performance Lab</x:v>
      </x:c>
      <x:c r="F194" t="str">
        <x:v>Baseline</x:v>
      </x:c>
    </x:row>
    <x:row r="195" ht="15.75" customHeight="1">
      <x:c r="A195" t="str">
        <x:v>RVX-00049</x:v>
      </x:c>
      <x:c r="B195" t="n">
        <x:v>2</x:v>
      </x:c>
      <x:c r="C195" s="15" t="n">
        <x:v>46174</x:v>
      </x:c>
      <x:c r="D195" t="str">
        <x:v>Session 2</x:v>
      </x:c>
      <x:c r="E195" t="str">
        <x:v>Performance Lab</x:v>
      </x:c>
      <x:c r="F195" t="str"/>
    </x:row>
    <x:row r="196" ht="15.75" customHeight="1">
      <x:c r="A196" t="str">
        <x:v>RVX-00049</x:v>
      </x:c>
      <x:c r="B196" t="n">
        <x:v>3</x:v>
      </x:c>
      <x:c r="C196" s="15" t="n">
        <x:v>46202</x:v>
      </x:c>
      <x:c r="D196" t="str">
        <x:v>Session 3</x:v>
      </x:c>
      <x:c r="E196" t="str">
        <x:v>Performance Lab</x:v>
      </x:c>
      <x:c r="F196" t="str"/>
    </x:row>
    <x:row r="197" ht="15.75" customHeight="1">
      <x:c r="A197" t="str">
        <x:v>RVX-00049</x:v>
      </x:c>
      <x:c r="B197" t="n">
        <x:v>4</x:v>
      </x:c>
      <x:c r="C197" s="15" t="n">
        <x:v>46230</x:v>
      </x:c>
      <x:c r="D197" t="str">
        <x:v>Session 4</x:v>
      </x:c>
      <x:c r="E197" t="str">
        <x:v>Performance Lab</x:v>
      </x:c>
      <x:c r="F197" t="str">
        <x:v>Retest</x:v>
      </x:c>
    </x:row>
    <x:row r="198" ht="15.75" customHeight="1">
      <x:c r="A198" t="str">
        <x:v>RVX-00050</x:v>
      </x:c>
      <x:c r="B198" t="n">
        <x:v>1</x:v>
      </x:c>
      <x:c r="C198" s="15" t="n">
        <x:v>46146</x:v>
      </x:c>
      <x:c r="D198" t="str">
        <x:v>Session 1</x:v>
      </x:c>
      <x:c r="E198" t="str">
        <x:v>Performance Lab</x:v>
      </x:c>
      <x:c r="F198" t="str">
        <x:v>Baseline</x:v>
      </x:c>
    </x:row>
    <x:row r="199" ht="15.75" customHeight="1">
      <x:c r="A199" t="str">
        <x:v>RVX-00050</x:v>
      </x:c>
      <x:c r="B199" t="n">
        <x:v>2</x:v>
      </x:c>
      <x:c r="C199" s="15" t="n">
        <x:v>46174</x:v>
      </x:c>
      <x:c r="D199" t="str">
        <x:v>Session 2</x:v>
      </x:c>
      <x:c r="E199" t="str">
        <x:v>Performance Lab</x:v>
      </x:c>
      <x:c r="F199" t="str"/>
    </x:row>
    <x:row r="200" ht="15.75" customHeight="1">
      <x:c r="A200" t="str">
        <x:v>RVX-00050</x:v>
      </x:c>
      <x:c r="B200" t="n">
        <x:v>3</x:v>
      </x:c>
      <x:c r="C200" s="15" t="n">
        <x:v>46202</x:v>
      </x:c>
      <x:c r="D200" t="str">
        <x:v>Session 3</x:v>
      </x:c>
      <x:c r="E200" t="str">
        <x:v>Performance Lab</x:v>
      </x:c>
      <x:c r="F200" t="str"/>
    </x:row>
    <x:row r="201" ht="15.75" customHeight="1">
      <x:c r="A201" t="str">
        <x:v>RVX-00050</x:v>
      </x:c>
      <x:c r="B201" t="n">
        <x:v>4</x:v>
      </x:c>
      <x:c r="C201" s="15" t="n">
        <x:v>46230</x:v>
      </x:c>
      <x:c r="D201" t="str">
        <x:v>Session 4</x:v>
      </x:c>
      <x:c r="E201" t="str">
        <x:v>Performance Lab</x:v>
      </x:c>
      <x:c r="F201" t="str">
        <x:v>Retest</x:v>
      </x:c>
    </x:row>
    <x:row r="202" ht="15.75" customHeight="1">
      <x:c r="C202" s="15"/>
    </x:row>
    <x:row r="203" ht="15.75" customHeight="1">
      <x:c r="C203" s="15"/>
    </x:row>
    <x:row r="204" ht="15.75" customHeight="1">
      <x:c r="C204" s="15"/>
    </x:row>
    <x:row r="205" ht="15.75" customHeight="1">
      <x:c r="C205" s="15"/>
    </x:row>
    <x:row r="206" ht="15.75" customHeight="1">
      <x:c r="C206" s="15"/>
    </x:row>
    <x:row r="207" ht="15.75" customHeight="1">
      <x:c r="C207" s="15"/>
    </x:row>
    <x:row r="208" ht="15.75" customHeight="1">
      <x:c r="C208" s="15"/>
    </x:row>
    <x:row r="209" ht="15.75" customHeight="1">
      <x:c r="C209" s="15"/>
    </x:row>
    <x:row r="210" ht="15.75" customHeight="1">
      <x:c r="C210" s="15"/>
    </x:row>
    <x:row r="211" ht="15.75" customHeight="1">
      <x:c r="C211" s="15"/>
    </x:row>
    <x:row r="212" ht="15.75" customHeight="1">
      <x:c r="C212" s="15"/>
    </x:row>
    <x:row r="213" ht="15.75" customHeight="1">
      <x:c r="C213" s="15"/>
    </x:row>
    <x:row r="214" ht="15.75" customHeight="1">
      <x:c r="C214" s="15"/>
    </x:row>
    <x:row r="215" ht="15.75" customHeight="1">
      <x:c r="C215" s="15"/>
    </x:row>
    <x:row r="216" ht="15.75" customHeight="1">
      <x:c r="C216" s="15"/>
    </x:row>
    <x:row r="217" ht="15.75" customHeight="1">
      <x:c r="C217" s="15"/>
    </x:row>
    <x:row r="218" ht="15.75" customHeight="1">
      <x:c r="C218" s="15"/>
    </x:row>
    <x:row r="219" ht="15.75" customHeight="1">
      <x:c r="C219" s="15"/>
    </x:row>
    <x:row r="220" ht="15.75" customHeight="1">
      <x:c r="C220" s="15"/>
    </x:row>
    <x:row r="221" ht="15.75" customHeight="1">
      <x:c r="C221" s="15"/>
    </x:row>
    <x:row r="222" ht="15.75" customHeight="1">
      <x:c r="C222" s="15"/>
    </x:row>
    <x:row r="223" ht="15.75" customHeight="1">
      <x:c r="C223" s="15"/>
    </x:row>
    <x:row r="224" ht="15.75" customHeight="1">
      <x:c r="C224" s="15"/>
    </x:row>
    <x:row r="225" ht="15.75" customHeight="1">
      <x:c r="C225" s="15"/>
    </x:row>
    <x:row r="226" ht="15.75" customHeight="1">
      <x:c r="C226" s="15"/>
    </x:row>
    <x:row r="227" ht="15.75" customHeight="1">
      <x:c r="C227" s="15"/>
    </x:row>
    <x:row r="228" ht="15.75" customHeight="1">
      <x:c r="C228" s="15"/>
    </x:row>
    <x:row r="229" ht="15.75" customHeight="1">
      <x:c r="C229" s="15"/>
    </x:row>
    <x:row r="230" ht="15.75" customHeight="1">
      <x:c r="C230" s="15"/>
    </x:row>
    <x:row r="231" ht="15.75" customHeight="1">
      <x:c r="C231" s="15"/>
    </x:row>
    <x:row r="232" ht="15.75" customHeight="1">
      <x:c r="C232" s="15"/>
    </x:row>
    <x:row r="233" ht="15.75" customHeight="1">
      <x:c r="C233" s="15"/>
    </x:row>
    <x:row r="234" ht="15.75" customHeight="1">
      <x:c r="C234" s="15"/>
    </x:row>
    <x:row r="235" ht="15.75" customHeight="1">
      <x:c r="C235" s="15"/>
    </x:row>
    <x:row r="236" ht="15.75" customHeight="1">
      <x:c r="C236" s="15"/>
    </x:row>
    <x:row r="237" ht="15.75" customHeight="1">
      <x:c r="C237" s="15"/>
    </x:row>
    <x:row r="238" ht="15.75" customHeight="1">
      <x:c r="C238" s="15"/>
    </x:row>
    <x:row r="239" ht="15.75" customHeight="1">
      <x:c r="C239" s="15"/>
    </x:row>
    <x:row r="240" ht="15.75" customHeight="1">
      <x:c r="C240" s="15"/>
    </x:row>
    <x:row r="241" ht="15.75" customHeight="1">
      <x:c r="C241" s="15"/>
    </x:row>
    <x:row r="242" ht="15.75" customHeight="1">
      <x:c r="C242" s="15"/>
    </x:row>
    <x:row r="243" ht="15.75" customHeight="1">
      <x:c r="C243" s="15"/>
    </x:row>
    <x:row r="244" ht="15.75" customHeight="1">
      <x:c r="C244" s="15"/>
    </x:row>
    <x:row r="245" ht="15.75" customHeight="1">
      <x:c r="C245" s="15"/>
    </x:row>
    <x:row r="246" ht="15.75" customHeight="1">
      <x:c r="C246" s="15"/>
    </x:row>
    <x:row r="247" ht="15.75" customHeight="1">
      <x:c r="C247" s="15"/>
    </x:row>
    <x:row r="248" ht="15.75" customHeight="1">
      <x:c r="C248" s="15"/>
    </x:row>
    <x:row r="249" ht="15.75" customHeight="1">
      <x:c r="C249" s="15"/>
    </x:row>
    <x:row r="250" ht="15.75" customHeight="1">
      <x:c r="C250" s="15"/>
    </x:row>
    <x:row r="251" ht="15.75" customHeight="1">
      <x:c r="C251" s="15"/>
    </x:row>
    <x:row r="252" ht="15.75" customHeight="1">
      <x:c r="C252" s="15"/>
    </x:row>
    <x:row r="253" ht="15.75" customHeight="1">
      <x:c r="C253" s="15"/>
    </x:row>
    <x:row r="254" ht="15.75" customHeight="1">
      <x:c r="C254" s="15"/>
    </x:row>
    <x:row r="255" ht="15.75" customHeight="1">
      <x:c r="C255" s="15"/>
    </x:row>
    <x:row r="256" ht="15.75" customHeight="1">
      <x:c r="C256" s="15"/>
    </x:row>
    <x:row r="257" ht="15.75" customHeight="1">
      <x:c r="C257" s="15"/>
    </x:row>
    <x:row r="258" ht="15.75" customHeight="1">
      <x:c r="C258" s="15"/>
    </x:row>
    <x:row r="259" ht="15.75" customHeight="1">
      <x:c r="C259" s="15"/>
    </x:row>
    <x:row r="260" ht="15.75" customHeight="1">
      <x:c r="C260" s="15"/>
    </x:row>
    <x:row r="261" ht="15.75" customHeight="1">
      <x:c r="C261" s="15"/>
    </x:row>
    <x:row r="262" ht="15.75" customHeight="1">
      <x:c r="C262" s="15"/>
    </x:row>
    <x:row r="263" ht="15.75" customHeight="1">
      <x:c r="C263" s="15"/>
    </x:row>
    <x:row r="264" ht="15.75" customHeight="1">
      <x:c r="C264" s="15"/>
    </x:row>
    <x:row r="265" ht="15.75" customHeight="1">
      <x:c r="C265" s="15"/>
    </x:row>
    <x:row r="266" ht="15.75" customHeight="1">
      <x:c r="C266" s="15"/>
    </x:row>
    <x:row r="267" ht="15.75" customHeight="1">
      <x:c r="C267" s="15"/>
    </x:row>
    <x:row r="268" ht="15.75" customHeight="1">
      <x:c r="C268" s="15"/>
    </x:row>
    <x:row r="269" ht="15.75" customHeight="1">
      <x:c r="C269" s="15"/>
    </x:row>
    <x:row r="270" ht="15.75" customHeight="1">
      <x:c r="C270" s="15"/>
    </x:row>
    <x:row r="271" ht="15.75" customHeight="1">
      <x:c r="C271" s="15"/>
    </x:row>
    <x:row r="272" ht="15.75" customHeight="1">
      <x:c r="C272" s="15"/>
    </x:row>
    <x:row r="273" ht="15.75" customHeight="1">
      <x:c r="C273" s="15"/>
    </x:row>
    <x:row r="274" ht="15.75" customHeight="1">
      <x:c r="C274" s="15"/>
    </x:row>
    <x:row r="275" ht="15.75" customHeight="1">
      <x:c r="C275" s="15"/>
    </x:row>
    <x:row r="276" ht="15.75" customHeight="1">
      <x:c r="C276" s="15"/>
    </x:row>
    <x:row r="277" ht="15.75" customHeight="1">
      <x:c r="C277" s="15"/>
    </x:row>
    <x:row r="278" ht="15.75" customHeight="1">
      <x:c r="C278" s="15"/>
    </x:row>
    <x:row r="279" ht="15.75" customHeight="1">
      <x:c r="C279" s="15"/>
    </x:row>
    <x:row r="280" ht="15.75" customHeight="1">
      <x:c r="C280" s="15"/>
    </x:row>
    <x:row r="281" ht="15.75" customHeight="1">
      <x:c r="C281" s="15"/>
    </x:row>
    <x:row r="282" ht="15.75" customHeight="1">
      <x:c r="C282" s="15"/>
    </x:row>
    <x:row r="283" ht="15.75" customHeight="1">
      <x:c r="C283" s="15"/>
    </x:row>
    <x:row r="284" ht="15.75" customHeight="1">
      <x:c r="C284" s="15"/>
    </x:row>
    <x:row r="285" ht="15.75" customHeight="1">
      <x:c r="C285" s="15"/>
    </x:row>
    <x:row r="286" ht="15.75" customHeight="1">
      <x:c r="C286" s="15"/>
    </x:row>
    <x:row r="287" ht="15.75" customHeight="1">
      <x:c r="C287" s="15"/>
    </x:row>
    <x:row r="288" ht="15.75" customHeight="1">
      <x:c r="C288" s="15"/>
    </x:row>
    <x:row r="289" ht="15.75" customHeight="1">
      <x:c r="C289" s="15"/>
    </x:row>
    <x:row r="290" ht="15.75" customHeight="1">
      <x:c r="C290" s="15"/>
    </x:row>
    <x:row r="291" ht="15.75" customHeight="1">
      <x:c r="C291" s="15"/>
    </x:row>
    <x:row r="292" ht="15.75" customHeight="1">
      <x:c r="C292" s="15"/>
    </x:row>
    <x:row r="293" ht="15.75" customHeight="1">
      <x:c r="C293" s="15"/>
    </x:row>
    <x:row r="294" ht="15.75" customHeight="1">
      <x:c r="C294" s="15"/>
    </x:row>
    <x:row r="295" ht="15.75" customHeight="1">
      <x:c r="C295" s="15"/>
    </x:row>
    <x:row r="296" ht="15.75" customHeight="1">
      <x:c r="C296" s="15"/>
    </x:row>
    <x:row r="297" ht="15.75" customHeight="1">
      <x:c r="C297" s="15"/>
    </x:row>
    <x:row r="298" ht="15.75" customHeight="1">
      <x:c r="C298" s="15"/>
    </x:row>
    <x:row r="299" ht="15.75" customHeight="1">
      <x:c r="C299" s="15"/>
    </x:row>
    <x:row r="300" ht="15.75" customHeight="1">
      <x:c r="C300" s="15"/>
    </x:row>
    <x:row r="301" ht="15.75" customHeight="1">
      <x:c r="C301" s="15"/>
    </x:row>
    <x:row r="302" ht="15.75" customHeight="1">
      <x:c r="C302" s="15"/>
    </x:row>
    <x:row r="303" ht="15.75" customHeight="1">
      <x:c r="C303" s="15"/>
    </x:row>
    <x:row r="304" ht="15.75" customHeight="1">
      <x:c r="C304" s="15"/>
    </x:row>
    <x:row r="305" ht="15.75" customHeight="1">
      <x:c r="C305" s="15"/>
    </x:row>
    <x:row r="306" ht="15.75" customHeight="1">
      <x:c r="C306" s="15"/>
    </x:row>
    <x:row r="307" ht="15.75" customHeight="1">
      <x:c r="C307" s="15"/>
    </x:row>
    <x:row r="308" ht="15.75" customHeight="1">
      <x:c r="C308" s="15"/>
    </x:row>
    <x:row r="309" ht="15.75" customHeight="1">
      <x:c r="C309" s="15"/>
    </x:row>
    <x:row r="310" ht="15.75" customHeight="1">
      <x:c r="C310" s="15"/>
    </x:row>
    <x:row r="311" ht="15.75" customHeight="1">
      <x:c r="C311" s="15"/>
    </x:row>
    <x:row r="312" ht="15.75" customHeight="1">
      <x:c r="C312" s="15"/>
    </x:row>
    <x:row r="313" ht="15.75" customHeight="1">
      <x:c r="C313" s="15"/>
    </x:row>
    <x:row r="314" ht="15.75" customHeight="1">
      <x:c r="C314" s="15"/>
    </x:row>
    <x:row r="315" ht="15.75" customHeight="1">
      <x:c r="C315" s="15"/>
    </x:row>
    <x:row r="316" ht="15.75" customHeight="1">
      <x:c r="C316" s="15"/>
    </x:row>
    <x:row r="317" ht="15.75" customHeight="1">
      <x:c r="C317" s="15"/>
    </x:row>
    <x:row r="318" ht="15.75" customHeight="1">
      <x:c r="C318" s="15"/>
    </x:row>
    <x:row r="319" ht="15.75" customHeight="1">
      <x:c r="C319" s="15"/>
    </x:row>
    <x:row r="320" ht="15.75" customHeight="1">
      <x:c r="C320" s="15"/>
    </x:row>
    <x:row r="321" ht="15.75" customHeight="1">
      <x:c r="C321" s="15"/>
    </x:row>
    <x:row r="322" ht="15.75" customHeight="1">
      <x:c r="C322" s="15"/>
    </x:row>
    <x:row r="323" ht="15.75" customHeight="1">
      <x:c r="C323" s="15"/>
    </x:row>
    <x:row r="324" ht="15.75" customHeight="1">
      <x:c r="C324" s="15"/>
    </x:row>
    <x:row r="325" ht="15.75" customHeight="1">
      <x:c r="C325" s="15"/>
    </x:row>
    <x:row r="326" ht="15.75" customHeight="1">
      <x:c r="C326" s="15"/>
    </x:row>
    <x:row r="327" ht="15.75" customHeight="1">
      <x:c r="C327" s="15"/>
    </x:row>
    <x:row r="328" ht="15.75" customHeight="1">
      <x:c r="C328" s="15"/>
    </x:row>
    <x:row r="329" ht="15.75" customHeight="1">
      <x:c r="C329" s="15"/>
    </x:row>
    <x:row r="330" ht="15.75" customHeight="1">
      <x:c r="C330" s="15"/>
    </x:row>
    <x:row r="331" ht="15.75" customHeight="1">
      <x:c r="C331" s="15"/>
    </x:row>
    <x:row r="332" ht="15.75" customHeight="1">
      <x:c r="C332" s="15"/>
    </x:row>
    <x:row r="333" ht="15.75" customHeight="1">
      <x:c r="C333" s="15"/>
    </x:row>
    <x:row r="334" ht="15.75" customHeight="1">
      <x:c r="C334" s="15"/>
    </x:row>
    <x:row r="335" ht="15.75" customHeight="1">
      <x:c r="C335" s="15"/>
    </x:row>
    <x:row r="336" ht="15.75" customHeight="1">
      <x:c r="C336" s="15"/>
    </x:row>
    <x:row r="337" ht="15.75" customHeight="1">
      <x:c r="C337" s="15"/>
    </x:row>
    <x:row r="338" ht="15.75" customHeight="1">
      <x:c r="C338" s="15"/>
    </x:row>
    <x:row r="339" ht="15.75" customHeight="1">
      <x:c r="C339" s="15"/>
    </x:row>
    <x:row r="340" ht="15.75" customHeight="1">
      <x:c r="C340" s="15"/>
    </x:row>
    <x:row r="341" ht="15.75" customHeight="1">
      <x:c r="C341" s="15"/>
    </x:row>
    <x:row r="342" ht="15.75" customHeight="1">
      <x:c r="C342" s="15"/>
    </x:row>
    <x:row r="343" ht="15.75" customHeight="1">
      <x:c r="C343" s="15"/>
    </x:row>
    <x:row r="344" ht="15.75" customHeight="1">
      <x:c r="C344" s="15"/>
    </x:row>
    <x:row r="345" ht="15.75" customHeight="1">
      <x:c r="C345" s="15"/>
    </x:row>
    <x:row r="346" ht="15.75" customHeight="1">
      <x:c r="C346" s="15"/>
    </x:row>
    <x:row r="347" ht="15.75" customHeight="1">
      <x:c r="C347" s="15"/>
    </x:row>
    <x:row r="348" ht="15.75" customHeight="1">
      <x:c r="C348" s="15"/>
    </x:row>
    <x:row r="349" ht="15.75" customHeight="1">
      <x:c r="C349" s="15"/>
    </x:row>
    <x:row r="350" ht="15.75" customHeight="1">
      <x:c r="C350" s="15"/>
    </x:row>
    <x:row r="351" ht="15.75" customHeight="1">
      <x:c r="C351" s="15"/>
    </x:row>
    <x:row r="352" ht="15.75" customHeight="1">
      <x:c r="C352" s="15"/>
    </x:row>
    <x:row r="353" ht="15.75" customHeight="1">
      <x:c r="C353" s="15"/>
    </x:row>
    <x:row r="354" ht="15.75" customHeight="1">
      <x:c r="C354" s="15"/>
    </x:row>
    <x:row r="355" ht="15.75" customHeight="1">
      <x:c r="C355" s="15"/>
    </x:row>
    <x:row r="356" ht="15.75" customHeight="1">
      <x:c r="C356" s="15"/>
    </x:row>
    <x:row r="357" ht="15.75" customHeight="1">
      <x:c r="C357" s="15"/>
    </x:row>
    <x:row r="358" ht="15.75" customHeight="1">
      <x:c r="C358" s="15"/>
    </x:row>
    <x:row r="359" ht="15.75" customHeight="1">
      <x:c r="C359" s="15"/>
    </x:row>
    <x:row r="360" ht="15.75" customHeight="1">
      <x:c r="C360" s="15"/>
    </x:row>
    <x:row r="361" ht="15.75" customHeight="1">
      <x:c r="C361" s="15"/>
    </x:row>
    <x:row r="362" ht="15.75" customHeight="1">
      <x:c r="C362" s="15"/>
    </x:row>
    <x:row r="363" ht="15.75" customHeight="1">
      <x:c r="C363" s="15"/>
    </x:row>
    <x:row r="364" ht="15.75" customHeight="1">
      <x:c r="C364" s="15"/>
    </x:row>
    <x:row r="365" ht="15.75" customHeight="1">
      <x:c r="C365" s="15"/>
    </x:row>
    <x:row r="366" ht="15.75" customHeight="1">
      <x:c r="C366" s="15"/>
    </x:row>
    <x:row r="367" ht="15.75" customHeight="1">
      <x:c r="C367" s="15"/>
    </x:row>
    <x:row r="368" ht="15.75" customHeight="1">
      <x:c r="C368" s="15"/>
    </x:row>
    <x:row r="369" ht="15.75" customHeight="1">
      <x:c r="C369" s="15"/>
    </x:row>
    <x:row r="370" ht="15.75" customHeight="1">
      <x:c r="C370" s="15"/>
    </x:row>
    <x:row r="371" ht="15.75" customHeight="1">
      <x:c r="C371" s="15"/>
    </x:row>
    <x:row r="372" ht="15.75" customHeight="1">
      <x:c r="C372" s="15"/>
    </x:row>
    <x:row r="373" ht="15.75" customHeight="1">
      <x:c r="C373" s="15"/>
    </x:row>
    <x:row r="374" ht="15.75" customHeight="1">
      <x:c r="C374" s="15"/>
    </x:row>
    <x:row r="375" ht="15.75" customHeight="1">
      <x:c r="C375" s="15"/>
    </x:row>
    <x:row r="376" ht="15.75" customHeight="1">
      <x:c r="C376" s="15"/>
    </x:row>
    <x:row r="377" ht="15.75" customHeight="1">
      <x:c r="C377" s="15"/>
    </x:row>
    <x:row r="378" ht="15.75" customHeight="1">
      <x:c r="C378" s="15"/>
    </x:row>
    <x:row r="379" ht="15.75" customHeight="1">
      <x:c r="C379" s="15"/>
    </x:row>
    <x:row r="380" ht="15.75" customHeight="1">
      <x:c r="C380" s="15"/>
    </x:row>
    <x:row r="381" ht="15.75" customHeight="1">
      <x:c r="C381" s="15"/>
    </x:row>
    <x:row r="382" ht="15.75" customHeight="1">
      <x:c r="C382" s="15"/>
    </x:row>
    <x:row r="383" ht="15.75" customHeight="1">
      <x:c r="C383" s="15"/>
    </x:row>
    <x:row r="384" ht="15.75" customHeight="1">
      <x:c r="C384" s="15"/>
    </x:row>
    <x:row r="385" ht="15.75" customHeight="1">
      <x:c r="C385" s="15"/>
    </x:row>
    <x:row r="386" ht="15.75" customHeight="1">
      <x:c r="C386" s="15"/>
    </x:row>
    <x:row r="387" ht="15.75" customHeight="1">
      <x:c r="C387" s="15"/>
    </x:row>
    <x:row r="388" ht="15.75" customHeight="1">
      <x:c r="C388" s="15"/>
    </x:row>
    <x:row r="389" ht="15.75" customHeight="1">
      <x:c r="C389" s="15"/>
    </x:row>
    <x:row r="390" ht="15.75" customHeight="1">
      <x:c r="C390" s="15"/>
    </x:row>
    <x:row r="391" ht="15.75" customHeight="1">
      <x:c r="C391" s="15"/>
    </x:row>
    <x:row r="392" ht="15.75" customHeight="1">
      <x:c r="C392" s="15"/>
    </x:row>
    <x:row r="393" ht="15.75" customHeight="1">
      <x:c r="C393" s="15"/>
    </x:row>
    <x:row r="394" ht="15.75" customHeight="1">
      <x:c r="C394" s="15"/>
    </x:row>
    <x:row r="395" ht="15.75" customHeight="1">
      <x:c r="C395" s="15"/>
    </x:row>
    <x:row r="396" ht="15.75" customHeight="1">
      <x:c r="C396" s="15"/>
    </x:row>
    <x:row r="397" ht="15.75" customHeight="1">
      <x:c r="C397" s="15"/>
    </x:row>
    <x:row r="398" ht="15.75" customHeight="1">
      <x:c r="C398" s="15"/>
    </x:row>
    <x:row r="399" ht="15.75" customHeight="1">
      <x:c r="C399" s="15"/>
    </x:row>
    <x:row r="400" ht="15.75" customHeight="1">
      <x:c r="C400" s="15"/>
    </x:row>
    <x:row r="401" ht="15.75" customHeight="1">
      <x:c r="C401" s="15"/>
    </x:row>
    <x:row r="402" ht="15.75" customHeight="1">
      <x:c r="C402" s="15"/>
    </x:row>
    <x:row r="403" ht="15.75" customHeight="1">
      <x:c r="C403" s="15"/>
    </x:row>
    <x:row r="404" ht="15.75" customHeight="1">
      <x:c r="C404" s="15"/>
    </x:row>
    <x:row r="405" ht="15.75" customHeight="1">
      <x:c r="C405" s="15"/>
    </x:row>
    <x:row r="406" ht="15.75" customHeight="1">
      <x:c r="C406" s="15"/>
    </x:row>
    <x:row r="407" ht="15.75" customHeight="1">
      <x:c r="C407" s="15"/>
    </x:row>
    <x:row r="408" ht="15.75" customHeight="1">
      <x:c r="C408" s="15"/>
    </x:row>
    <x:row r="409" ht="15.75" customHeight="1">
      <x:c r="C409" s="15"/>
    </x:row>
    <x:row r="410" ht="15.75" customHeight="1">
      <x:c r="C410" s="15"/>
    </x:row>
    <x:row r="411" ht="15.75" customHeight="1">
      <x:c r="C411" s="15"/>
    </x:row>
    <x:row r="412" ht="15.75" customHeight="1">
      <x:c r="C412" s="15"/>
    </x:row>
    <x:row r="413" ht="15.75" customHeight="1">
      <x:c r="C413" s="15"/>
    </x:row>
    <x:row r="414" ht="15.75" customHeight="1">
      <x:c r="C414" s="15"/>
    </x:row>
    <x:row r="415" ht="15.75" customHeight="1">
      <x:c r="C415" s="15"/>
    </x:row>
    <x:row r="416" ht="15.75" customHeight="1">
      <x:c r="C416" s="15"/>
    </x:row>
    <x:row r="417" ht="15.75" customHeight="1">
      <x:c r="C417" s="15"/>
    </x:row>
    <x:row r="418" ht="15.75" customHeight="1">
      <x:c r="C418" s="15"/>
    </x:row>
    <x:row r="419" ht="15.75" customHeight="1">
      <x:c r="C419" s="15"/>
    </x:row>
    <x:row r="420" ht="15.75" customHeight="1">
      <x:c r="C420" s="15"/>
    </x:row>
    <x:row r="421" ht="15.75" customHeight="1">
      <x:c r="C421" s="15"/>
    </x:row>
    <x:row r="422" ht="15.75" customHeight="1">
      <x:c r="C422" s="15"/>
    </x:row>
    <x:row r="423" ht="15.75" customHeight="1">
      <x:c r="C423" s="15"/>
    </x:row>
    <x:row r="424" ht="15.75" customHeight="1">
      <x:c r="C424" s="15"/>
    </x:row>
    <x:row r="425" ht="15.75" customHeight="1">
      <x:c r="C425" s="15"/>
    </x:row>
    <x:row r="426" ht="15.75" customHeight="1">
      <x:c r="C426" s="15"/>
    </x:row>
    <x:row r="427" ht="15.75" customHeight="1">
      <x:c r="C427" s="15"/>
    </x:row>
    <x:row r="428" ht="15.75" customHeight="1">
      <x:c r="C428" s="15"/>
    </x:row>
    <x:row r="429" ht="15.75" customHeight="1">
      <x:c r="C429" s="15"/>
    </x:row>
    <x:row r="430" ht="15.75" customHeight="1">
      <x:c r="C430" s="15"/>
    </x:row>
    <x:row r="431" ht="15.75" customHeight="1">
      <x:c r="C431" s="15"/>
    </x:row>
    <x:row r="432" ht="15.75" customHeight="1">
      <x:c r="C432" s="15"/>
    </x:row>
    <x:row r="433" ht="15.75" customHeight="1">
      <x:c r="C433" s="15"/>
    </x:row>
    <x:row r="434" ht="15.75" customHeight="1">
      <x:c r="C434" s="15"/>
    </x:row>
    <x:row r="435" ht="15.75" customHeight="1">
      <x:c r="C435" s="15"/>
    </x:row>
    <x:row r="436" ht="15.75" customHeight="1">
      <x:c r="C436" s="15"/>
    </x:row>
    <x:row r="437" ht="15.75" customHeight="1">
      <x:c r="C437" s="15"/>
    </x:row>
    <x:row r="438" ht="15.75" customHeight="1">
      <x:c r="C438" s="15"/>
    </x:row>
    <x:row r="439" ht="15.75" customHeight="1">
      <x:c r="C439" s="15"/>
    </x:row>
    <x:row r="440" ht="15.75" customHeight="1">
      <x:c r="C440" s="15"/>
    </x:row>
    <x:row r="441" ht="15.75" customHeight="1">
      <x:c r="C441" s="15"/>
    </x:row>
    <x:row r="442" ht="15.75" customHeight="1">
      <x:c r="C442" s="15"/>
    </x:row>
    <x:row r="443" ht="15.75" customHeight="1">
      <x:c r="C443" s="15"/>
    </x:row>
    <x:row r="444" ht="15.75" customHeight="1">
      <x:c r="C444" s="15"/>
    </x:row>
    <x:row r="445" ht="15.75" customHeight="1">
      <x:c r="C445" s="15"/>
    </x:row>
    <x:row r="446" ht="15.75" customHeight="1">
      <x:c r="C446" s="15"/>
    </x:row>
    <x:row r="447" ht="15.75" customHeight="1">
      <x:c r="C447" s="15"/>
    </x:row>
    <x:row r="448" ht="15.75" customHeight="1">
      <x:c r="C448" s="15"/>
    </x:row>
    <x:row r="449" ht="15.75" customHeight="1">
      <x:c r="C449" s="15"/>
    </x:row>
    <x:row r="450" ht="15.75" customHeight="1">
      <x:c r="C450" s="15"/>
    </x:row>
    <x:row r="451" ht="15.75" customHeight="1">
      <x:c r="C451" s="15"/>
    </x:row>
    <x:row r="452" ht="15.75" customHeight="1">
      <x:c r="C452" s="15"/>
    </x:row>
    <x:row r="453" ht="15.75" customHeight="1">
      <x:c r="C453" s="15"/>
    </x:row>
    <x:row r="454" ht="15.75" customHeight="1">
      <x:c r="C454" s="15"/>
    </x:row>
    <x:row r="455" ht="15.75" customHeight="1">
      <x:c r="C455" s="15"/>
    </x:row>
    <x:row r="456" ht="15.75" customHeight="1">
      <x:c r="C456" s="15"/>
    </x:row>
    <x:row r="457" ht="15.75" customHeight="1">
      <x:c r="C457" s="15"/>
    </x:row>
    <x:row r="458" ht="15.75" customHeight="1">
      <x:c r="C458" s="15"/>
    </x:row>
    <x:row r="459" ht="15.75" customHeight="1">
      <x:c r="C459" s="15"/>
    </x:row>
    <x:row r="460" ht="15.75" customHeight="1">
      <x:c r="C460" s="15"/>
    </x:row>
    <x:row r="461" ht="15.75" customHeight="1">
      <x:c r="C461" s="15"/>
    </x:row>
    <x:row r="462" ht="15.75" customHeight="1">
      <x:c r="C462" s="15"/>
    </x:row>
    <x:row r="463" ht="15.75" customHeight="1">
      <x:c r="C463" s="15"/>
    </x:row>
    <x:row r="464" ht="15.75" customHeight="1">
      <x:c r="C464" s="15"/>
    </x:row>
    <x:row r="465" ht="15.75" customHeight="1">
      <x:c r="C465" s="15"/>
    </x:row>
    <x:row r="466" ht="15.75" customHeight="1">
      <x:c r="C466" s="15"/>
    </x:row>
    <x:row r="467" ht="15.75" customHeight="1">
      <x:c r="C467" s="15"/>
    </x:row>
    <x:row r="468" ht="15.75" customHeight="1">
      <x:c r="C468" s="15"/>
    </x:row>
    <x:row r="469" ht="15.75" customHeight="1">
      <x:c r="C469" s="15"/>
    </x:row>
    <x:row r="470" ht="15.75" customHeight="1">
      <x:c r="C470" s="15"/>
    </x:row>
    <x:row r="471" ht="15.75" customHeight="1">
      <x:c r="C471" s="15"/>
    </x:row>
    <x:row r="472" ht="15.75" customHeight="1">
      <x:c r="C472" s="15"/>
    </x:row>
    <x:row r="473" ht="15.75" customHeight="1">
      <x:c r="C473" s="15"/>
    </x:row>
    <x:row r="474" ht="15.75" customHeight="1">
      <x:c r="C474" s="15"/>
    </x:row>
    <x:row r="475" ht="15.75" customHeight="1">
      <x:c r="C475" s="15"/>
    </x:row>
    <x:row r="476" ht="15.75" customHeight="1">
      <x:c r="C476" s="15"/>
    </x:row>
    <x:row r="477" ht="15.75" customHeight="1">
      <x:c r="C477" s="15"/>
    </x:row>
    <x:row r="478" ht="15.75" customHeight="1">
      <x:c r="C478" s="15"/>
    </x:row>
    <x:row r="479" ht="15.75" customHeight="1">
      <x:c r="C479" s="15"/>
    </x:row>
    <x:row r="480" ht="15.75" customHeight="1">
      <x:c r="C480" s="15"/>
    </x:row>
    <x:row r="481" ht="15.75" customHeight="1">
      <x:c r="C481" s="15"/>
    </x:row>
    <x:row r="482" ht="15.75" customHeight="1">
      <x:c r="C482" s="15"/>
    </x:row>
    <x:row r="483" ht="15.75" customHeight="1">
      <x:c r="C483" s="15"/>
    </x:row>
    <x:row r="484" ht="15.75" customHeight="1">
      <x:c r="C484" s="15"/>
    </x:row>
    <x:row r="485" ht="15.75" customHeight="1">
      <x:c r="C485" s="15"/>
    </x:row>
    <x:row r="486" ht="15.75" customHeight="1">
      <x:c r="C486" s="15"/>
    </x:row>
    <x:row r="487" ht="15.75" customHeight="1">
      <x:c r="C487" s="15"/>
    </x:row>
    <x:row r="488" ht="15.75" customHeight="1">
      <x:c r="C488" s="15"/>
    </x:row>
    <x:row r="489" ht="15.75" customHeight="1">
      <x:c r="C489" s="15"/>
    </x:row>
    <x:row r="490" ht="15.75" customHeight="1">
      <x:c r="C490" s="15"/>
    </x:row>
    <x:row r="491" ht="15.75" customHeight="1">
      <x:c r="C491" s="15"/>
    </x:row>
    <x:row r="492" ht="15.75" customHeight="1">
      <x:c r="C492" s="15"/>
    </x:row>
    <x:row r="493" ht="15.75" customHeight="1">
      <x:c r="C493" s="15"/>
    </x:row>
    <x:row r="494" ht="15.75" customHeight="1">
      <x:c r="C494" s="15"/>
    </x:row>
    <x:row r="495" ht="15.75" customHeight="1">
      <x:c r="C495" s="15"/>
    </x:row>
    <x:row r="496" ht="15.75" customHeight="1">
      <x:c r="C496" s="15"/>
    </x:row>
    <x:row r="497" ht="15.75" customHeight="1">
      <x:c r="C497" s="15"/>
    </x:row>
    <x:row r="498" ht="15.75" customHeight="1">
      <x:c r="C498" s="15"/>
    </x:row>
    <x:row r="499" ht="15.75" customHeight="1">
      <x:c r="C499" s="15"/>
    </x:row>
    <x:row r="500" ht="15.75" customHeight="1">
      <x:c r="C500" s="15"/>
    </x:row>
    <x:row r="501" ht="15.75" customHeight="1">
      <x:c r="C501" s="15"/>
    </x:row>
    <x:row r="502" ht="15.75" customHeight="1">
      <x:c r="C502" s="15"/>
    </x:row>
    <x:row r="503" ht="15.75" customHeight="1">
      <x:c r="C503" s="15"/>
    </x:row>
    <x:row r="504" ht="15.75" customHeight="1">
      <x:c r="C504" s="15"/>
    </x:row>
    <x:row r="505" ht="15.75" customHeight="1">
      <x:c r="C505" s="15"/>
    </x:row>
    <x:row r="506" ht="15.75" customHeight="1">
      <x:c r="C506" s="15"/>
    </x:row>
    <x:row r="507" ht="15.75" customHeight="1">
      <x:c r="C507" s="15"/>
    </x:row>
    <x:row r="508" ht="15.75" customHeight="1">
      <x:c r="C508" s="15"/>
    </x:row>
    <x:row r="509" ht="15.75" customHeight="1">
      <x:c r="C509" s="15"/>
    </x:row>
    <x:row r="510" ht="15.75" customHeight="1">
      <x:c r="C510" s="15"/>
    </x:row>
    <x:row r="511" ht="15.75" customHeight="1">
      <x:c r="C511" s="15"/>
    </x:row>
    <x:row r="512" ht="15.75" customHeight="1">
      <x:c r="C512" s="15"/>
    </x:row>
    <x:row r="513" ht="15.75" customHeight="1">
      <x:c r="C513" s="15"/>
    </x:row>
    <x:row r="514" ht="15.75" customHeight="1">
      <x:c r="C514" s="15"/>
    </x:row>
    <x:row r="515" ht="15.75" customHeight="1">
      <x:c r="C515" s="15"/>
    </x:row>
    <x:row r="516" ht="15.75" customHeight="1">
      <x:c r="C516" s="15"/>
    </x:row>
    <x:row r="517" ht="15.75" customHeight="1">
      <x:c r="C517" s="15"/>
    </x:row>
    <x:row r="518" ht="15.75" customHeight="1">
      <x:c r="C518" s="15"/>
    </x:row>
    <x:row r="519" ht="15.75" customHeight="1">
      <x:c r="C519" s="15"/>
    </x:row>
    <x:row r="520" ht="15.75" customHeight="1">
      <x:c r="C520" s="15"/>
    </x:row>
    <x:row r="521" ht="15.75" customHeight="1">
      <x:c r="C521" s="15"/>
    </x:row>
    <x:row r="522" ht="15.75" customHeight="1">
      <x:c r="C522" s="15"/>
    </x:row>
    <x:row r="523" ht="15.75" customHeight="1">
      <x:c r="C523" s="15"/>
    </x:row>
    <x:row r="524" ht="15.75" customHeight="1">
      <x:c r="C524" s="15"/>
    </x:row>
    <x:row r="525" ht="15.75" customHeight="1">
      <x:c r="C525" s="15"/>
    </x:row>
    <x:row r="526" ht="15.75" customHeight="1">
      <x:c r="C526" s="15"/>
    </x:row>
    <x:row r="527" ht="15.75" customHeight="1">
      <x:c r="C527" s="15"/>
    </x:row>
    <x:row r="528" ht="15.75" customHeight="1">
      <x:c r="C528" s="15"/>
    </x:row>
    <x:row r="529" ht="15.75" customHeight="1">
      <x:c r="C529" s="15"/>
    </x:row>
    <x:row r="530" ht="15.75" customHeight="1">
      <x:c r="C530" s="15"/>
    </x:row>
    <x:row r="531" ht="15.75" customHeight="1">
      <x:c r="C531" s="15"/>
    </x:row>
    <x:row r="532" ht="15.75" customHeight="1">
      <x:c r="C532" s="15"/>
    </x:row>
    <x:row r="533" ht="15.75" customHeight="1">
      <x:c r="C533" s="15"/>
    </x:row>
    <x:row r="534" ht="15.75" customHeight="1">
      <x:c r="C534" s="15"/>
    </x:row>
    <x:row r="535" ht="15.75" customHeight="1">
      <x:c r="C535" s="15"/>
    </x:row>
    <x:row r="536" ht="15.75" customHeight="1">
      <x:c r="C536" s="15"/>
    </x:row>
    <x:row r="537" ht="15.75" customHeight="1">
      <x:c r="C537" s="15"/>
    </x:row>
    <x:row r="538" ht="15.75" customHeight="1">
      <x:c r="C538" s="15"/>
    </x:row>
    <x:row r="539" ht="15.75" customHeight="1">
      <x:c r="C539" s="15"/>
    </x:row>
    <x:row r="540" ht="15.75" customHeight="1">
      <x:c r="C540" s="15"/>
    </x:row>
    <x:row r="541" ht="15.75" customHeight="1">
      <x:c r="C541" s="15"/>
    </x:row>
    <x:row r="542" ht="15.75" customHeight="1">
      <x:c r="C542" s="15"/>
    </x:row>
    <x:row r="543" ht="15.75" customHeight="1">
      <x:c r="C543" s="15"/>
    </x:row>
    <x:row r="544" ht="15.75" customHeight="1">
      <x:c r="C544" s="15"/>
    </x:row>
    <x:row r="545" ht="15.75" customHeight="1">
      <x:c r="C545" s="15"/>
    </x:row>
    <x:row r="546" ht="15.75" customHeight="1">
      <x:c r="C546" s="15"/>
    </x:row>
    <x:row r="547" ht="15.75" customHeight="1">
      <x:c r="C547" s="15"/>
    </x:row>
    <x:row r="548" ht="15.75" customHeight="1">
      <x:c r="C548" s="15"/>
    </x:row>
    <x:row r="549" ht="15.75" customHeight="1">
      <x:c r="C549" s="15"/>
    </x:row>
    <x:row r="550" ht="15.75" customHeight="1">
      <x:c r="C550" s="15"/>
    </x:row>
    <x:row r="551" ht="15.75" customHeight="1">
      <x:c r="C551" s="15"/>
    </x:row>
    <x:row r="552" ht="15.75" customHeight="1">
      <x:c r="C552" s="15"/>
    </x:row>
    <x:row r="553" ht="15.75" customHeight="1">
      <x:c r="C553" s="15"/>
    </x:row>
    <x:row r="554" ht="15.75" customHeight="1">
      <x:c r="C554" s="15"/>
    </x:row>
    <x:row r="555" ht="15.75" customHeight="1">
      <x:c r="C555" s="15"/>
    </x:row>
    <x:row r="556" ht="15.75" customHeight="1">
      <x:c r="C556" s="15"/>
    </x:row>
    <x:row r="557" ht="15.75" customHeight="1">
      <x:c r="C557" s="15"/>
    </x:row>
    <x:row r="558" ht="15.75" customHeight="1">
      <x:c r="C558" s="15"/>
    </x:row>
    <x:row r="559" ht="15.75" customHeight="1">
      <x:c r="C559" s="15"/>
    </x:row>
    <x:row r="560" ht="15.75" customHeight="1">
      <x:c r="C560" s="15"/>
    </x:row>
    <x:row r="561" ht="15.75" customHeight="1">
      <x:c r="C561" s="15"/>
    </x:row>
    <x:row r="562" ht="15.75" customHeight="1">
      <x:c r="C562" s="15"/>
    </x:row>
    <x:row r="563" ht="15.75" customHeight="1">
      <x:c r="C563" s="15"/>
    </x:row>
    <x:row r="564" ht="15.75" customHeight="1">
      <x:c r="C564" s="15"/>
    </x:row>
    <x:row r="565" ht="15.75" customHeight="1">
      <x:c r="C565" s="15"/>
    </x:row>
    <x:row r="566" ht="15.75" customHeight="1">
      <x:c r="C566" s="15"/>
    </x:row>
    <x:row r="567" ht="15.75" customHeight="1">
      <x:c r="C567" s="15"/>
    </x:row>
    <x:row r="568" ht="15.75" customHeight="1">
      <x:c r="C568" s="15"/>
    </x:row>
    <x:row r="569" ht="15.75" customHeight="1">
      <x:c r="C569" s="15"/>
    </x:row>
    <x:row r="570" ht="15.75" customHeight="1">
      <x:c r="C570" s="15"/>
    </x:row>
    <x:row r="571" ht="15.75" customHeight="1">
      <x:c r="C571" s="15"/>
    </x:row>
    <x:row r="572" ht="15.75" customHeight="1">
      <x:c r="C572" s="15"/>
    </x:row>
    <x:row r="573" ht="15.75" customHeight="1">
      <x:c r="C573" s="15"/>
    </x:row>
    <x:row r="574" ht="15.75" customHeight="1">
      <x:c r="C574" s="15"/>
    </x:row>
    <x:row r="575" ht="15.75" customHeight="1">
      <x:c r="C575" s="15"/>
    </x:row>
    <x:row r="576" ht="15.75" customHeight="1">
      <x:c r="C576" s="15"/>
    </x:row>
    <x:row r="577" ht="15.75" customHeight="1">
      <x:c r="C577" s="15"/>
    </x:row>
    <x:row r="578" ht="15.75" customHeight="1">
      <x:c r="C578" s="15"/>
    </x:row>
    <x:row r="579" ht="15.75" customHeight="1">
      <x:c r="C579" s="15"/>
    </x:row>
    <x:row r="580" ht="15.75" customHeight="1">
      <x:c r="C580" s="15"/>
    </x:row>
    <x:row r="581" ht="15.75" customHeight="1">
      <x:c r="C581" s="15"/>
    </x:row>
    <x:row r="582" ht="15.75" customHeight="1">
      <x:c r="C582" s="15"/>
    </x:row>
    <x:row r="583" ht="15.75" customHeight="1">
      <x:c r="C583" s="15"/>
    </x:row>
    <x:row r="584" ht="15.75" customHeight="1">
      <x:c r="C584" s="15"/>
    </x:row>
    <x:row r="585" ht="15.75" customHeight="1">
      <x:c r="C585" s="15"/>
    </x:row>
    <x:row r="586" ht="15.75" customHeight="1">
      <x:c r="C586" s="15"/>
    </x:row>
    <x:row r="587" ht="15.75" customHeight="1">
      <x:c r="C587" s="15"/>
    </x:row>
    <x:row r="588" ht="15.75" customHeight="1">
      <x:c r="C588" s="15"/>
    </x:row>
    <x:row r="589" ht="15.75" customHeight="1">
      <x:c r="C589" s="15"/>
    </x:row>
    <x:row r="590" ht="15.75" customHeight="1">
      <x:c r="C590" s="15"/>
    </x:row>
    <x:row r="591" ht="15.75" customHeight="1">
      <x:c r="C591" s="15"/>
    </x:row>
    <x:row r="592" ht="15.75" customHeight="1">
      <x:c r="C592" s="15"/>
    </x:row>
    <x:row r="593" ht="15.75" customHeight="1">
      <x:c r="C593" s="15"/>
    </x:row>
    <x:row r="594" ht="15.75" customHeight="1">
      <x:c r="C594" s="15"/>
    </x:row>
    <x:row r="595" ht="15.75" customHeight="1">
      <x:c r="C595" s="15"/>
    </x:row>
    <x:row r="596" ht="15.75" customHeight="1">
      <x:c r="C596" s="15"/>
    </x:row>
    <x:row r="597" ht="15.75" customHeight="1">
      <x:c r="C597" s="15"/>
    </x:row>
    <x:row r="598" ht="15.75" customHeight="1">
      <x:c r="C598" s="15"/>
    </x:row>
    <x:row r="599" ht="15.75" customHeight="1">
      <x:c r="C599" s="15"/>
    </x:row>
    <x:row r="600" ht="15.75" customHeight="1">
      <x:c r="C600" s="15"/>
    </x:row>
    <x:row r="601" ht="15.75" customHeight="1">
      <x:c r="C601" s="15"/>
    </x:row>
    <x:row r="602" ht="15.75" customHeight="1">
      <x:c r="C602" s="15"/>
    </x:row>
    <x:row r="603" ht="15.75" customHeight="1">
      <x:c r="C603" s="15"/>
    </x:row>
    <x:row r="604" ht="15.75" customHeight="1">
      <x:c r="C604" s="15"/>
    </x:row>
    <x:row r="605" ht="15.75" customHeight="1">
      <x:c r="C605" s="15"/>
    </x:row>
    <x:row r="606" ht="15.75" customHeight="1">
      <x:c r="C606" s="15"/>
    </x:row>
    <x:row r="607" ht="15.75" customHeight="1">
      <x:c r="C607" s="15"/>
    </x:row>
    <x:row r="608" ht="15.75" customHeight="1">
      <x:c r="C608" s="15"/>
    </x:row>
    <x:row r="609" ht="15.75" customHeight="1">
      <x:c r="C609" s="15"/>
    </x:row>
    <x:row r="610" ht="15.75" customHeight="1">
      <x:c r="C610" s="15"/>
    </x:row>
    <x:row r="611" ht="15.75" customHeight="1">
      <x:c r="C611" s="15"/>
    </x:row>
    <x:row r="612" ht="15.75" customHeight="1">
      <x:c r="C612" s="15"/>
    </x:row>
    <x:row r="613" ht="15.75" customHeight="1">
      <x:c r="C613" s="15"/>
    </x:row>
    <x:row r="614" ht="15.75" customHeight="1">
      <x:c r="C614" s="15"/>
    </x:row>
    <x:row r="615" ht="15.75" customHeight="1">
      <x:c r="C615" s="15"/>
    </x:row>
    <x:row r="616" ht="15.75" customHeight="1">
      <x:c r="C616" s="15"/>
    </x:row>
    <x:row r="617" ht="15.75" customHeight="1">
      <x:c r="C617" s="15"/>
    </x:row>
    <x:row r="618" ht="15.75" customHeight="1">
      <x:c r="C618" s="15"/>
    </x:row>
    <x:row r="619" ht="15.75" customHeight="1">
      <x:c r="C619" s="15"/>
    </x:row>
    <x:row r="620" ht="15.75" customHeight="1">
      <x:c r="C620" s="15"/>
    </x:row>
    <x:row r="621" ht="15.75" customHeight="1">
      <x:c r="C621" s="15"/>
    </x:row>
    <x:row r="622" ht="15.75" customHeight="1">
      <x:c r="C622" s="15"/>
    </x:row>
    <x:row r="623" ht="15.75" customHeight="1">
      <x:c r="C623" s="15"/>
    </x:row>
    <x:row r="624" ht="15.75" customHeight="1">
      <x:c r="C624" s="15"/>
    </x:row>
    <x:row r="625" ht="15.75" customHeight="1">
      <x:c r="C625" s="15"/>
    </x:row>
    <x:row r="626" ht="15.75" customHeight="1">
      <x:c r="C626" s="15"/>
    </x:row>
    <x:row r="627" ht="15.75" customHeight="1">
      <x:c r="C627" s="15"/>
    </x:row>
    <x:row r="628" ht="15.75" customHeight="1">
      <x:c r="C628" s="15"/>
    </x:row>
    <x:row r="629" ht="15.75" customHeight="1">
      <x:c r="C629" s="15"/>
    </x:row>
    <x:row r="630" ht="15.75" customHeight="1">
      <x:c r="C630" s="15"/>
    </x:row>
    <x:row r="631" ht="15.75" customHeight="1">
      <x:c r="C631" s="15"/>
    </x:row>
    <x:row r="632" ht="15.75" customHeight="1">
      <x:c r="C632" s="15"/>
    </x:row>
    <x:row r="633" ht="15.75" customHeight="1">
      <x:c r="C633" s="15"/>
    </x:row>
    <x:row r="634" ht="15.75" customHeight="1">
      <x:c r="C634" s="15"/>
    </x:row>
    <x:row r="635" ht="15.75" customHeight="1">
      <x:c r="C635" s="15"/>
    </x:row>
    <x:row r="636" ht="15.75" customHeight="1">
      <x:c r="C636" s="15"/>
    </x:row>
    <x:row r="637" ht="15.75" customHeight="1">
      <x:c r="C637" s="15"/>
    </x:row>
    <x:row r="638" ht="15.75" customHeight="1">
      <x:c r="C638" s="15"/>
    </x:row>
    <x:row r="639" ht="15.75" customHeight="1">
      <x:c r="C639" s="15"/>
    </x:row>
    <x:row r="640" ht="15.75" customHeight="1">
      <x:c r="C640" s="15"/>
    </x:row>
    <x:row r="641" ht="15.75" customHeight="1">
      <x:c r="C641" s="15"/>
    </x:row>
    <x:row r="642" ht="15.75" customHeight="1">
      <x:c r="C642" s="15"/>
    </x:row>
    <x:row r="643" ht="15.75" customHeight="1">
      <x:c r="C643" s="15"/>
    </x:row>
    <x:row r="644" ht="15.75" customHeight="1">
      <x:c r="C644" s="15"/>
    </x:row>
    <x:row r="645" ht="15.75" customHeight="1">
      <x:c r="C645" s="15"/>
    </x:row>
    <x:row r="646" ht="15.75" customHeight="1">
      <x:c r="C646" s="15"/>
    </x:row>
    <x:row r="647" ht="15.75" customHeight="1">
      <x:c r="C647" s="15"/>
    </x:row>
    <x:row r="648" ht="15.75" customHeight="1">
      <x:c r="C648" s="15"/>
    </x:row>
    <x:row r="649" ht="15.75" customHeight="1">
      <x:c r="C649" s="15"/>
    </x:row>
    <x:row r="650" ht="15.75" customHeight="1">
      <x:c r="C650" s="15"/>
    </x:row>
    <x:row r="651" ht="15.75" customHeight="1">
      <x:c r="C651" s="15"/>
    </x:row>
    <x:row r="652" ht="15.75" customHeight="1">
      <x:c r="C652" s="15"/>
    </x:row>
    <x:row r="653" ht="15.75" customHeight="1">
      <x:c r="C653" s="15"/>
    </x:row>
    <x:row r="654" ht="15.75" customHeight="1">
      <x:c r="C654" s="15"/>
    </x:row>
    <x:row r="655" ht="15.75" customHeight="1">
      <x:c r="C655" s="15"/>
    </x:row>
    <x:row r="656" ht="15.75" customHeight="1">
      <x:c r="C656" s="15"/>
    </x:row>
    <x:row r="657" ht="15.75" customHeight="1">
      <x:c r="C657" s="15"/>
    </x:row>
    <x:row r="658" ht="15.75" customHeight="1">
      <x:c r="C658" s="15"/>
    </x:row>
    <x:row r="659" ht="15.75" customHeight="1">
      <x:c r="C659" s="15"/>
    </x:row>
    <x:row r="660" ht="15.75" customHeight="1">
      <x:c r="C660" s="15"/>
    </x:row>
    <x:row r="661" ht="15.75" customHeight="1">
      <x:c r="C661" s="15"/>
    </x:row>
    <x:row r="662" ht="15.75" customHeight="1">
      <x:c r="C662" s="15"/>
    </x:row>
    <x:row r="663" ht="15.75" customHeight="1">
      <x:c r="C663" s="15"/>
    </x:row>
    <x:row r="664" ht="15.75" customHeight="1">
      <x:c r="C664" s="15"/>
    </x:row>
    <x:row r="665" ht="15.75" customHeight="1">
      <x:c r="C665" s="15"/>
    </x:row>
    <x:row r="666" ht="15.75" customHeight="1">
      <x:c r="C666" s="15"/>
    </x:row>
    <x:row r="667" ht="15.75" customHeight="1">
      <x:c r="C667" s="15"/>
    </x:row>
    <x:row r="668" ht="15.75" customHeight="1">
      <x:c r="C668" s="15"/>
    </x:row>
    <x:row r="669" ht="15.75" customHeight="1">
      <x:c r="C669" s="15"/>
    </x:row>
    <x:row r="670" ht="15.75" customHeight="1">
      <x:c r="C670" s="15"/>
    </x:row>
    <x:row r="671" ht="15.75" customHeight="1">
      <x:c r="C671" s="15"/>
    </x:row>
    <x:row r="672" ht="15.75" customHeight="1">
      <x:c r="C672" s="15"/>
    </x:row>
    <x:row r="673" ht="15.75" customHeight="1">
      <x:c r="C673" s="15"/>
    </x:row>
    <x:row r="674" ht="15.75" customHeight="1">
      <x:c r="C674" s="15"/>
    </x:row>
    <x:row r="675" ht="15.75" customHeight="1">
      <x:c r="C675" s="15"/>
    </x:row>
    <x:row r="676" ht="15.75" customHeight="1">
      <x:c r="C676" s="15"/>
    </x:row>
    <x:row r="677" ht="15.75" customHeight="1">
      <x:c r="C677" s="15"/>
    </x:row>
    <x:row r="678" ht="15.75" customHeight="1">
      <x:c r="C678" s="15"/>
    </x:row>
    <x:row r="679" ht="15.75" customHeight="1">
      <x:c r="C679" s="15"/>
    </x:row>
    <x:row r="680" ht="15.75" customHeight="1">
      <x:c r="C680" s="15"/>
    </x:row>
    <x:row r="681" ht="15.75" customHeight="1">
      <x:c r="C681" s="15"/>
    </x:row>
    <x:row r="682" ht="15.75" customHeight="1">
      <x:c r="C682" s="15"/>
    </x:row>
    <x:row r="683" ht="15.75" customHeight="1">
      <x:c r="C683" s="15"/>
    </x:row>
    <x:row r="684" ht="15.75" customHeight="1">
      <x:c r="C684" s="15"/>
    </x:row>
    <x:row r="685" ht="15.75" customHeight="1">
      <x:c r="C685" s="15"/>
    </x:row>
    <x:row r="686" ht="15.75" customHeight="1">
      <x:c r="C686" s="15"/>
    </x:row>
    <x:row r="687" ht="15.75" customHeight="1">
      <x:c r="C687" s="15"/>
    </x:row>
    <x:row r="688" ht="15.75" customHeight="1">
      <x:c r="C688" s="15"/>
    </x:row>
    <x:row r="689" ht="15.75" customHeight="1">
      <x:c r="C689" s="15"/>
    </x:row>
    <x:row r="690" ht="15.75" customHeight="1">
      <x:c r="C690" s="15"/>
    </x:row>
    <x:row r="691" ht="15.75" customHeight="1">
      <x:c r="C691" s="15"/>
    </x:row>
    <x:row r="692" ht="15.75" customHeight="1">
      <x:c r="C692" s="15"/>
    </x:row>
    <x:row r="693" ht="15.75" customHeight="1">
      <x:c r="C693" s="15"/>
    </x:row>
    <x:row r="694" ht="15.75" customHeight="1">
      <x:c r="C694" s="15"/>
    </x:row>
    <x:row r="695" ht="15.75" customHeight="1">
      <x:c r="C695" s="15"/>
    </x:row>
    <x:row r="696" ht="15.75" customHeight="1">
      <x:c r="C696" s="15"/>
    </x:row>
    <x:row r="697" ht="15.75" customHeight="1">
      <x:c r="C697" s="15"/>
    </x:row>
    <x:row r="698" ht="15.75" customHeight="1">
      <x:c r="C698" s="15"/>
    </x:row>
    <x:row r="699" ht="15.75" customHeight="1">
      <x:c r="C699" s="15"/>
    </x:row>
    <x:row r="700" ht="15.75" customHeight="1">
      <x:c r="C700" s="15"/>
    </x:row>
    <x:row r="701" ht="15.75" customHeight="1">
      <x:c r="C701" s="15"/>
    </x:row>
    <x:row r="702" ht="15.75" customHeight="1">
      <x:c r="C702" s="15"/>
    </x:row>
    <x:row r="703" ht="15.75" customHeight="1">
      <x:c r="C703" s="15"/>
    </x:row>
    <x:row r="704" ht="15.75" customHeight="1">
      <x:c r="C704" s="15"/>
    </x:row>
    <x:row r="705" ht="15.75" customHeight="1">
      <x:c r="C705" s="15"/>
    </x:row>
    <x:row r="706" ht="15.75" customHeight="1">
      <x:c r="C706" s="15"/>
    </x:row>
    <x:row r="707" ht="15.75" customHeight="1">
      <x:c r="C707" s="15"/>
    </x:row>
    <x:row r="708" ht="15.75" customHeight="1">
      <x:c r="C708" s="15"/>
    </x:row>
    <x:row r="709" ht="15.75" customHeight="1">
      <x:c r="C709" s="15"/>
    </x:row>
    <x:row r="710" ht="15.75" customHeight="1">
      <x:c r="C710" s="15"/>
    </x:row>
    <x:row r="711" ht="15.75" customHeight="1">
      <x:c r="C711" s="15"/>
    </x:row>
    <x:row r="712" ht="15.75" customHeight="1">
      <x:c r="C712" s="15"/>
    </x:row>
    <x:row r="713" ht="15.75" customHeight="1">
      <x:c r="C713" s="15"/>
    </x:row>
    <x:row r="714" ht="15.75" customHeight="1">
      <x:c r="C714" s="15"/>
    </x:row>
    <x:row r="715" ht="15.75" customHeight="1">
      <x:c r="C715" s="15"/>
    </x:row>
    <x:row r="716" ht="15.75" customHeight="1">
      <x:c r="C716" s="15"/>
    </x:row>
    <x:row r="717" ht="15.75" customHeight="1">
      <x:c r="C717" s="15"/>
    </x:row>
    <x:row r="718" ht="15.75" customHeight="1">
      <x:c r="C718" s="15"/>
    </x:row>
    <x:row r="719" ht="15.75" customHeight="1">
      <x:c r="C719" s="15"/>
    </x:row>
    <x:row r="720" ht="15.75" customHeight="1">
      <x:c r="C720" s="15"/>
    </x:row>
    <x:row r="721" ht="15.75" customHeight="1">
      <x:c r="C721" s="15"/>
    </x:row>
    <x:row r="722" ht="15.75" customHeight="1">
      <x:c r="C722" s="15"/>
    </x:row>
    <x:row r="723" ht="15.75" customHeight="1">
      <x:c r="C723" s="15"/>
    </x:row>
    <x:row r="724" ht="15.75" customHeight="1">
      <x:c r="C724" s="15"/>
    </x:row>
    <x:row r="725" ht="15.75" customHeight="1">
      <x:c r="C725" s="15"/>
    </x:row>
    <x:row r="726" ht="15.75" customHeight="1">
      <x:c r="C726" s="15"/>
    </x:row>
    <x:row r="727" ht="15.75" customHeight="1">
      <x:c r="C727" s="15"/>
    </x:row>
    <x:row r="728" ht="15.75" customHeight="1">
      <x:c r="C728" s="15"/>
    </x:row>
    <x:row r="729" ht="15.75" customHeight="1">
      <x:c r="C729" s="15"/>
    </x:row>
    <x:row r="730" ht="15.75" customHeight="1">
      <x:c r="C730" s="15"/>
    </x:row>
    <x:row r="731" ht="15.75" customHeight="1">
      <x:c r="C731" s="15"/>
    </x:row>
    <x:row r="732" ht="15.75" customHeight="1">
      <x:c r="C732" s="15"/>
    </x:row>
    <x:row r="733" ht="15.75" customHeight="1">
      <x:c r="C733" s="15"/>
    </x:row>
    <x:row r="734" ht="15.75" customHeight="1">
      <x:c r="C734" s="15"/>
    </x:row>
    <x:row r="735" ht="15.75" customHeight="1">
      <x:c r="C735" s="15"/>
    </x:row>
    <x:row r="736" ht="15.75" customHeight="1">
      <x:c r="C736" s="15"/>
    </x:row>
    <x:row r="737" ht="15.75" customHeight="1">
      <x:c r="C737" s="15"/>
    </x:row>
    <x:row r="738" ht="15.75" customHeight="1">
      <x:c r="C738" s="15"/>
    </x:row>
    <x:row r="739" ht="15.75" customHeight="1">
      <x:c r="C739" s="15"/>
    </x:row>
    <x:row r="740" ht="15.75" customHeight="1">
      <x:c r="C740" s="15"/>
    </x:row>
    <x:row r="741" ht="15.75" customHeight="1">
      <x:c r="C741" s="15"/>
    </x:row>
    <x:row r="742" ht="15.75" customHeight="1">
      <x:c r="C742" s="15"/>
    </x:row>
    <x:row r="743" ht="15.75" customHeight="1">
      <x:c r="C743" s="15"/>
    </x:row>
    <x:row r="744" ht="15.75" customHeight="1">
      <x:c r="C744" s="15"/>
    </x:row>
    <x:row r="745" ht="15.75" customHeight="1">
      <x:c r="C745" s="15"/>
    </x:row>
    <x:row r="746" ht="15.75" customHeight="1">
      <x:c r="C746" s="15"/>
    </x:row>
    <x:row r="747" ht="15.75" customHeight="1">
      <x:c r="C747" s="15"/>
    </x:row>
    <x:row r="748" ht="15.75" customHeight="1">
      <x:c r="C748" s="15"/>
    </x:row>
    <x:row r="749" ht="15.75" customHeight="1">
      <x:c r="C749" s="15"/>
    </x:row>
    <x:row r="750" ht="15.75" customHeight="1">
      <x:c r="C750" s="15"/>
    </x:row>
    <x:row r="751" ht="15.75" customHeight="1">
      <x:c r="C751" s="15"/>
    </x:row>
    <x:row r="752" ht="15.75" customHeight="1">
      <x:c r="C752" s="15"/>
    </x:row>
    <x:row r="753" ht="15.75" customHeight="1">
      <x:c r="C753" s="15"/>
    </x:row>
    <x:row r="754" ht="15.75" customHeight="1">
      <x:c r="C754" s="15"/>
    </x:row>
    <x:row r="755" ht="15.75" customHeight="1">
      <x:c r="C755" s="15"/>
    </x:row>
    <x:row r="756" ht="15.75" customHeight="1">
      <x:c r="C756" s="15"/>
    </x:row>
    <x:row r="757" ht="15.75" customHeight="1">
      <x:c r="C757" s="15"/>
    </x:row>
    <x:row r="758" ht="15.75" customHeight="1">
      <x:c r="C758" s="15"/>
    </x:row>
    <x:row r="759" ht="15.75" customHeight="1">
      <x:c r="C759" s="15"/>
    </x:row>
    <x:row r="760" ht="15.75" customHeight="1">
      <x:c r="C760" s="15"/>
    </x:row>
    <x:row r="761" ht="15.75" customHeight="1">
      <x:c r="C761" s="15"/>
    </x:row>
    <x:row r="762" ht="15.75" customHeight="1">
      <x:c r="C762" s="15"/>
    </x:row>
    <x:row r="763" ht="15.75" customHeight="1">
      <x:c r="C763" s="15"/>
    </x:row>
    <x:row r="764" ht="15.75" customHeight="1">
      <x:c r="C764" s="15"/>
    </x:row>
    <x:row r="765" ht="15.75" customHeight="1">
      <x:c r="C765" s="15"/>
    </x:row>
    <x:row r="766" ht="15.75" customHeight="1">
      <x:c r="C766" s="15"/>
    </x:row>
    <x:row r="767" ht="15.75" customHeight="1">
      <x:c r="C767" s="15"/>
    </x:row>
    <x:row r="768" ht="15.75" customHeight="1">
      <x:c r="C768" s="15"/>
    </x:row>
    <x:row r="769" ht="15.75" customHeight="1">
      <x:c r="C769" s="15"/>
    </x:row>
    <x:row r="770" ht="15.75" customHeight="1">
      <x:c r="C770" s="15"/>
    </x:row>
    <x:row r="771" ht="15.75" customHeight="1">
      <x:c r="C771" s="15"/>
    </x:row>
    <x:row r="772" ht="15.75" customHeight="1">
      <x:c r="C772" s="15"/>
    </x:row>
    <x:row r="773" ht="15.75" customHeight="1">
      <x:c r="C773" s="15"/>
    </x:row>
    <x:row r="774" ht="15.75" customHeight="1">
      <x:c r="C774" s="15"/>
    </x:row>
    <x:row r="775" ht="15.75" customHeight="1">
      <x:c r="C775" s="15"/>
    </x:row>
    <x:row r="776" ht="15.75" customHeight="1">
      <x:c r="C776" s="15"/>
    </x:row>
    <x:row r="777" ht="15.75" customHeight="1">
      <x:c r="C777" s="15"/>
    </x:row>
    <x:row r="778" ht="15.75" customHeight="1">
      <x:c r="C778" s="15"/>
    </x:row>
    <x:row r="779" ht="15.75" customHeight="1">
      <x:c r="C779" s="15"/>
    </x:row>
    <x:row r="780" ht="15.75" customHeight="1">
      <x:c r="C780" s="15"/>
    </x:row>
    <x:row r="781" ht="15.75" customHeight="1">
      <x:c r="C781" s="15"/>
    </x:row>
    <x:row r="782" ht="15.75" customHeight="1">
      <x:c r="C782" s="15"/>
    </x:row>
    <x:row r="783" ht="15.75" customHeight="1">
      <x:c r="C783" s="15"/>
    </x:row>
    <x:row r="784" ht="15.75" customHeight="1">
      <x:c r="C784" s="15"/>
    </x:row>
    <x:row r="785" ht="15.75" customHeight="1">
      <x:c r="C785" s="15"/>
    </x:row>
    <x:row r="786" ht="15.75" customHeight="1">
      <x:c r="C786" s="15"/>
    </x:row>
    <x:row r="787" ht="15.75" customHeight="1">
      <x:c r="C787" s="15"/>
    </x:row>
    <x:row r="788" ht="15.75" customHeight="1">
      <x:c r="C788" s="15"/>
    </x:row>
    <x:row r="789" ht="15.75" customHeight="1">
      <x:c r="C789" s="15"/>
    </x:row>
    <x:row r="790" ht="15.75" customHeight="1">
      <x:c r="C790" s="15"/>
    </x:row>
    <x:row r="791" ht="15.75" customHeight="1">
      <x:c r="C791" s="15"/>
    </x:row>
    <x:row r="792" ht="15.75" customHeight="1">
      <x:c r="C792" s="15"/>
    </x:row>
    <x:row r="793" ht="15.75" customHeight="1">
      <x:c r="C793" s="15"/>
    </x:row>
    <x:row r="794" ht="15.75" customHeight="1">
      <x:c r="C794" s="15"/>
    </x:row>
    <x:row r="795" ht="15.75" customHeight="1">
      <x:c r="C795" s="15"/>
    </x:row>
    <x:row r="796" ht="15.75" customHeight="1">
      <x:c r="C796" s="15"/>
    </x:row>
    <x:row r="797" ht="15.75" customHeight="1">
      <x:c r="C797" s="15"/>
    </x:row>
    <x:row r="798" ht="15.75" customHeight="1">
      <x:c r="C798" s="15"/>
    </x:row>
    <x:row r="799" ht="15.75" customHeight="1">
      <x:c r="C799" s="15"/>
    </x:row>
    <x:row r="800" ht="15.75" customHeight="1">
      <x:c r="C800" s="15"/>
    </x:row>
    <x:row r="801" ht="15.75" customHeight="1">
      <x:c r="C801" s="15"/>
    </x:row>
    <x:row r="802" ht="15.75" customHeight="1">
      <x:c r="C802" s="15"/>
    </x:row>
    <x:row r="803" ht="15.75" customHeight="1">
      <x:c r="C803" s="15"/>
    </x:row>
    <x:row r="804" ht="15.75" customHeight="1">
      <x:c r="C804" s="15"/>
    </x:row>
    <x:row r="805" ht="15.75" customHeight="1">
      <x:c r="C805" s="15"/>
    </x:row>
    <x:row r="806" ht="15.75" customHeight="1">
      <x:c r="C806" s="15"/>
    </x:row>
    <x:row r="807" ht="15.75" customHeight="1">
      <x:c r="C807" s="15"/>
    </x:row>
    <x:row r="808" ht="15.75" customHeight="1">
      <x:c r="C808" s="15"/>
    </x:row>
    <x:row r="809" ht="15.75" customHeight="1">
      <x:c r="C809" s="15"/>
    </x:row>
    <x:row r="810" ht="15.75" customHeight="1">
      <x:c r="C810" s="15"/>
    </x:row>
    <x:row r="811" ht="15.75" customHeight="1">
      <x:c r="C811" s="15"/>
    </x:row>
    <x:row r="812" ht="15.75" customHeight="1">
      <x:c r="C812" s="15"/>
    </x:row>
    <x:row r="813" ht="15.75" customHeight="1">
      <x:c r="C813" s="15"/>
    </x:row>
    <x:row r="814" ht="15.75" customHeight="1">
      <x:c r="C814" s="15"/>
    </x:row>
    <x:row r="815" ht="15.75" customHeight="1">
      <x:c r="C815" s="15"/>
    </x:row>
    <x:row r="816" ht="15.75" customHeight="1">
      <x:c r="C816" s="15"/>
    </x:row>
    <x:row r="817" ht="15.75" customHeight="1">
      <x:c r="C817" s="15"/>
    </x:row>
    <x:row r="818" ht="15.75" customHeight="1">
      <x:c r="C818" s="15"/>
    </x:row>
    <x:row r="819" ht="15.75" customHeight="1">
      <x:c r="C819" s="15"/>
    </x:row>
    <x:row r="820" ht="15.75" customHeight="1">
      <x:c r="C820" s="15"/>
    </x:row>
    <x:row r="821" ht="15.75" customHeight="1">
      <x:c r="C821" s="15"/>
    </x:row>
    <x:row r="822" ht="15.75" customHeight="1">
      <x:c r="C822" s="15"/>
    </x:row>
    <x:row r="823" ht="15.75" customHeight="1">
      <x:c r="C823" s="15"/>
    </x:row>
    <x:row r="824" ht="15.75" customHeight="1">
      <x:c r="C824" s="15"/>
    </x:row>
    <x:row r="825" ht="15.75" customHeight="1">
      <x:c r="C825" s="15"/>
    </x:row>
    <x:row r="826" ht="15.75" customHeight="1">
      <x:c r="C826" s="15"/>
    </x:row>
    <x:row r="827" ht="15.75" customHeight="1">
      <x:c r="C827" s="15"/>
    </x:row>
    <x:row r="828" ht="15.75" customHeight="1">
      <x:c r="C828" s="15"/>
    </x:row>
    <x:row r="829" ht="15.75" customHeight="1">
      <x:c r="C829" s="15"/>
    </x:row>
    <x:row r="830" ht="15.75" customHeight="1">
      <x:c r="C830" s="15"/>
    </x:row>
    <x:row r="831" ht="15.75" customHeight="1">
      <x:c r="C831" s="15"/>
    </x:row>
    <x:row r="832" ht="15.75" customHeight="1">
      <x:c r="C832" s="15"/>
    </x:row>
    <x:row r="833" ht="15.75" customHeight="1">
      <x:c r="C833" s="15"/>
    </x:row>
    <x:row r="834" ht="15.75" customHeight="1">
      <x:c r="C834" s="15"/>
    </x:row>
    <x:row r="835" ht="15.75" customHeight="1">
      <x:c r="C835" s="15"/>
    </x:row>
    <x:row r="836" ht="15.75" customHeight="1">
      <x:c r="C836" s="15"/>
    </x:row>
    <x:row r="837" ht="15.75" customHeight="1">
      <x:c r="C837" s="15"/>
    </x:row>
    <x:row r="838" ht="15.75" customHeight="1">
      <x:c r="C838" s="15"/>
    </x:row>
    <x:row r="839" ht="15.75" customHeight="1">
      <x:c r="C839" s="15"/>
    </x:row>
    <x:row r="840" ht="15.75" customHeight="1">
      <x:c r="C840" s="15"/>
    </x:row>
    <x:row r="841" ht="15.75" customHeight="1">
      <x:c r="C841" s="15"/>
    </x:row>
    <x:row r="842" ht="15.75" customHeight="1">
      <x:c r="C842" s="15"/>
    </x:row>
    <x:row r="843" ht="15.75" customHeight="1">
      <x:c r="C843" s="15"/>
    </x:row>
    <x:row r="844" ht="15.75" customHeight="1">
      <x:c r="C844" s="15"/>
    </x:row>
    <x:row r="845" ht="15.75" customHeight="1">
      <x:c r="C845" s="15"/>
    </x:row>
    <x:row r="846" ht="15.75" customHeight="1">
      <x:c r="C846" s="15"/>
    </x:row>
    <x:row r="847" ht="15.75" customHeight="1">
      <x:c r="C847" s="15"/>
    </x:row>
    <x:row r="848" ht="15.75" customHeight="1">
      <x:c r="C848" s="15"/>
    </x:row>
    <x:row r="849" ht="15.75" customHeight="1">
      <x:c r="C849" s="15"/>
    </x:row>
    <x:row r="850" ht="15.75" customHeight="1">
      <x:c r="C850" s="15"/>
    </x:row>
    <x:row r="851" ht="15.75" customHeight="1">
      <x:c r="C851" s="15"/>
    </x:row>
    <x:row r="852" ht="15.75" customHeight="1">
      <x:c r="C852" s="15"/>
    </x:row>
    <x:row r="853" ht="15.75" customHeight="1">
      <x:c r="C853" s="15"/>
    </x:row>
    <x:row r="854" ht="15.75" customHeight="1">
      <x:c r="C854" s="15"/>
    </x:row>
    <x:row r="855" ht="15.75" customHeight="1">
      <x:c r="C855" s="15"/>
    </x:row>
    <x:row r="856" ht="15.75" customHeight="1">
      <x:c r="C856" s="15"/>
    </x:row>
    <x:row r="857" ht="15.75" customHeight="1">
      <x:c r="C857" s="15"/>
    </x:row>
    <x:row r="858" ht="15.75" customHeight="1">
      <x:c r="C858" s="15"/>
    </x:row>
    <x:row r="859" ht="15.75" customHeight="1">
      <x:c r="C859" s="15"/>
    </x:row>
    <x:row r="860" ht="15.75" customHeight="1">
      <x:c r="C860" s="15"/>
    </x:row>
    <x:row r="861" ht="15.75" customHeight="1">
      <x:c r="C861" s="15"/>
    </x:row>
    <x:row r="862" ht="15.75" customHeight="1">
      <x:c r="C862" s="15"/>
    </x:row>
    <x:row r="863" ht="15.75" customHeight="1">
      <x:c r="C863" s="15"/>
    </x:row>
    <x:row r="864" ht="15.75" customHeight="1">
      <x:c r="C864" s="15"/>
    </x:row>
    <x:row r="865" ht="15.75" customHeight="1">
      <x:c r="C865" s="15"/>
    </x:row>
    <x:row r="866" ht="15.75" customHeight="1">
      <x:c r="C866" s="15"/>
    </x:row>
    <x:row r="867" ht="15.75" customHeight="1">
      <x:c r="C867" s="15"/>
    </x:row>
    <x:row r="868" ht="15.75" customHeight="1">
      <x:c r="C868" s="15"/>
    </x:row>
    <x:row r="869" ht="15.75" customHeight="1">
      <x:c r="C869" s="15"/>
    </x:row>
    <x:row r="870" ht="15.75" customHeight="1">
      <x:c r="C870" s="15"/>
    </x:row>
    <x:row r="871" ht="15.75" customHeight="1">
      <x:c r="C871" s="15"/>
    </x:row>
    <x:row r="872" ht="15.75" customHeight="1">
      <x:c r="C872" s="15"/>
    </x:row>
    <x:row r="873" ht="15.75" customHeight="1">
      <x:c r="C873" s="15"/>
    </x:row>
    <x:row r="874" ht="15.75" customHeight="1">
      <x:c r="C874" s="15"/>
    </x:row>
    <x:row r="875" ht="15.75" customHeight="1">
      <x:c r="C875" s="15"/>
    </x:row>
    <x:row r="876" ht="15.75" customHeight="1">
      <x:c r="C876" s="15"/>
    </x:row>
    <x:row r="877" ht="15.75" customHeight="1">
      <x:c r="C877" s="15"/>
    </x:row>
    <x:row r="878" ht="15.75" customHeight="1">
      <x:c r="C878" s="15"/>
    </x:row>
    <x:row r="879" ht="15.75" customHeight="1">
      <x:c r="C879" s="15"/>
    </x:row>
    <x:row r="880" ht="15.75" customHeight="1">
      <x:c r="C880" s="15"/>
    </x:row>
    <x:row r="881" ht="15.75" customHeight="1">
      <x:c r="C881" s="15"/>
    </x:row>
    <x:row r="882" ht="15.75" customHeight="1">
      <x:c r="C882" s="15"/>
    </x:row>
    <x:row r="883" ht="15.75" customHeight="1">
      <x:c r="C883" s="15"/>
    </x:row>
    <x:row r="884" ht="15.75" customHeight="1">
      <x:c r="C884" s="15"/>
    </x:row>
    <x:row r="885" ht="15.75" customHeight="1">
      <x:c r="C885" s="15"/>
    </x:row>
    <x:row r="886" ht="15.75" customHeight="1">
      <x:c r="C886" s="15"/>
    </x:row>
    <x:row r="887" ht="15.75" customHeight="1">
      <x:c r="C887" s="15"/>
    </x:row>
    <x:row r="888" ht="15.75" customHeight="1">
      <x:c r="C888" s="15"/>
    </x:row>
    <x:row r="889" ht="15.75" customHeight="1">
      <x:c r="C889" s="15"/>
    </x:row>
    <x:row r="890" ht="15.75" customHeight="1">
      <x:c r="C890" s="15"/>
    </x:row>
    <x:row r="891" ht="15.75" customHeight="1">
      <x:c r="C891" s="15"/>
    </x:row>
    <x:row r="892" ht="15.75" customHeight="1">
      <x:c r="C892" s="15"/>
    </x:row>
    <x:row r="893" ht="15.75" customHeight="1">
      <x:c r="C893" s="15"/>
    </x:row>
    <x:row r="894" ht="15.75" customHeight="1">
      <x:c r="C894" s="15"/>
    </x:row>
    <x:row r="895" ht="15.75" customHeight="1">
      <x:c r="C895" s="15"/>
    </x:row>
    <x:row r="896" ht="15.75" customHeight="1">
      <x:c r="C896" s="15"/>
    </x:row>
    <x:row r="897" ht="15.75" customHeight="1">
      <x:c r="C897" s="15"/>
    </x:row>
    <x:row r="898" ht="15.75" customHeight="1">
      <x:c r="C898" s="15"/>
    </x:row>
    <x:row r="899" ht="15.75" customHeight="1">
      <x:c r="C899" s="15"/>
    </x:row>
    <x:row r="900" ht="15.75" customHeight="1">
      <x:c r="C900" s="15"/>
    </x:row>
    <x:row r="901" ht="15.75" customHeight="1">
      <x:c r="C901" s="15"/>
    </x:row>
    <x:row r="902" ht="15.75" customHeight="1">
      <x:c r="C902" s="15"/>
    </x:row>
    <x:row r="903" ht="15.75" customHeight="1">
      <x:c r="C903" s="15"/>
    </x:row>
    <x:row r="904" ht="15.75" customHeight="1">
      <x:c r="C904" s="15"/>
    </x:row>
    <x:row r="905" ht="15.75" customHeight="1">
      <x:c r="C905" s="15"/>
    </x:row>
    <x:row r="906" ht="15.75" customHeight="1">
      <x:c r="C906" s="15"/>
    </x:row>
    <x:row r="907" ht="15.75" customHeight="1">
      <x:c r="C907" s="15"/>
    </x:row>
    <x:row r="908" ht="15.75" customHeight="1">
      <x:c r="C908" s="15"/>
    </x:row>
    <x:row r="909" ht="15.75" customHeight="1">
      <x:c r="C909" s="15"/>
    </x:row>
    <x:row r="910" ht="15.75" customHeight="1">
      <x:c r="C910" s="15"/>
    </x:row>
    <x:row r="911" ht="15.75" customHeight="1">
      <x:c r="C911" s="15"/>
    </x:row>
    <x:row r="912" ht="15.75" customHeight="1">
      <x:c r="C912" s="15"/>
    </x:row>
    <x:row r="913" ht="15.75" customHeight="1">
      <x:c r="C913" s="15"/>
    </x:row>
    <x:row r="914" ht="15.75" customHeight="1">
      <x:c r="C914" s="15"/>
    </x:row>
    <x:row r="915" ht="15.75" customHeight="1">
      <x:c r="C915" s="15"/>
    </x:row>
    <x:row r="916" ht="15.75" customHeight="1">
      <x:c r="C916" s="15"/>
    </x:row>
    <x:row r="917" ht="15.75" customHeight="1">
      <x:c r="C917" s="15"/>
    </x:row>
    <x:row r="918" ht="15.75" customHeight="1">
      <x:c r="C918" s="15"/>
    </x:row>
    <x:row r="919" ht="15.75" customHeight="1">
      <x:c r="C919" s="15"/>
    </x:row>
    <x:row r="920" ht="15.75" customHeight="1">
      <x:c r="C920" s="15"/>
    </x:row>
    <x:row r="921" ht="15.75" customHeight="1">
      <x:c r="C921" s="15"/>
    </x:row>
    <x:row r="922" ht="15.75" customHeight="1">
      <x:c r="C922" s="15"/>
    </x:row>
    <x:row r="923" ht="15.75" customHeight="1">
      <x:c r="C923" s="15"/>
    </x:row>
    <x:row r="924" ht="15.75" customHeight="1">
      <x:c r="C924" s="15"/>
    </x:row>
    <x:row r="925" ht="15.75" customHeight="1">
      <x:c r="C925" s="15"/>
    </x:row>
    <x:row r="926" ht="15.75" customHeight="1">
      <x:c r="C926" s="15"/>
    </x:row>
    <x:row r="927" ht="15.75" customHeight="1">
      <x:c r="C927" s="15"/>
    </x:row>
    <x:row r="928" ht="15.75" customHeight="1">
      <x:c r="C928" s="15"/>
    </x:row>
    <x:row r="929" ht="15.75" customHeight="1">
      <x:c r="C929" s="15"/>
    </x:row>
    <x:row r="930" ht="15.75" customHeight="1">
      <x:c r="C930" s="15"/>
    </x:row>
    <x:row r="931" ht="15.75" customHeight="1">
      <x:c r="C931" s="15"/>
    </x:row>
    <x:row r="932" ht="15.75" customHeight="1">
      <x:c r="C932" s="15"/>
    </x:row>
    <x:row r="933" ht="15.75" customHeight="1">
      <x:c r="C933" s="15"/>
    </x:row>
    <x:row r="934" ht="15.75" customHeight="1">
      <x:c r="C934" s="15"/>
    </x:row>
    <x:row r="935" ht="15.75" customHeight="1">
      <x:c r="C935" s="15"/>
    </x:row>
    <x:row r="936" ht="15.75" customHeight="1">
      <x:c r="C936" s="15"/>
    </x:row>
    <x:row r="937" ht="15.75" customHeight="1">
      <x:c r="C937" s="15"/>
    </x:row>
    <x:row r="938" ht="15.75" customHeight="1">
      <x:c r="C938" s="15"/>
    </x:row>
    <x:row r="939" ht="15.75" customHeight="1">
      <x:c r="C939" s="15"/>
    </x:row>
    <x:row r="940" ht="15.75" customHeight="1">
      <x:c r="C940" s="15"/>
    </x:row>
    <x:row r="941" ht="15.75" customHeight="1">
      <x:c r="C941" s="15"/>
    </x:row>
    <x:row r="942" ht="15.75" customHeight="1">
      <x:c r="C942" s="15"/>
    </x:row>
    <x:row r="943" ht="15.75" customHeight="1">
      <x:c r="C943" s="15"/>
    </x:row>
    <x:row r="944" ht="15.75" customHeight="1">
      <x:c r="C944" s="15"/>
    </x:row>
    <x:row r="945" ht="15.75" customHeight="1">
      <x:c r="C945" s="15"/>
    </x:row>
    <x:row r="946" ht="15.75" customHeight="1">
      <x:c r="C946" s="15"/>
    </x:row>
    <x:row r="947" ht="15.75" customHeight="1">
      <x:c r="C947" s="15"/>
    </x:row>
    <x:row r="948" ht="15.75" customHeight="1">
      <x:c r="C948" s="15"/>
    </x:row>
    <x:row r="949" ht="15.75" customHeight="1">
      <x:c r="C949" s="15"/>
    </x:row>
    <x:row r="950" ht="15.75" customHeight="1">
      <x:c r="C950" s="15"/>
    </x:row>
    <x:row r="951" ht="15.75" customHeight="1">
      <x:c r="C951" s="15"/>
    </x:row>
    <x:row r="952" ht="15.75" customHeight="1">
      <x:c r="C952" s="15"/>
    </x:row>
    <x:row r="953" ht="15.75" customHeight="1">
      <x:c r="C953" s="15"/>
    </x:row>
    <x:row r="954" ht="15.75" customHeight="1">
      <x:c r="C954" s="15"/>
    </x:row>
    <x:row r="955" ht="15.75" customHeight="1">
      <x:c r="C955" s="15"/>
    </x:row>
    <x:row r="956" ht="15.75" customHeight="1">
      <x:c r="C956" s="15"/>
    </x:row>
    <x:row r="957" ht="15.75" customHeight="1">
      <x:c r="C957" s="15"/>
    </x:row>
    <x:row r="958" ht="15.75" customHeight="1">
      <x:c r="C958" s="15"/>
    </x:row>
    <x:row r="959" ht="15.75" customHeight="1">
      <x:c r="C959" s="15"/>
    </x:row>
    <x:row r="960" ht="15.75" customHeight="1">
      <x:c r="C960" s="15"/>
    </x:row>
    <x:row r="961" ht="15.75" customHeight="1">
      <x:c r="C961" s="15"/>
    </x:row>
    <x:row r="962" ht="15.75" customHeight="1">
      <x:c r="C962" s="15"/>
    </x:row>
    <x:row r="963" ht="15.75" customHeight="1">
      <x:c r="C963" s="15"/>
    </x:row>
    <x:row r="964" ht="15.75" customHeight="1">
      <x:c r="C964" s="15"/>
    </x:row>
    <x:row r="965" ht="15.75" customHeight="1">
      <x:c r="C965" s="15"/>
    </x:row>
    <x:row r="966" ht="15.75" customHeight="1">
      <x:c r="C966" s="15"/>
    </x:row>
    <x:row r="967" ht="15.75" customHeight="1">
      <x:c r="C967" s="15"/>
    </x:row>
    <x:row r="968" ht="15.75" customHeight="1">
      <x:c r="C968" s="15"/>
    </x:row>
    <x:row r="969" ht="15.75" customHeight="1">
      <x:c r="C969" s="15"/>
    </x:row>
    <x:row r="970" ht="15.75" customHeight="1">
      <x:c r="C970" s="15"/>
    </x:row>
    <x:row r="971" ht="15.75" customHeight="1">
      <x:c r="C971" s="15"/>
    </x:row>
    <x:row r="972" ht="15.75" customHeight="1">
      <x:c r="C972" s="15"/>
    </x:row>
    <x:row r="973" ht="15.75" customHeight="1">
      <x:c r="C973" s="15"/>
    </x:row>
    <x:row r="974" ht="15.75" customHeight="1">
      <x:c r="C974" s="15"/>
    </x:row>
    <x:row r="975" ht="15.75" customHeight="1">
      <x:c r="C975" s="15"/>
    </x:row>
    <x:row r="976" ht="15.75" customHeight="1">
      <x:c r="C976" s="15"/>
    </x:row>
    <x:row r="977" ht="15.75" customHeight="1">
      <x:c r="C977" s="15"/>
    </x:row>
    <x:row r="978" ht="15.75" customHeight="1">
      <x:c r="C978" s="15"/>
    </x:row>
    <x:row r="979" ht="15.75" customHeight="1">
      <x:c r="C979" s="15"/>
    </x:row>
    <x:row r="980" ht="15.75" customHeight="1">
      <x:c r="C980" s="15"/>
    </x:row>
    <x:row r="981" ht="15.75" customHeight="1">
      <x:c r="C981" s="15"/>
    </x:row>
    <x:row r="982" ht="15.75" customHeight="1">
      <x:c r="C982" s="15"/>
    </x:row>
    <x:row r="983" ht="15.75" customHeight="1">
      <x:c r="C983" s="15"/>
    </x:row>
    <x:row r="984" ht="15.75" customHeight="1">
      <x:c r="C984" s="15"/>
    </x:row>
    <x:row r="985" ht="15.75" customHeight="1">
      <x:c r="C985" s="15"/>
    </x:row>
    <x:row r="986" ht="15.75" customHeight="1">
      <x:c r="C986" s="15"/>
    </x:row>
    <x:row r="987" ht="15.75" customHeight="1">
      <x:c r="C987" s="15"/>
    </x:row>
    <x:row r="988" ht="15.75" customHeight="1">
      <x:c r="C988" s="15"/>
    </x:row>
    <x:row r="989" ht="15.75" customHeight="1">
      <x:c r="C989" s="15"/>
    </x:row>
    <x:row r="990" ht="15.75" customHeight="1">
      <x:c r="C990" s="15"/>
    </x:row>
    <x:row r="991" ht="15.75" customHeight="1">
      <x:c r="C991" s="15"/>
    </x:row>
    <x:row r="992" ht="15.75" customHeight="1">
      <x:c r="C992" s="15"/>
    </x:row>
    <x:row r="993" ht="15.75" customHeight="1">
      <x:c r="C993" s="15"/>
    </x:row>
    <x:row r="994" ht="15.75" customHeight="1">
      <x:c r="C994" s="15"/>
    </x:row>
    <x:row r="995" ht="15.75" customHeight="1">
      <x:c r="C995" s="15"/>
    </x:row>
    <x:row r="996" ht="15.75" customHeight="1">
      <x:c r="C996" s="15"/>
    </x:row>
    <x:row r="997" ht="15.75" customHeight="1">
      <x:c r="C997" s="15"/>
    </x:row>
    <x:row r="998" ht="15.75" customHeight="1">
      <x:c r="C998" s="15"/>
    </x:row>
    <x:row r="999" ht="15.75" customHeight="1">
      <x:c r="C999" s="15"/>
    </x:row>
    <x:row r="1000" ht="15.75" customHeight="1">
      <x:c r="C1000" s="15"/>
    </x:row>
  </x:sheetData>
  <x:dataValidations count="6">
    <x:dataValidation type="list" sqref="A2:A500">
      <x:formula1>Athlete_Profile!$A$2:$A$200</x:formula1>
    </x:dataValidation>
    <x:dataValidation type="list" sqref="D2:D500">
      <x:formula1>Dropdown_Lists!$F$2:$F$9</x:formula1>
    </x:dataValidation>
    <x:dataValidation type="list" sqref="E2:E500">
      <x:formula1>Dropdown_Lists!$G$2:$G$6</x:formula1>
    </x:dataValidation>
    <x:dataValidation type="list" sqref="A2:A1000">
      <x:formula1>Athlete_Profile!$A$2:$A$51</x:formula1>
    </x:dataValidation>
    <x:dataValidation type="list" sqref="D2:D1000">
      <x:formula1>Dropdown_Lists!$F$2:$F$9</x:formula1>
    </x:dataValidation>
    <x:dataValidation type="list" sqref="E2:E1000">
      <x:formula1>Dropdown_Lists!$G$2:$G$6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14.430000305175781" defaultRowHeight="15"/>
  <x:cols>
    <x:col min="1" max="3" width="12" customWidth="1"/>
    <x:col min="4" max="4" width="13" customWidth="1"/>
    <x:col min="5" max="5" width="23" customWidth="1"/>
    <x:col min="6" max="6" width="18" customWidth="1"/>
    <x:col min="7" max="9" width="12" customWidth="1"/>
    <x:col min="10" max="26" width="8.710000038146973" customWidth="1"/>
  </x:cols>
  <x:sheetData>
    <x:row r="1">
      <x:c r="A1" s="1" t="s">
        <x:v>0</x:v>
      </x:c>
      <x:c r="B1" s="1" t="s">
        <x:v>12</x:v>
      </x:c>
      <x:c r="C1" s="1" t="s">
        <x:v>13</x:v>
      </x:c>
      <x:c r="D1" s="1" t="s">
        <x:v>17</x:v>
      </x:c>
      <x:c r="E1" s="1" t="s">
        <x:v>18</x:v>
      </x:c>
      <x:c r="F1" s="1" t="s">
        <x:v>19</x:v>
      </x:c>
      <x:c r="G1" s="1" t="s">
        <x:v>20</x:v>
      </x:c>
      <x:c r="H1" s="1" t="s">
        <x:v>21</x:v>
      </x:c>
      <x:c r="I1" s="1" t="s">
        <x:v>22</x:v>
      </x:c>
    </x:row>
    <x:row r="2">
      <x:c r="A2" s="2" t="str">
        <x:v>RVX-00001</x:v>
      </x:c>
      <x:c r="B2" s="2" t="n">
        <x:v>1</x:v>
      </x:c>
      <x:c r="C2" s="8" t="n">
        <x:v>46146</x:v>
      </x:c>
      <x:c r="D2" s="2" t="str">
        <x:v>sprint_5m</x:v>
      </x:c>
      <x:c r="E2" s="2" t="str">
        <x:v>5m Sprint</x:v>
      </x:c>
      <x:c r="F2" s="2" t="str">
        <x:v>Acceleration</x:v>
      </x:c>
      <x:c r="G2" s="2" t="n">
        <x:v>1.01</x:v>
      </x:c>
      <x:c r="H2" s="2" t="str">
        <x:v>sec</x:v>
      </x:c>
      <x:c r="I2" s="2" t="str">
        <x:v>lower</x:v>
      </x:c>
    </x:row>
    <x:row r="3">
      <x:c r="A3" s="2" t="str">
        <x:v>RVX-00001</x:v>
      </x:c>
      <x:c r="B3" s="2" t="n">
        <x:v>1</x:v>
      </x:c>
      <x:c r="C3" s="8" t="n">
        <x:v>46146</x:v>
      </x:c>
      <x:c r="D3" s="2" t="str">
        <x:v>sprint_10m</x:v>
      </x:c>
      <x:c r="E3" s="2" t="str">
        <x:v>10m Sprint</x:v>
      </x:c>
      <x:c r="F3" s="2" t="str">
        <x:v>Acceleration</x:v>
      </x:c>
      <x:c r="G3" s="2" t="n">
        <x:v>1.65</x:v>
      </x:c>
      <x:c r="H3" s="2" t="str">
        <x:v>sec</x:v>
      </x:c>
      <x:c r="I3" s="2" t="str">
        <x:v>lower</x:v>
      </x:c>
    </x:row>
    <x:row r="4">
      <x:c r="A4" s="2" t="str">
        <x:v>RVX-00001</x:v>
      </x:c>
      <x:c r="B4" s="2" t="n">
        <x:v>1</x:v>
      </x:c>
      <x:c r="C4" s="8" t="n">
        <x:v>46146</x:v>
      </x:c>
      <x:c r="D4" s="2" t="str">
        <x:v>pro_agility</x:v>
      </x:c>
      <x:c r="E4" s="2" t="str">
        <x:v>5-10-5 Pro Agility</x:v>
      </x:c>
      <x:c r="F4" s="2" t="str">
        <x:v>Agility</x:v>
      </x:c>
      <x:c r="G4" s="2" t="n">
        <x:v>4.37</x:v>
      </x:c>
      <x:c r="H4" s="2" t="str">
        <x:v>sec</x:v>
      </x:c>
      <x:c r="I4" s="2" t="str">
        <x:v>lower</x:v>
      </x:c>
    </x:row>
    <x:row r="5">
      <x:c r="A5" s="2" t="str">
        <x:v>RVX-00001</x:v>
      </x:c>
      <x:c r="B5" s="2" t="n">
        <x:v>1</x:v>
      </x:c>
      <x:c r="C5" s="8" t="n">
        <x:v>46146</x:v>
      </x:c>
      <x:c r="D5" s="2" t="str">
        <x:v>cmj_depth</x:v>
      </x:c>
      <x:c r="E5" s="2" t="str">
        <x:v>Countermovement Depth</x:v>
      </x:c>
      <x:c r="F5" s="2" t="str">
        <x:v>Movement</x:v>
      </x:c>
      <x:c r="G5" s="2" t="n">
        <x:v>32.7</x:v>
      </x:c>
      <x:c r="H5" s="2" t="str">
        <x:v>cm</x:v>
      </x:c>
      <x:c r="I5" s="2" t="str">
        <x:v>higher</x:v>
      </x:c>
    </x:row>
    <x:row r="6">
      <x:c r="A6" s="2" t="str">
        <x:v>RVX-00001</x:v>
      </x:c>
      <x:c r="B6" s="2" t="n">
        <x:v>1</x:v>
      </x:c>
      <x:c r="C6" s="8" t="n">
        <x:v>46146</x:v>
      </x:c>
      <x:c r="D6" s="2" t="str">
        <x:v>peak_force</x:v>
      </x:c>
      <x:c r="E6" s="2" t="str">
        <x:v>Peak Force</x:v>
      </x:c>
      <x:c r="F6" s="2" t="str">
        <x:v>Strength &amp; Power</x:v>
      </x:c>
      <x:c r="G6" s="2" t="n">
        <x:v>1882</x:v>
      </x:c>
      <x:c r="H6" s="2" t="str">
        <x:v>N</x:v>
      </x:c>
      <x:c r="I6" s="2" t="str">
        <x:v>higher</x:v>
      </x:c>
    </x:row>
    <x:row r="7">
      <x:c r="A7" s="2" t="str">
        <x:v>RVX-00001</x:v>
      </x:c>
      <x:c r="B7" s="2" t="n">
        <x:v>1</x:v>
      </x:c>
      <x:c r="C7" s="8" t="n">
        <x:v>46146</x:v>
      </x:c>
      <x:c r="D7" s="2" t="str">
        <x:v>impulse</x:v>
      </x:c>
      <x:c r="E7" s="2" t="str">
        <x:v>Impulse-Momentum</x:v>
      </x:c>
      <x:c r="F7" s="2" t="str">
        <x:v>Strength &amp; Power</x:v>
      </x:c>
      <x:c r="G7" s="2" t="n">
        <x:v>240.1</x:v>
      </x:c>
      <x:c r="H7" s="2" t="str">
        <x:v>Ns</x:v>
      </x:c>
      <x:c r="I7" s="2" t="str">
        <x:v>higher</x:v>
      </x:c>
    </x:row>
    <x:row r="8">
      <x:c r="A8" s="2" t="str">
        <x:v>RVX-00001</x:v>
      </x:c>
      <x:c r="B8" s="2" t="n">
        <x:v>2</x:v>
      </x:c>
      <x:c r="C8" s="8" t="n">
        <x:v>46174</x:v>
      </x:c>
      <x:c r="D8" s="2" t="str">
        <x:v>sprint_5m</x:v>
      </x:c>
      <x:c r="E8" s="2" t="str">
        <x:v>5m Sprint</x:v>
      </x:c>
      <x:c r="F8" s="2" t="str">
        <x:v>Acceleration</x:v>
      </x:c>
      <x:c r="G8" s="2" t="n">
        <x:v>1.01</x:v>
      </x:c>
      <x:c r="H8" s="2" t="str">
        <x:v>sec</x:v>
      </x:c>
      <x:c r="I8" s="2" t="str">
        <x:v>lower</x:v>
      </x:c>
    </x:row>
    <x:row r="9">
      <x:c r="A9" s="2" t="str">
        <x:v>RVX-00001</x:v>
      </x:c>
      <x:c r="B9" s="2" t="n">
        <x:v>2</x:v>
      </x:c>
      <x:c r="C9" s="8" t="n">
        <x:v>46174</x:v>
      </x:c>
      <x:c r="D9" s="2" t="str">
        <x:v>sprint_10m</x:v>
      </x:c>
      <x:c r="E9" s="2" t="str">
        <x:v>10m Sprint</x:v>
      </x:c>
      <x:c r="F9" s="2" t="str">
        <x:v>Acceleration</x:v>
      </x:c>
      <x:c r="G9" s="2" t="n">
        <x:v>1.63</x:v>
      </x:c>
      <x:c r="H9" s="2" t="str">
        <x:v>sec</x:v>
      </x:c>
      <x:c r="I9" s="2" t="str">
        <x:v>lower</x:v>
      </x:c>
    </x:row>
    <x:row r="10">
      <x:c r="A10" s="2" t="str">
        <x:v>RVX-00001</x:v>
      </x:c>
      <x:c r="B10" s="2" t="n">
        <x:v>2</x:v>
      </x:c>
      <x:c r="C10" s="8" t="n">
        <x:v>46174</x:v>
      </x:c>
      <x:c r="D10" s="2" t="str">
        <x:v>pro_agility</x:v>
      </x:c>
      <x:c r="E10" s="2" t="str">
        <x:v>5-10-5 Pro Agility</x:v>
      </x:c>
      <x:c r="F10" s="2" t="str">
        <x:v>Agility</x:v>
      </x:c>
      <x:c r="G10" s="2" t="n">
        <x:v>4.16</x:v>
      </x:c>
      <x:c r="H10" s="2" t="str">
        <x:v>sec</x:v>
      </x:c>
      <x:c r="I10" s="2" t="str">
        <x:v>lower</x:v>
      </x:c>
    </x:row>
    <x:row r="11">
      <x:c r="A11" s="2" t="str">
        <x:v>RVX-00001</x:v>
      </x:c>
      <x:c r="B11" s="2" t="n">
        <x:v>2</x:v>
      </x:c>
      <x:c r="C11" s="8" t="n">
        <x:v>46174</x:v>
      </x:c>
      <x:c r="D11" s="2" t="str">
        <x:v>cmj_depth</x:v>
      </x:c>
      <x:c r="E11" s="2" t="str">
        <x:v>Countermovement Depth</x:v>
      </x:c>
      <x:c r="F11" s="2" t="str">
        <x:v>Movement</x:v>
      </x:c>
      <x:c r="G11" s="2" t="n">
        <x:v>33.6</x:v>
      </x:c>
      <x:c r="H11" s="2" t="str">
        <x:v>cm</x:v>
      </x:c>
      <x:c r="I11" s="2" t="str">
        <x:v>higher</x:v>
      </x:c>
    </x:row>
    <x:row r="12">
      <x:c r="A12" s="2" t="str">
        <x:v>RVX-00001</x:v>
      </x:c>
      <x:c r="B12" s="2" t="n">
        <x:v>2</x:v>
      </x:c>
      <x:c r="C12" s="8" t="n">
        <x:v>46174</x:v>
      </x:c>
      <x:c r="D12" s="2" t="str">
        <x:v>peak_force</x:v>
      </x:c>
      <x:c r="E12" s="2" t="str">
        <x:v>Peak Force</x:v>
      </x:c>
      <x:c r="F12" s="2" t="str">
        <x:v>Strength &amp; Power</x:v>
      </x:c>
      <x:c r="G12" s="2" t="n">
        <x:v>1939</x:v>
      </x:c>
      <x:c r="H12" s="2" t="str">
        <x:v>N</x:v>
      </x:c>
      <x:c r="I12" s="2" t="str">
        <x:v>higher</x:v>
      </x:c>
    </x:row>
    <x:row r="13">
      <x:c r="A13" s="2" t="str">
        <x:v>RVX-00001</x:v>
      </x:c>
      <x:c r="B13" s="2" t="n">
        <x:v>2</x:v>
      </x:c>
      <x:c r="C13" s="8" t="n">
        <x:v>46174</x:v>
      </x:c>
      <x:c r="D13" s="2" t="str">
        <x:v>impulse</x:v>
      </x:c>
      <x:c r="E13" s="2" t="str">
        <x:v>Impulse-Momentum</x:v>
      </x:c>
      <x:c r="F13" s="2" t="str">
        <x:v>Strength &amp; Power</x:v>
      </x:c>
      <x:c r="G13" s="2" t="n">
        <x:v>242.3</x:v>
      </x:c>
      <x:c r="H13" s="2" t="str">
        <x:v>Ns</x:v>
      </x:c>
      <x:c r="I13" s="2" t="str">
        <x:v>higher</x:v>
      </x:c>
    </x:row>
    <x:row r="14">
      <x:c r="A14" s="2" t="str">
        <x:v>RVX-00001</x:v>
      </x:c>
      <x:c r="B14" s="2" t="n">
        <x:v>3</x:v>
      </x:c>
      <x:c r="C14" s="8" t="n">
        <x:v>46202</x:v>
      </x:c>
      <x:c r="D14" s="2" t="str">
        <x:v>sprint_5m</x:v>
      </x:c>
      <x:c r="E14" s="2" t="str">
        <x:v>5m Sprint</x:v>
      </x:c>
      <x:c r="F14" s="2" t="str">
        <x:v>Acceleration</x:v>
      </x:c>
      <x:c r="G14" s="2" t="n">
        <x:v>0.99</x:v>
      </x:c>
      <x:c r="H14" s="2" t="str">
        <x:v>sec</x:v>
      </x:c>
      <x:c r="I14" s="2" t="str">
        <x:v>lower</x:v>
      </x:c>
    </x:row>
    <x:row r="15">
      <x:c r="A15" s="2" t="str">
        <x:v>RVX-00001</x:v>
      </x:c>
      <x:c r="B15" s="2" t="n">
        <x:v>3</x:v>
      </x:c>
      <x:c r="C15" s="8" t="n">
        <x:v>46202</x:v>
      </x:c>
      <x:c r="D15" s="2" t="str">
        <x:v>sprint_10m</x:v>
      </x:c>
      <x:c r="E15" s="2" t="str">
        <x:v>10m Sprint</x:v>
      </x:c>
      <x:c r="F15" s="2" t="str">
        <x:v>Acceleration</x:v>
      </x:c>
      <x:c r="G15" s="2" t="n">
        <x:v>1.59</x:v>
      </x:c>
      <x:c r="H15" s="2" t="str">
        <x:v>sec</x:v>
      </x:c>
      <x:c r="I15" s="2" t="str">
        <x:v>lower</x:v>
      </x:c>
    </x:row>
    <x:row r="16">
      <x:c r="A16" s="2" t="str">
        <x:v>RVX-00001</x:v>
      </x:c>
      <x:c r="B16" s="2" t="n">
        <x:v>3</x:v>
      </x:c>
      <x:c r="C16" s="8" t="n">
        <x:v>46202</x:v>
      </x:c>
      <x:c r="D16" s="2" t="str">
        <x:v>pro_agility</x:v>
      </x:c>
      <x:c r="E16" s="2" t="str">
        <x:v>5-10-5 Pro Agility</x:v>
      </x:c>
      <x:c r="F16" s="2" t="str">
        <x:v>Agility</x:v>
      </x:c>
      <x:c r="G16" s="2" t="n">
        <x:v>4.14</x:v>
      </x:c>
      <x:c r="H16" s="2" t="str">
        <x:v>sec</x:v>
      </x:c>
      <x:c r="I16" s="2" t="str">
        <x:v>lower</x:v>
      </x:c>
    </x:row>
    <x:row r="17">
      <x:c r="A17" s="2" t="str">
        <x:v>RVX-00001</x:v>
      </x:c>
      <x:c r="B17" s="2" t="n">
        <x:v>3</x:v>
      </x:c>
      <x:c r="C17" s="8" t="n">
        <x:v>46202</x:v>
      </x:c>
      <x:c r="D17" s="2" t="str">
        <x:v>cmj_depth</x:v>
      </x:c>
      <x:c r="E17" s="2" t="str">
        <x:v>Countermovement Depth</x:v>
      </x:c>
      <x:c r="F17" s="2" t="str">
        <x:v>Movement</x:v>
      </x:c>
      <x:c r="G17" s="2" t="n">
        <x:v>33.4</x:v>
      </x:c>
      <x:c r="H17" s="2" t="str">
        <x:v>cm</x:v>
      </x:c>
      <x:c r="I17" s="2" t="str">
        <x:v>higher</x:v>
      </x:c>
    </x:row>
    <x:row r="18">
      <x:c r="A18" s="2" t="str">
        <x:v>RVX-00001</x:v>
      </x:c>
      <x:c r="B18" s="2" t="n">
        <x:v>3</x:v>
      </x:c>
      <x:c r="C18" s="8" t="n">
        <x:v>46202</x:v>
      </x:c>
      <x:c r="D18" s="2" t="str">
        <x:v>peak_force</x:v>
      </x:c>
      <x:c r="E18" s="2" t="str">
        <x:v>Peak Force</x:v>
      </x:c>
      <x:c r="F18" s="2" t="str">
        <x:v>Strength &amp; Power</x:v>
      </x:c>
      <x:c r="G18" s="2" t="n">
        <x:v>1994</x:v>
      </x:c>
      <x:c r="H18" s="2" t="str">
        <x:v>N</x:v>
      </x:c>
      <x:c r="I18" s="2" t="str">
        <x:v>higher</x:v>
      </x:c>
    </x:row>
    <x:row r="19">
      <x:c r="A19" s="2" t="str">
        <x:v>RVX-00001</x:v>
      </x:c>
      <x:c r="B19" s="2" t="n">
        <x:v>3</x:v>
      </x:c>
      <x:c r="C19" s="8" t="n">
        <x:v>46202</x:v>
      </x:c>
      <x:c r="D19" s="2" t="str">
        <x:v>impulse</x:v>
      </x:c>
      <x:c r="E19" s="2" t="str">
        <x:v>Impulse-Momentum</x:v>
      </x:c>
      <x:c r="F19" s="2" t="str">
        <x:v>Strength &amp; Power</x:v>
      </x:c>
      <x:c r="G19" s="2" t="n">
        <x:v>239.4</x:v>
      </x:c>
      <x:c r="H19" s="2" t="str">
        <x:v>Ns</x:v>
      </x:c>
      <x:c r="I19" s="2" t="str">
        <x:v>higher</x:v>
      </x:c>
    </x:row>
    <x:row r="20">
      <x:c r="A20" s="2" t="str">
        <x:v>RVX-00001</x:v>
      </x:c>
      <x:c r="B20" s="2" t="n">
        <x:v>4</x:v>
      </x:c>
      <x:c r="C20" s="8" t="n">
        <x:v>46230</x:v>
      </x:c>
      <x:c r="D20" s="2" t="str">
        <x:v>sprint_5m</x:v>
      </x:c>
      <x:c r="E20" s="2" t="str">
        <x:v>5m Sprint</x:v>
      </x:c>
      <x:c r="F20" s="2" t="str">
        <x:v>Acceleration</x:v>
      </x:c>
      <x:c r="G20" s="2" t="n">
        <x:v>0.96</x:v>
      </x:c>
      <x:c r="H20" s="2" t="str">
        <x:v>sec</x:v>
      </x:c>
      <x:c r="I20" s="2" t="str">
        <x:v>lower</x:v>
      </x:c>
    </x:row>
    <x:row r="21" ht="15.75" customHeight="1">
      <x:c r="A21" s="2" t="str">
        <x:v>RVX-00001</x:v>
      </x:c>
      <x:c r="B21" s="2" t="n">
        <x:v>4</x:v>
      </x:c>
      <x:c r="C21" s="8" t="n">
        <x:v>46230</x:v>
      </x:c>
      <x:c r="D21" s="2" t="str">
        <x:v>sprint_10m</x:v>
      </x:c>
      <x:c r="E21" s="2" t="str">
        <x:v>10m Sprint</x:v>
      </x:c>
      <x:c r="F21" s="2" t="str">
        <x:v>Acceleration</x:v>
      </x:c>
      <x:c r="G21" s="2" t="n">
        <x:v>1.6</x:v>
      </x:c>
      <x:c r="H21" s="2" t="str">
        <x:v>sec</x:v>
      </x:c>
      <x:c r="I21" s="2" t="str">
        <x:v>lower</x:v>
      </x:c>
    </x:row>
    <x:row r="22" ht="15.75" customHeight="1">
      <x:c r="A22" s="2" t="str">
        <x:v>RVX-00001</x:v>
      </x:c>
      <x:c r="B22" s="2" t="n">
        <x:v>4</x:v>
      </x:c>
      <x:c r="C22" s="8" t="n">
        <x:v>46230</x:v>
      </x:c>
      <x:c r="D22" s="2" t="str">
        <x:v>pro_agility</x:v>
      </x:c>
      <x:c r="E22" s="2" t="str">
        <x:v>5-10-5 Pro Agility</x:v>
      </x:c>
      <x:c r="F22" s="2" t="str">
        <x:v>Agility</x:v>
      </x:c>
      <x:c r="G22" s="2" t="n">
        <x:v>4.07</x:v>
      </x:c>
      <x:c r="H22" s="2" t="str">
        <x:v>sec</x:v>
      </x:c>
      <x:c r="I22" s="2" t="str">
        <x:v>lower</x:v>
      </x:c>
    </x:row>
    <x:row r="23" ht="15.75" customHeight="1">
      <x:c r="A23" s="2" t="str">
        <x:v>RVX-00001</x:v>
      </x:c>
      <x:c r="B23" s="2" t="n">
        <x:v>4</x:v>
      </x:c>
      <x:c r="C23" s="8" t="n">
        <x:v>46230</x:v>
      </x:c>
      <x:c r="D23" s="2" t="str">
        <x:v>cmj_depth</x:v>
      </x:c>
      <x:c r="E23" s="2" t="str">
        <x:v>Countermovement Depth</x:v>
      </x:c>
      <x:c r="F23" s="2" t="str">
        <x:v>Movement</x:v>
      </x:c>
      <x:c r="G23" s="2" t="n">
        <x:v>35.1</x:v>
      </x:c>
      <x:c r="H23" s="2" t="str">
        <x:v>cm</x:v>
      </x:c>
      <x:c r="I23" s="2" t="str">
        <x:v>higher</x:v>
      </x:c>
    </x:row>
    <x:row r="24" ht="15.75" customHeight="1">
      <x:c r="A24" s="2" t="str">
        <x:v>RVX-00001</x:v>
      </x:c>
      <x:c r="B24" s="2" t="n">
        <x:v>4</x:v>
      </x:c>
      <x:c r="C24" s="8" t="n">
        <x:v>46230</x:v>
      </x:c>
      <x:c r="D24" s="2" t="str">
        <x:v>peak_force</x:v>
      </x:c>
      <x:c r="E24" s="2" t="str">
        <x:v>Peak Force</x:v>
      </x:c>
      <x:c r="F24" s="2" t="str">
        <x:v>Strength &amp; Power</x:v>
      </x:c>
      <x:c r="G24" s="2" t="n">
        <x:v>2060</x:v>
      </x:c>
      <x:c r="H24" s="2" t="str">
        <x:v>N</x:v>
      </x:c>
      <x:c r="I24" s="2" t="str">
        <x:v>higher</x:v>
      </x:c>
    </x:row>
    <x:row r="25" ht="15.75" customHeight="1">
      <x:c r="A25" s="2" t="str">
        <x:v>RVX-00001</x:v>
      </x:c>
      <x:c r="B25" s="2" t="n">
        <x:v>4</x:v>
      </x:c>
      <x:c r="C25" s="8" t="n">
        <x:v>46230</x:v>
      </x:c>
      <x:c r="D25" s="2" t="str">
        <x:v>impulse</x:v>
      </x:c>
      <x:c r="E25" s="2" t="str">
        <x:v>Impulse-Momentum</x:v>
      </x:c>
      <x:c r="F25" s="2" t="str">
        <x:v>Strength &amp; Power</x:v>
      </x:c>
      <x:c r="G25" s="2" t="n">
        <x:v>246.8</x:v>
      </x:c>
      <x:c r="H25" s="2" t="str">
        <x:v>Ns</x:v>
      </x:c>
      <x:c r="I25" s="2" t="str">
        <x:v>higher</x:v>
      </x:c>
    </x:row>
    <x:row r="26" ht="15.75" customHeight="1">
      <x:c r="A26" s="3" t="str">
        <x:v>RVX-00002</x:v>
      </x:c>
      <x:c r="B26" s="2" t="n">
        <x:v>1</x:v>
      </x:c>
      <x:c r="C26" s="8" t="n">
        <x:v>46146</x:v>
      </x:c>
      <x:c r="D26" s="2" t="str">
        <x:v>sprint_5m</x:v>
      </x:c>
      <x:c r="E26" s="2" t="str">
        <x:v>5m Sprint</x:v>
      </x:c>
      <x:c r="F26" s="2" t="str">
        <x:v>Acceleration</x:v>
      </x:c>
      <x:c r="G26" s="3" t="n">
        <x:v>1.1</x:v>
      </x:c>
      <x:c r="H26" s="2" t="str">
        <x:v>sec</x:v>
      </x:c>
      <x:c r="I26" s="2" t="str">
        <x:v>lower</x:v>
      </x:c>
    </x:row>
    <x:row r="27" ht="15.75" customHeight="1">
      <x:c r="A27" s="3" t="str">
        <x:v>RVX-00002</x:v>
      </x:c>
      <x:c r="B27" s="2" t="n">
        <x:v>1</x:v>
      </x:c>
      <x:c r="C27" s="8" t="n">
        <x:v>46146</x:v>
      </x:c>
      <x:c r="D27" s="2" t="str">
        <x:v>sprint_10m</x:v>
      </x:c>
      <x:c r="E27" s="2" t="str">
        <x:v>10m Sprint</x:v>
      </x:c>
      <x:c r="F27" s="2" t="str">
        <x:v>Acceleration</x:v>
      </x:c>
      <x:c r="G27" s="3" t="n">
        <x:v>1.78</x:v>
      </x:c>
      <x:c r="H27" s="2" t="str">
        <x:v>sec</x:v>
      </x:c>
      <x:c r="I27" s="2" t="str">
        <x:v>lower</x:v>
      </x:c>
    </x:row>
    <x:row r="28" ht="15.75" customHeight="1">
      <x:c r="A28" s="3" t="str">
        <x:v>RVX-00002</x:v>
      </x:c>
      <x:c r="B28" s="2" t="n">
        <x:v>1</x:v>
      </x:c>
      <x:c r="C28" s="8" t="n">
        <x:v>46146</x:v>
      </x:c>
      <x:c r="D28" s="2" t="str">
        <x:v>pro_agility</x:v>
      </x:c>
      <x:c r="E28" s="2" t="str">
        <x:v>5-10-5 Pro Agility</x:v>
      </x:c>
      <x:c r="F28" s="2" t="str">
        <x:v>Agility</x:v>
      </x:c>
      <x:c r="G28" s="3" t="n">
        <x:v>4.54</x:v>
      </x:c>
      <x:c r="H28" s="2" t="str">
        <x:v>sec</x:v>
      </x:c>
      <x:c r="I28" s="2" t="str">
        <x:v>lower</x:v>
      </x:c>
    </x:row>
    <x:row r="29" ht="15.75" customHeight="1">
      <x:c r="A29" s="3" t="str">
        <x:v>RVX-00002</x:v>
      </x:c>
      <x:c r="B29" s="2" t="n">
        <x:v>1</x:v>
      </x:c>
      <x:c r="C29" s="8" t="n">
        <x:v>46146</x:v>
      </x:c>
      <x:c r="D29" s="2" t="str">
        <x:v>cmj_depth</x:v>
      </x:c>
      <x:c r="E29" s="2" t="str">
        <x:v>Countermovement Depth</x:v>
      </x:c>
      <x:c r="F29" s="2" t="str">
        <x:v>Movement</x:v>
      </x:c>
      <x:c r="G29" s="3" t="n">
        <x:v>33.5</x:v>
      </x:c>
      <x:c r="H29" s="2" t="str">
        <x:v>cm</x:v>
      </x:c>
      <x:c r="I29" s="2" t="str">
        <x:v>higher</x:v>
      </x:c>
    </x:row>
    <x:row r="30" ht="15.75" customHeight="1">
      <x:c r="A30" s="3" t="str">
        <x:v>RVX-00002</x:v>
      </x:c>
      <x:c r="B30" s="2" t="n">
        <x:v>1</x:v>
      </x:c>
      <x:c r="C30" s="8" t="n">
        <x:v>46146</x:v>
      </x:c>
      <x:c r="D30" s="2" t="str">
        <x:v>peak_force</x:v>
      </x:c>
      <x:c r="E30" s="2" t="str">
        <x:v>Peak Force</x:v>
      </x:c>
      <x:c r="F30" s="2" t="str">
        <x:v>Strength &amp; Power</x:v>
      </x:c>
      <x:c r="G30" s="2" t="n">
        <x:v>1921</x:v>
      </x:c>
      <x:c r="H30" s="2" t="str">
        <x:v>N</x:v>
      </x:c>
      <x:c r="I30" s="2" t="str">
        <x:v>higher</x:v>
      </x:c>
    </x:row>
    <x:row r="31" ht="15.75" customHeight="1">
      <x:c r="A31" s="3" t="str">
        <x:v>RVX-00002</x:v>
      </x:c>
      <x:c r="B31" s="2" t="n">
        <x:v>1</x:v>
      </x:c>
      <x:c r="C31" s="8" t="n">
        <x:v>46146</x:v>
      </x:c>
      <x:c r="D31" s="2" t="str">
        <x:v>impulse</x:v>
      </x:c>
      <x:c r="E31" s="2" t="str">
        <x:v>Impulse-Momentum</x:v>
      </x:c>
      <x:c r="F31" s="2" t="str">
        <x:v>Strength &amp; Power</x:v>
      </x:c>
      <x:c r="G31" s="2" t="n">
        <x:v>241.1</x:v>
      </x:c>
      <x:c r="H31" s="2" t="str">
        <x:v>Ns</x:v>
      </x:c>
      <x:c r="I31" s="2" t="str">
        <x:v>higher</x:v>
      </x:c>
    </x:row>
    <x:row r="32" ht="15.75" customHeight="1">
      <x:c r="A32" s="3" t="str">
        <x:v>RVX-00002</x:v>
      </x:c>
      <x:c r="B32" s="2" t="n">
        <x:v>2</x:v>
      </x:c>
      <x:c r="C32" s="8" t="n">
        <x:v>46174</x:v>
      </x:c>
      <x:c r="D32" s="2" t="str">
        <x:v>sprint_5m</x:v>
      </x:c>
      <x:c r="E32" s="2" t="str">
        <x:v>5m Sprint</x:v>
      </x:c>
      <x:c r="F32" s="2" t="str">
        <x:v>Acceleration</x:v>
      </x:c>
      <x:c r="G32" s="2" t="n">
        <x:v>1.04</x:v>
      </x:c>
      <x:c r="H32" s="2" t="str">
        <x:v>sec</x:v>
      </x:c>
      <x:c r="I32" s="2" t="str">
        <x:v>lower</x:v>
      </x:c>
    </x:row>
    <x:row r="33" ht="15.75" customHeight="1">
      <x:c r="A33" s="3" t="str">
        <x:v>RVX-00002</x:v>
      </x:c>
      <x:c r="B33" s="2" t="n">
        <x:v>2</x:v>
      </x:c>
      <x:c r="C33" s="8" t="n">
        <x:v>46174</x:v>
      </x:c>
      <x:c r="D33" s="2" t="str">
        <x:v>sprint_10m</x:v>
      </x:c>
      <x:c r="E33" s="2" t="str">
        <x:v>10m Sprint</x:v>
      </x:c>
      <x:c r="F33" s="2" t="str">
        <x:v>Acceleration</x:v>
      </x:c>
      <x:c r="G33" s="3" t="n">
        <x:v>1.76</x:v>
      </x:c>
      <x:c r="H33" s="2" t="str">
        <x:v>sec</x:v>
      </x:c>
      <x:c r="I33" s="3" t="str">
        <x:v>lower</x:v>
      </x:c>
    </x:row>
    <x:row r="34" ht="15.75" customHeight="1">
      <x:c r="A34" s="3" t="str">
        <x:v>RVX-00002</x:v>
      </x:c>
      <x:c r="B34" s="2" t="n">
        <x:v>2</x:v>
      </x:c>
      <x:c r="C34" s="8" t="n">
        <x:v>46174</x:v>
      </x:c>
      <x:c r="D34" s="2" t="str">
        <x:v>pro_agility</x:v>
      </x:c>
      <x:c r="E34" s="2" t="str">
        <x:v>5-10-5 Pro Agility</x:v>
      </x:c>
      <x:c r="F34" s="2" t="str">
        <x:v>Agility</x:v>
      </x:c>
      <x:c r="G34" s="2" t="n">
        <x:v>4.47</x:v>
      </x:c>
      <x:c r="H34" s="2" t="str">
        <x:v>sec</x:v>
      </x:c>
      <x:c r="I34" s="2" t="str">
        <x:v>lower</x:v>
      </x:c>
    </x:row>
    <x:row r="35" ht="15.75" customHeight="1">
      <x:c r="A35" s="3" t="str">
        <x:v>RVX-00002</x:v>
      </x:c>
      <x:c r="B35" s="2" t="n">
        <x:v>2</x:v>
      </x:c>
      <x:c r="C35" s="8" t="n">
        <x:v>46174</x:v>
      </x:c>
      <x:c r="D35" s="2" t="str">
        <x:v>cmj_depth</x:v>
      </x:c>
      <x:c r="E35" s="2" t="str">
        <x:v>Countermovement Depth</x:v>
      </x:c>
      <x:c r="F35" s="2" t="str">
        <x:v>Movement</x:v>
      </x:c>
      <x:c r="G35" s="2" t="n">
        <x:v>33.8</x:v>
      </x:c>
      <x:c r="H35" s="2" t="str">
        <x:v>cm</x:v>
      </x:c>
      <x:c r="I35" s="2" t="str">
        <x:v>higher</x:v>
      </x:c>
    </x:row>
    <x:row r="36" ht="15.75" customHeight="1">
      <x:c r="A36" s="3" t="str">
        <x:v>RVX-00002</x:v>
      </x:c>
      <x:c r="B36" s="2" t="n">
        <x:v>2</x:v>
      </x:c>
      <x:c r="C36" s="8" t="n">
        <x:v>46174</x:v>
      </x:c>
      <x:c r="D36" s="2" t="str">
        <x:v>peak_force</x:v>
      </x:c>
      <x:c r="E36" s="2" t="str">
        <x:v>Peak Force</x:v>
      </x:c>
      <x:c r="F36" s="2" t="str">
        <x:v>Strength &amp; Power</x:v>
      </x:c>
      <x:c r="G36" s="2" t="n">
        <x:v>1918</x:v>
      </x:c>
      <x:c r="H36" s="2" t="str">
        <x:v>N</x:v>
      </x:c>
      <x:c r="I36" s="2" t="str">
        <x:v>higher</x:v>
      </x:c>
    </x:row>
    <x:row r="37" ht="15.75" customHeight="1">
      <x:c r="A37" s="3" t="str">
        <x:v>RVX-00002</x:v>
      </x:c>
      <x:c r="B37" s="2" t="n">
        <x:v>2</x:v>
      </x:c>
      <x:c r="C37" s="8" t="n">
        <x:v>46174</x:v>
      </x:c>
      <x:c r="D37" s="2" t="str">
        <x:v>impulse</x:v>
      </x:c>
      <x:c r="E37" s="2" t="str">
        <x:v>Impulse-Momentum</x:v>
      </x:c>
      <x:c r="F37" s="2" t="str">
        <x:v>Strength &amp; Power</x:v>
      </x:c>
      <x:c r="G37" s="2" t="n">
        <x:v>240.7</x:v>
      </x:c>
      <x:c r="H37" s="2" t="str">
        <x:v>Ns</x:v>
      </x:c>
      <x:c r="I37" s="2" t="str">
        <x:v>higher</x:v>
      </x:c>
    </x:row>
    <x:row r="38" ht="15.75" customHeight="1">
      <x:c r="A38" s="3" t="str">
        <x:v>RVX-00002</x:v>
      </x:c>
      <x:c r="B38" s="2" t="n">
        <x:v>3</x:v>
      </x:c>
      <x:c r="C38" s="8" t="n">
        <x:v>46202</x:v>
      </x:c>
      <x:c r="D38" s="2" t="str">
        <x:v>sprint_5m</x:v>
      </x:c>
      <x:c r="E38" s="2" t="str">
        <x:v>5m Sprint</x:v>
      </x:c>
      <x:c r="F38" s="2" t="str">
        <x:v>Acceleration</x:v>
      </x:c>
      <x:c r="G38" s="2" t="n">
        <x:v>1.01</x:v>
      </x:c>
      <x:c r="H38" s="2" t="str">
        <x:v>sec</x:v>
      </x:c>
      <x:c r="I38" s="2" t="str">
        <x:v>lower</x:v>
      </x:c>
    </x:row>
    <x:row r="39" ht="15.75" customHeight="1">
      <x:c r="A39" s="3" t="str">
        <x:v>RVX-00002</x:v>
      </x:c>
      <x:c r="B39" s="2" t="n">
        <x:v>3</x:v>
      </x:c>
      <x:c r="C39" s="8" t="n">
        <x:v>46202</x:v>
      </x:c>
      <x:c r="D39" s="2" t="str">
        <x:v>sprint_10m</x:v>
      </x:c>
      <x:c r="E39" s="2" t="str">
        <x:v>10m Sprint</x:v>
      </x:c>
      <x:c r="F39" s="2" t="str">
        <x:v>Acceleration</x:v>
      </x:c>
      <x:c r="G39" s="2" t="n">
        <x:v>1.71</x:v>
      </x:c>
      <x:c r="H39" s="2" t="str">
        <x:v>sec</x:v>
      </x:c>
      <x:c r="I39" s="2" t="str">
        <x:v>lower</x:v>
      </x:c>
    </x:row>
    <x:row r="40" ht="15.75" customHeight="1">
      <x:c r="A40" s="3" t="str">
        <x:v>RVX-00002</x:v>
      </x:c>
      <x:c r="B40" s="2" t="n">
        <x:v>3</x:v>
      </x:c>
      <x:c r="C40" s="8" t="n">
        <x:v>46202</x:v>
      </x:c>
      <x:c r="D40" s="2" t="str">
        <x:v>pro_agility</x:v>
      </x:c>
      <x:c r="E40" s="2" t="str">
        <x:v>5-10-5 Pro Agility</x:v>
      </x:c>
      <x:c r="F40" s="2" t="str">
        <x:v>Agility</x:v>
      </x:c>
      <x:c r="G40" s="2" t="n">
        <x:v>4.39</x:v>
      </x:c>
      <x:c r="H40" s="2" t="str">
        <x:v>sec</x:v>
      </x:c>
      <x:c r="I40" s="2" t="str">
        <x:v>lower</x:v>
      </x:c>
    </x:row>
    <x:row r="41" ht="15.75" customHeight="1">
      <x:c r="A41" s="3" t="str">
        <x:v>RVX-00002</x:v>
      </x:c>
      <x:c r="B41" s="2" t="n">
        <x:v>3</x:v>
      </x:c>
      <x:c r="C41" s="8" t="n">
        <x:v>46202</x:v>
      </x:c>
      <x:c r="D41" s="2" t="str">
        <x:v>cmj_depth</x:v>
      </x:c>
      <x:c r="E41" s="2" t="str">
        <x:v>Countermovement Depth</x:v>
      </x:c>
      <x:c r="F41" s="2" t="str">
        <x:v>Movement</x:v>
      </x:c>
      <x:c r="G41" s="2" t="n">
        <x:v>34.2</x:v>
      </x:c>
      <x:c r="H41" s="2" t="str">
        <x:v>cm</x:v>
      </x:c>
      <x:c r="I41" s="2" t="str">
        <x:v>higher</x:v>
      </x:c>
    </x:row>
    <x:row r="42" ht="15.75" customHeight="1">
      <x:c r="A42" s="3" t="str">
        <x:v>RVX-00002</x:v>
      </x:c>
      <x:c r="B42" s="2" t="n">
        <x:v>3</x:v>
      </x:c>
      <x:c r="C42" s="8" t="n">
        <x:v>46202</x:v>
      </x:c>
      <x:c r="D42" s="2" t="str">
        <x:v>peak_force</x:v>
      </x:c>
      <x:c r="E42" s="2" t="str">
        <x:v>Peak Force</x:v>
      </x:c>
      <x:c r="F42" s="2" t="str">
        <x:v>Strength &amp; Power</x:v>
      </x:c>
      <x:c r="G42" s="2" t="n">
        <x:v>2000</x:v>
      </x:c>
      <x:c r="H42" s="2" t="str">
        <x:v>N</x:v>
      </x:c>
      <x:c r="I42" s="2" t="str">
        <x:v>higher</x:v>
      </x:c>
    </x:row>
    <x:row r="43" ht="15.75" customHeight="1">
      <x:c r="A43" s="3" t="str">
        <x:v>RVX-00002</x:v>
      </x:c>
      <x:c r="B43" s="2" t="n">
        <x:v>3</x:v>
      </x:c>
      <x:c r="C43" s="8" t="n">
        <x:v>46202</x:v>
      </x:c>
      <x:c r="D43" s="2" t="str">
        <x:v>impulse</x:v>
      </x:c>
      <x:c r="E43" s="2" t="str">
        <x:v>Impulse-Momentum</x:v>
      </x:c>
      <x:c r="F43" s="2" t="str">
        <x:v>Strength &amp; Power</x:v>
      </x:c>
      <x:c r="G43" s="2" t="n">
        <x:v>248.4</x:v>
      </x:c>
      <x:c r="H43" s="2" t="str">
        <x:v>Ns</x:v>
      </x:c>
      <x:c r="I43" s="2" t="str">
        <x:v>higher</x:v>
      </x:c>
    </x:row>
    <x:row r="44" ht="15.75" customHeight="1">
      <x:c r="A44" s="3" t="str">
        <x:v>RVX-00002</x:v>
      </x:c>
      <x:c r="B44" s="2" t="n">
        <x:v>4</x:v>
      </x:c>
      <x:c r="C44" s="8" t="n">
        <x:v>46230</x:v>
      </x:c>
      <x:c r="D44" s="2" t="str">
        <x:v>sprint_5m</x:v>
      </x:c>
      <x:c r="E44" s="2" t="str">
        <x:v>5m Sprint</x:v>
      </x:c>
      <x:c r="F44" s="2" t="str">
        <x:v>Acceleration</x:v>
      </x:c>
      <x:c r="G44" s="2" t="n">
        <x:v>1</x:v>
      </x:c>
      <x:c r="H44" s="2" t="str">
        <x:v>sec</x:v>
      </x:c>
      <x:c r="I44" s="2" t="str">
        <x:v>lower</x:v>
      </x:c>
    </x:row>
    <x:row r="45" ht="15.75" customHeight="1">
      <x:c r="A45" s="3" t="str">
        <x:v>RVX-00002</x:v>
      </x:c>
      <x:c r="B45" s="2" t="n">
        <x:v>4</x:v>
      </x:c>
      <x:c r="C45" s="8" t="n">
        <x:v>46230</x:v>
      </x:c>
      <x:c r="D45" s="2" t="str">
        <x:v>sprint_10m</x:v>
      </x:c>
      <x:c r="E45" s="2" t="str">
        <x:v>10m Sprint</x:v>
      </x:c>
      <x:c r="F45" s="2" t="str">
        <x:v>Acceleration</x:v>
      </x:c>
      <x:c r="G45" s="2" t="n">
        <x:v>1.68</x:v>
      </x:c>
      <x:c r="H45" s="2" t="str">
        <x:v>sec</x:v>
      </x:c>
      <x:c r="I45" s="2" t="str">
        <x:v>lower</x:v>
      </x:c>
    </x:row>
    <x:row r="46" ht="15.75" customHeight="1">
      <x:c r="A46" s="3" t="str">
        <x:v>RVX-00002</x:v>
      </x:c>
      <x:c r="B46" s="2" t="n">
        <x:v>4</x:v>
      </x:c>
      <x:c r="C46" s="8" t="n">
        <x:v>46230</x:v>
      </x:c>
      <x:c r="D46" s="2" t="str">
        <x:v>pro_agility</x:v>
      </x:c>
      <x:c r="E46" s="2" t="str">
        <x:v>5-10-5 Pro Agility</x:v>
      </x:c>
      <x:c r="F46" s="2" t="str">
        <x:v>Agility</x:v>
      </x:c>
      <x:c r="G46" s="2" t="n">
        <x:v>4.38</x:v>
      </x:c>
      <x:c r="H46" s="2" t="str">
        <x:v>sec</x:v>
      </x:c>
      <x:c r="I46" s="2" t="str">
        <x:v>lower</x:v>
      </x:c>
    </x:row>
    <x:row r="47" ht="15.75" customHeight="1">
      <x:c r="A47" s="3" t="str">
        <x:v>RVX-00002</x:v>
      </x:c>
      <x:c r="B47" s="2" t="n">
        <x:v>4</x:v>
      </x:c>
      <x:c r="C47" s="8" t="n">
        <x:v>46230</x:v>
      </x:c>
      <x:c r="D47" s="2" t="str">
        <x:v>cmj_depth</x:v>
      </x:c>
      <x:c r="E47" s="2" t="str">
        <x:v>Countermovement Depth</x:v>
      </x:c>
      <x:c r="F47" s="2" t="str">
        <x:v>Movement</x:v>
      </x:c>
      <x:c r="G47" s="2" t="n">
        <x:v>35.2</x:v>
      </x:c>
      <x:c r="H47" s="2" t="str">
        <x:v>cm</x:v>
      </x:c>
      <x:c r="I47" s="2" t="str">
        <x:v>higher</x:v>
      </x:c>
    </x:row>
    <x:row r="48" ht="15.75" customHeight="1">
      <x:c r="A48" s="3" t="str">
        <x:v>RVX-00002</x:v>
      </x:c>
      <x:c r="B48" s="2" t="n">
        <x:v>4</x:v>
      </x:c>
      <x:c r="C48" s="8" t="n">
        <x:v>46230</x:v>
      </x:c>
      <x:c r="D48" s="2" t="str">
        <x:v>peak_force</x:v>
      </x:c>
      <x:c r="E48" s="2" t="str">
        <x:v>Peak Force</x:v>
      </x:c>
      <x:c r="F48" s="2" t="str">
        <x:v>Strength &amp; Power</x:v>
      </x:c>
      <x:c r="G48" s="2" t="n">
        <x:v>2030</x:v>
      </x:c>
      <x:c r="H48" s="2" t="str">
        <x:v>N</x:v>
      </x:c>
      <x:c r="I48" s="2" t="str">
        <x:v>higher</x:v>
      </x:c>
    </x:row>
    <x:row r="49" ht="15.75" customHeight="1">
      <x:c r="A49" s="3" t="str">
        <x:v>RVX-00002</x:v>
      </x:c>
      <x:c r="B49" s="2" t="n">
        <x:v>4</x:v>
      </x:c>
      <x:c r="C49" s="8" t="n">
        <x:v>46230</x:v>
      </x:c>
      <x:c r="D49" s="2" t="str">
        <x:v>impulse</x:v>
      </x:c>
      <x:c r="E49" s="2" t="str">
        <x:v>Impulse-Momentum</x:v>
      </x:c>
      <x:c r="F49" s="2" t="str">
        <x:v>Strength &amp; Power</x:v>
      </x:c>
      <x:c r="G49" s="2" t="n">
        <x:v>250.9</x:v>
      </x:c>
      <x:c r="H49" s="2" t="str">
        <x:v>Ns</x:v>
      </x:c>
      <x:c r="I49" s="2" t="str">
        <x:v>higher</x:v>
      </x:c>
    </x:row>
    <x:row r="50" ht="15.75" customHeight="1">
      <x:c r="A50" t="str">
        <x:v>RVX-00003</x:v>
      </x:c>
      <x:c r="B50" t="n">
        <x:v>1</x:v>
      </x:c>
      <x:c r="C50" s="15" t="n">
        <x:v>46146</x:v>
      </x:c>
      <x:c r="D50" t="str">
        <x:v>sprint_5m</x:v>
      </x:c>
      <x:c r="E50" t="str">
        <x:v>5m Sprint</x:v>
      </x:c>
      <x:c r="F50" t="str">
        <x:v>Acceleration</x:v>
      </x:c>
      <x:c r="G50" t="n">
        <x:v>1.22</x:v>
      </x:c>
      <x:c r="H50" t="str">
        <x:v>sec</x:v>
      </x:c>
      <x:c r="I50" t="str">
        <x:v>lower</x:v>
      </x:c>
    </x:row>
    <x:row r="51" ht="15.75" customHeight="1">
      <x:c r="A51" t="str">
        <x:v>RVX-00003</x:v>
      </x:c>
      <x:c r="B51" t="n">
        <x:v>1</x:v>
      </x:c>
      <x:c r="C51" s="15" t="n">
        <x:v>46146</x:v>
      </x:c>
      <x:c r="D51" t="str">
        <x:v>sprint_10m</x:v>
      </x:c>
      <x:c r="E51" t="str">
        <x:v>10m Sprint</x:v>
      </x:c>
      <x:c r="F51" t="str">
        <x:v>Acceleration</x:v>
      </x:c>
      <x:c r="G51" t="n">
        <x:v>2.09</x:v>
      </x:c>
      <x:c r="H51" t="str">
        <x:v>sec</x:v>
      </x:c>
      <x:c r="I51" t="str">
        <x:v>lower</x:v>
      </x:c>
    </x:row>
    <x:row r="52" ht="15.75" customHeight="1">
      <x:c r="A52" t="str">
        <x:v>RVX-00003</x:v>
      </x:c>
      <x:c r="B52" t="n">
        <x:v>1</x:v>
      </x:c>
      <x:c r="C52" s="15" t="n">
        <x:v>46146</x:v>
      </x:c>
      <x:c r="D52" t="str">
        <x:v>pro_agility</x:v>
      </x:c>
      <x:c r="E52" t="str">
        <x:v>5-10-5 Pro Agility</x:v>
      </x:c>
      <x:c r="F52" t="str">
        <x:v>Agility</x:v>
      </x:c>
      <x:c r="G52" t="n">
        <x:v>5.4</x:v>
      </x:c>
      <x:c r="H52" t="str">
        <x:v>sec</x:v>
      </x:c>
      <x:c r="I52" t="str">
        <x:v>lower</x:v>
      </x:c>
    </x:row>
    <x:row r="53" ht="15.75" customHeight="1">
      <x:c r="A53" t="str">
        <x:v>RVX-00003</x:v>
      </x:c>
      <x:c r="B53" t="n">
        <x:v>1</x:v>
      </x:c>
      <x:c r="C53" s="15" t="n">
        <x:v>46146</x:v>
      </x:c>
      <x:c r="D53" t="str">
        <x:v>cmj_depth</x:v>
      </x:c>
      <x:c r="E53" t="str">
        <x:v>Countermovement Depth</x:v>
      </x:c>
      <x:c r="F53" t="str">
        <x:v>Movement</x:v>
      </x:c>
      <x:c r="G53" t="n">
        <x:v>27.2</x:v>
      </x:c>
      <x:c r="H53" t="str">
        <x:v>cm</x:v>
      </x:c>
      <x:c r="I53" t="str">
        <x:v>higher</x:v>
      </x:c>
    </x:row>
    <x:row r="54" ht="15.75" customHeight="1">
      <x:c r="A54" t="str">
        <x:v>RVX-00003</x:v>
      </x:c>
      <x:c r="B54" t="n">
        <x:v>1</x:v>
      </x:c>
      <x:c r="C54" s="15" t="n">
        <x:v>46146</x:v>
      </x:c>
      <x:c r="D54" t="str">
        <x:v>peak_force</x:v>
      </x:c>
      <x:c r="E54" t="str">
        <x:v>Peak Force</x:v>
      </x:c>
      <x:c r="F54" t="str">
        <x:v>Strength &amp; Power</x:v>
      </x:c>
      <x:c r="G54" t="n">
        <x:v>1583</x:v>
      </x:c>
      <x:c r="H54" t="str">
        <x:v>N</x:v>
      </x:c>
      <x:c r="I54" t="str">
        <x:v>higher</x:v>
      </x:c>
    </x:row>
    <x:row r="55" ht="15.75" customHeight="1">
      <x:c r="A55" t="str">
        <x:v>RVX-00003</x:v>
      </x:c>
      <x:c r="B55" t="n">
        <x:v>1</x:v>
      </x:c>
      <x:c r="C55" s="15" t="n">
        <x:v>46146</x:v>
      </x:c>
      <x:c r="D55" t="str">
        <x:v>impulse</x:v>
      </x:c>
      <x:c r="E55" t="str">
        <x:v>Impulse-Momentum</x:v>
      </x:c>
      <x:c r="F55" t="str">
        <x:v>Strength &amp; Power</x:v>
      </x:c>
      <x:c r="G55" t="n">
        <x:v>196.9</x:v>
      </x:c>
      <x:c r="H55" t="str">
        <x:v>Ns</x:v>
      </x:c>
      <x:c r="I55" t="str">
        <x:v>higher</x:v>
      </x:c>
    </x:row>
    <x:row r="56" ht="15.75" customHeight="1">
      <x:c r="A56" t="str">
        <x:v>RVX-00003</x:v>
      </x:c>
      <x:c r="B56" t="n">
        <x:v>2</x:v>
      </x:c>
      <x:c r="C56" s="15" t="n">
        <x:v>46174</x:v>
      </x:c>
      <x:c r="D56" t="str">
        <x:v>sprint_5m</x:v>
      </x:c>
      <x:c r="E56" t="str">
        <x:v>5m Sprint</x:v>
      </x:c>
      <x:c r="F56" t="str">
        <x:v>Acceleration</x:v>
      </x:c>
      <x:c r="G56" t="n">
        <x:v>1.2</x:v>
      </x:c>
      <x:c r="H56" t="str">
        <x:v>sec</x:v>
      </x:c>
      <x:c r="I56" t="str">
        <x:v>lower</x:v>
      </x:c>
    </x:row>
    <x:row r="57" ht="15.75" customHeight="1">
      <x:c r="A57" t="str">
        <x:v>RVX-00003</x:v>
      </x:c>
      <x:c r="B57" t="n">
        <x:v>2</x:v>
      </x:c>
      <x:c r="C57" s="15" t="n">
        <x:v>46174</x:v>
      </x:c>
      <x:c r="D57" t="str">
        <x:v>sprint_10m</x:v>
      </x:c>
      <x:c r="E57" t="str">
        <x:v>10m Sprint</x:v>
      </x:c>
      <x:c r="F57" t="str">
        <x:v>Acceleration</x:v>
      </x:c>
      <x:c r="G57" t="n">
        <x:v>2.03</x:v>
      </x:c>
      <x:c r="H57" t="str">
        <x:v>sec</x:v>
      </x:c>
      <x:c r="I57" t="str">
        <x:v>lower</x:v>
      </x:c>
    </x:row>
    <x:row r="58" ht="15.75" customHeight="1">
      <x:c r="A58" t="str">
        <x:v>RVX-00003</x:v>
      </x:c>
      <x:c r="B58" t="n">
        <x:v>2</x:v>
      </x:c>
      <x:c r="C58" s="15" t="n">
        <x:v>46174</x:v>
      </x:c>
      <x:c r="D58" t="str">
        <x:v>pro_agility</x:v>
      </x:c>
      <x:c r="E58" t="str">
        <x:v>5-10-5 Pro Agility</x:v>
      </x:c>
      <x:c r="F58" t="str">
        <x:v>Agility</x:v>
      </x:c>
      <x:c r="G58" t="n">
        <x:v>5.14</x:v>
      </x:c>
      <x:c r="H58" t="str">
        <x:v>sec</x:v>
      </x:c>
      <x:c r="I58" t="str">
        <x:v>lower</x:v>
      </x:c>
    </x:row>
    <x:row r="59" ht="15.75" customHeight="1">
      <x:c r="A59" t="str">
        <x:v>RVX-00003</x:v>
      </x:c>
      <x:c r="B59" t="n">
        <x:v>2</x:v>
      </x:c>
      <x:c r="C59" s="15" t="n">
        <x:v>46174</x:v>
      </x:c>
      <x:c r="D59" t="str">
        <x:v>cmj_depth</x:v>
      </x:c>
      <x:c r="E59" t="str">
        <x:v>Countermovement Depth</x:v>
      </x:c>
      <x:c r="F59" t="str">
        <x:v>Movement</x:v>
      </x:c>
      <x:c r="G59" t="n">
        <x:v>26.8</x:v>
      </x:c>
      <x:c r="H59" t="str">
        <x:v>cm</x:v>
      </x:c>
      <x:c r="I59" t="str">
        <x:v>higher</x:v>
      </x:c>
    </x:row>
    <x:row r="60" ht="15.75" customHeight="1">
      <x:c r="A60" t="str">
        <x:v>RVX-00003</x:v>
      </x:c>
      <x:c r="B60" t="n">
        <x:v>2</x:v>
      </x:c>
      <x:c r="C60" s="15" t="n">
        <x:v>46174</x:v>
      </x:c>
      <x:c r="D60" t="str">
        <x:v>peak_force</x:v>
      </x:c>
      <x:c r="E60" t="str">
        <x:v>Peak Force</x:v>
      </x:c>
      <x:c r="F60" t="str">
        <x:v>Strength &amp; Power</x:v>
      </x:c>
      <x:c r="G60" t="n">
        <x:v>1618</x:v>
      </x:c>
      <x:c r="H60" t="str">
        <x:v>N</x:v>
      </x:c>
      <x:c r="I60" t="str">
        <x:v>higher</x:v>
      </x:c>
    </x:row>
    <x:row r="61" ht="15.75" customHeight="1">
      <x:c r="A61" t="str">
        <x:v>RVX-00003</x:v>
      </x:c>
      <x:c r="B61" t="n">
        <x:v>2</x:v>
      </x:c>
      <x:c r="C61" s="15" t="n">
        <x:v>46174</x:v>
      </x:c>
      <x:c r="D61" t="str">
        <x:v>impulse</x:v>
      </x:c>
      <x:c r="E61" t="str">
        <x:v>Impulse-Momentum</x:v>
      </x:c>
      <x:c r="F61" t="str">
        <x:v>Strength &amp; Power</x:v>
      </x:c>
      <x:c r="G61" t="n">
        <x:v>202.3</x:v>
      </x:c>
      <x:c r="H61" t="str">
        <x:v>Ns</x:v>
      </x:c>
      <x:c r="I61" t="str">
        <x:v>higher</x:v>
      </x:c>
    </x:row>
    <x:row r="62" ht="15.75" customHeight="1">
      <x:c r="A62" t="str">
        <x:v>RVX-00003</x:v>
      </x:c>
      <x:c r="B62" t="n">
        <x:v>3</x:v>
      </x:c>
      <x:c r="C62" s="15" t="n">
        <x:v>46202</x:v>
      </x:c>
      <x:c r="D62" t="str">
        <x:v>sprint_5m</x:v>
      </x:c>
      <x:c r="E62" t="str">
        <x:v>5m Sprint</x:v>
      </x:c>
      <x:c r="F62" t="str">
        <x:v>Acceleration</x:v>
      </x:c>
      <x:c r="G62" t="n">
        <x:v>1.18</x:v>
      </x:c>
      <x:c r="H62" t="str">
        <x:v>sec</x:v>
      </x:c>
      <x:c r="I62" t="str">
        <x:v>lower</x:v>
      </x:c>
    </x:row>
    <x:row r="63" ht="15.75" customHeight="1">
      <x:c r="A63" t="str">
        <x:v>RVX-00003</x:v>
      </x:c>
      <x:c r="B63" t="n">
        <x:v>3</x:v>
      </x:c>
      <x:c r="C63" s="15" t="n">
        <x:v>46202</x:v>
      </x:c>
      <x:c r="D63" t="str">
        <x:v>sprint_10m</x:v>
      </x:c>
      <x:c r="E63" t="str">
        <x:v>10m Sprint</x:v>
      </x:c>
      <x:c r="F63" t="str">
        <x:v>Acceleration</x:v>
      </x:c>
      <x:c r="G63" t="n">
        <x:v>2.01</x:v>
      </x:c>
      <x:c r="H63" t="str">
        <x:v>sec</x:v>
      </x:c>
      <x:c r="I63" t="str">
        <x:v>lower</x:v>
      </x:c>
    </x:row>
    <x:row r="64" ht="15.75" customHeight="1">
      <x:c r="A64" t="str">
        <x:v>RVX-00003</x:v>
      </x:c>
      <x:c r="B64" t="n">
        <x:v>3</x:v>
      </x:c>
      <x:c r="C64" s="15" t="n">
        <x:v>46202</x:v>
      </x:c>
      <x:c r="D64" t="str">
        <x:v>pro_agility</x:v>
      </x:c>
      <x:c r="E64" t="str">
        <x:v>5-10-5 Pro Agility</x:v>
      </x:c>
      <x:c r="F64" t="str">
        <x:v>Agility</x:v>
      </x:c>
      <x:c r="G64" t="n">
        <x:v>5.15</x:v>
      </x:c>
      <x:c r="H64" t="str">
        <x:v>sec</x:v>
      </x:c>
      <x:c r="I64" t="str">
        <x:v>lower</x:v>
      </x:c>
    </x:row>
    <x:row r="65" ht="15.75" customHeight="1">
      <x:c r="A65" t="str">
        <x:v>RVX-00003</x:v>
      </x:c>
      <x:c r="B65" t="n">
        <x:v>3</x:v>
      </x:c>
      <x:c r="C65" s="15" t="n">
        <x:v>46202</x:v>
      </x:c>
      <x:c r="D65" t="str">
        <x:v>cmj_depth</x:v>
      </x:c>
      <x:c r="E65" t="str">
        <x:v>Countermovement Depth</x:v>
      </x:c>
      <x:c r="F65" t="str">
        <x:v>Movement</x:v>
      </x:c>
      <x:c r="G65" t="n">
        <x:v>28.5</x:v>
      </x:c>
      <x:c r="H65" t="str">
        <x:v>cm</x:v>
      </x:c>
      <x:c r="I65" t="str">
        <x:v>higher</x:v>
      </x:c>
    </x:row>
    <x:row r="66" ht="15.75" customHeight="1">
      <x:c r="A66" t="str">
        <x:v>RVX-00003</x:v>
      </x:c>
      <x:c r="B66" t="n">
        <x:v>3</x:v>
      </x:c>
      <x:c r="C66" s="15" t="n">
        <x:v>46202</x:v>
      </x:c>
      <x:c r="D66" t="str">
        <x:v>peak_force</x:v>
      </x:c>
      <x:c r="E66" t="str">
        <x:v>Peak Force</x:v>
      </x:c>
      <x:c r="F66" t="str">
        <x:v>Strength &amp; Power</x:v>
      </x:c>
      <x:c r="G66" t="n">
        <x:v>1666</x:v>
      </x:c>
      <x:c r="H66" t="str">
        <x:v>N</x:v>
      </x:c>
      <x:c r="I66" t="str">
        <x:v>higher</x:v>
      </x:c>
    </x:row>
    <x:row r="67" ht="15.75" customHeight="1">
      <x:c r="A67" t="str">
        <x:v>RVX-00003</x:v>
      </x:c>
      <x:c r="B67" t="n">
        <x:v>3</x:v>
      </x:c>
      <x:c r="C67" s="15" t="n">
        <x:v>46202</x:v>
      </x:c>
      <x:c r="D67" t="str">
        <x:v>impulse</x:v>
      </x:c>
      <x:c r="E67" t="str">
        <x:v>Impulse-Momentum</x:v>
      </x:c>
      <x:c r="F67" t="str">
        <x:v>Strength &amp; Power</x:v>
      </x:c>
      <x:c r="G67" t="n">
        <x:v>201.1</x:v>
      </x:c>
      <x:c r="H67" t="str">
        <x:v>Ns</x:v>
      </x:c>
      <x:c r="I67" t="str">
        <x:v>higher</x:v>
      </x:c>
    </x:row>
    <x:row r="68" ht="15.75" customHeight="1">
      <x:c r="A68" t="str">
        <x:v>RVX-00003</x:v>
      </x:c>
      <x:c r="B68" t="n">
        <x:v>4</x:v>
      </x:c>
      <x:c r="C68" s="15" t="n">
        <x:v>46230</x:v>
      </x:c>
      <x:c r="D68" t="str">
        <x:v>sprint_5m</x:v>
      </x:c>
      <x:c r="E68" t="str">
        <x:v>5m Sprint</x:v>
      </x:c>
      <x:c r="F68" t="str">
        <x:v>Acceleration</x:v>
      </x:c>
      <x:c r="G68" t="n">
        <x:v>1.15</x:v>
      </x:c>
      <x:c r="H68" t="str">
        <x:v>sec</x:v>
      </x:c>
      <x:c r="I68" t="str">
        <x:v>lower</x:v>
      </x:c>
    </x:row>
    <x:row r="69" ht="15.75" customHeight="1">
      <x:c r="A69" t="str">
        <x:v>RVX-00003</x:v>
      </x:c>
      <x:c r="B69" t="n">
        <x:v>4</x:v>
      </x:c>
      <x:c r="C69" s="15" t="n">
        <x:v>46230</x:v>
      </x:c>
      <x:c r="D69" t="str">
        <x:v>sprint_10m</x:v>
      </x:c>
      <x:c r="E69" t="str">
        <x:v>10m Sprint</x:v>
      </x:c>
      <x:c r="F69" t="str">
        <x:v>Acceleration</x:v>
      </x:c>
      <x:c r="G69" t="n">
        <x:v>2</x:v>
      </x:c>
      <x:c r="H69" t="str">
        <x:v>sec</x:v>
      </x:c>
      <x:c r="I69" t="str">
        <x:v>lower</x:v>
      </x:c>
    </x:row>
    <x:row r="70" ht="15.75" customHeight="1">
      <x:c r="A70" t="str">
        <x:v>RVX-00003</x:v>
      </x:c>
      <x:c r="B70" t="n">
        <x:v>4</x:v>
      </x:c>
      <x:c r="C70" s="15" t="n">
        <x:v>46230</x:v>
      </x:c>
      <x:c r="D70" t="str">
        <x:v>pro_agility</x:v>
      </x:c>
      <x:c r="E70" t="str">
        <x:v>5-10-5 Pro Agility</x:v>
      </x:c>
      <x:c r="F70" t="str">
        <x:v>Agility</x:v>
      </x:c>
      <x:c r="G70" t="n">
        <x:v>5</x:v>
      </x:c>
      <x:c r="H70" t="str">
        <x:v>sec</x:v>
      </x:c>
      <x:c r="I70" t="str">
        <x:v>lower</x:v>
      </x:c>
    </x:row>
    <x:row r="71" ht="15.75" customHeight="1">
      <x:c r="A71" t="str">
        <x:v>RVX-00003</x:v>
      </x:c>
      <x:c r="B71" t="n">
        <x:v>4</x:v>
      </x:c>
      <x:c r="C71" s="15" t="n">
        <x:v>46230</x:v>
      </x:c>
      <x:c r="D71" t="str">
        <x:v>cmj_depth</x:v>
      </x:c>
      <x:c r="E71" t="str">
        <x:v>Countermovement Depth</x:v>
      </x:c>
      <x:c r="F71" t="str">
        <x:v>Movement</x:v>
      </x:c>
      <x:c r="G71" t="n">
        <x:v>28</x:v>
      </x:c>
      <x:c r="H71" t="str">
        <x:v>cm</x:v>
      </x:c>
      <x:c r="I71" t="str">
        <x:v>higher</x:v>
      </x:c>
    </x:row>
    <x:row r="72" ht="15.75" customHeight="1">
      <x:c r="A72" t="str">
        <x:v>RVX-00003</x:v>
      </x:c>
      <x:c r="B72" t="n">
        <x:v>4</x:v>
      </x:c>
      <x:c r="C72" s="15" t="n">
        <x:v>46230</x:v>
      </x:c>
      <x:c r="D72" t="str">
        <x:v>peak_force</x:v>
      </x:c>
      <x:c r="E72" t="str">
        <x:v>Peak Force</x:v>
      </x:c>
      <x:c r="F72" t="str">
        <x:v>Strength &amp; Power</x:v>
      </x:c>
      <x:c r="G72" t="n">
        <x:v>1660</x:v>
      </x:c>
      <x:c r="H72" t="str">
        <x:v>N</x:v>
      </x:c>
      <x:c r="I72" t="str">
        <x:v>higher</x:v>
      </x:c>
    </x:row>
    <x:row r="73" ht="15.75" customHeight="1">
      <x:c r="A73" t="str">
        <x:v>RVX-00003</x:v>
      </x:c>
      <x:c r="B73" t="n">
        <x:v>4</x:v>
      </x:c>
      <x:c r="C73" s="15" t="n">
        <x:v>46230</x:v>
      </x:c>
      <x:c r="D73" t="str">
        <x:v>impulse</x:v>
      </x:c>
      <x:c r="E73" t="str">
        <x:v>Impulse-Momentum</x:v>
      </x:c>
      <x:c r="F73" t="str">
        <x:v>Strength &amp; Power</x:v>
      </x:c>
      <x:c r="G73" t="n">
        <x:v>208.5</x:v>
      </x:c>
      <x:c r="H73" t="str">
        <x:v>Ns</x:v>
      </x:c>
      <x:c r="I73" t="str">
        <x:v>higher</x:v>
      </x:c>
    </x:row>
    <x:row r="74" ht="15.75" customHeight="1">
      <x:c r="A74" t="str">
        <x:v>RVX-00004</x:v>
      </x:c>
      <x:c r="B74" t="n">
        <x:v>1</x:v>
      </x:c>
      <x:c r="C74" s="15" t="n">
        <x:v>46146</x:v>
      </x:c>
      <x:c r="D74" t="str">
        <x:v>sprint_5m</x:v>
      </x:c>
      <x:c r="E74" t="str">
        <x:v>5m Sprint</x:v>
      </x:c>
      <x:c r="F74" t="str">
        <x:v>Acceleration</x:v>
      </x:c>
      <x:c r="G74" t="n">
        <x:v>0.99</x:v>
      </x:c>
      <x:c r="H74" t="str">
        <x:v>sec</x:v>
      </x:c>
      <x:c r="I74" t="str">
        <x:v>lower</x:v>
      </x:c>
    </x:row>
    <x:row r="75" ht="15.75" customHeight="1">
      <x:c r="A75" t="str">
        <x:v>RVX-00004</x:v>
      </x:c>
      <x:c r="B75" t="n">
        <x:v>1</x:v>
      </x:c>
      <x:c r="C75" s="15" t="n">
        <x:v>46146</x:v>
      </x:c>
      <x:c r="D75" t="str">
        <x:v>sprint_10m</x:v>
      </x:c>
      <x:c r="E75" t="str">
        <x:v>10m Sprint</x:v>
      </x:c>
      <x:c r="F75" t="str">
        <x:v>Acceleration</x:v>
      </x:c>
      <x:c r="G75" t="n">
        <x:v>1.61</x:v>
      </x:c>
      <x:c r="H75" t="str">
        <x:v>sec</x:v>
      </x:c>
      <x:c r="I75" t="str">
        <x:v>lower</x:v>
      </x:c>
    </x:row>
    <x:row r="76" ht="15.75" customHeight="1">
      <x:c r="A76" t="str">
        <x:v>RVX-00004</x:v>
      </x:c>
      <x:c r="B76" t="n">
        <x:v>1</x:v>
      </x:c>
      <x:c r="C76" s="15" t="n">
        <x:v>46146</x:v>
      </x:c>
      <x:c r="D76" t="str">
        <x:v>pro_agility</x:v>
      </x:c>
      <x:c r="E76" t="str">
        <x:v>5-10-5 Pro Agility</x:v>
      </x:c>
      <x:c r="F76" t="str">
        <x:v>Agility</x:v>
      </x:c>
      <x:c r="G76" t="n">
        <x:v>4.19</x:v>
      </x:c>
      <x:c r="H76" t="str">
        <x:v>sec</x:v>
      </x:c>
      <x:c r="I76" t="str">
        <x:v>lower</x:v>
      </x:c>
    </x:row>
    <x:row r="77" ht="15.75" customHeight="1">
      <x:c r="A77" t="str">
        <x:v>RVX-00004</x:v>
      </x:c>
      <x:c r="B77" t="n">
        <x:v>1</x:v>
      </x:c>
      <x:c r="C77" s="15" t="n">
        <x:v>46146</x:v>
      </x:c>
      <x:c r="D77" t="str">
        <x:v>cmj_depth</x:v>
      </x:c>
      <x:c r="E77" t="str">
        <x:v>Countermovement Depth</x:v>
      </x:c>
      <x:c r="F77" t="str">
        <x:v>Movement</x:v>
      </x:c>
      <x:c r="G77" t="n">
        <x:v>37.1</x:v>
      </x:c>
      <x:c r="H77" t="str">
        <x:v>cm</x:v>
      </x:c>
      <x:c r="I77" t="str">
        <x:v>higher</x:v>
      </x:c>
    </x:row>
    <x:row r="78" ht="15.75" customHeight="1">
      <x:c r="A78" t="str">
        <x:v>RVX-00004</x:v>
      </x:c>
      <x:c r="B78" t="n">
        <x:v>1</x:v>
      </x:c>
      <x:c r="C78" s="15" t="n">
        <x:v>46146</x:v>
      </x:c>
      <x:c r="D78" t="str">
        <x:v>peak_force</x:v>
      </x:c>
      <x:c r="E78" t="str">
        <x:v>Peak Force</x:v>
      </x:c>
      <x:c r="F78" t="str">
        <x:v>Strength &amp; Power</x:v>
      </x:c>
      <x:c r="G78" t="n">
        <x:v>2101</x:v>
      </x:c>
      <x:c r="H78" t="str">
        <x:v>N</x:v>
      </x:c>
      <x:c r="I78" t="str">
        <x:v>higher</x:v>
      </x:c>
    </x:row>
    <x:row r="79" ht="15.75" customHeight="1">
      <x:c r="A79" t="str">
        <x:v>RVX-00004</x:v>
      </x:c>
      <x:c r="B79" t="n">
        <x:v>1</x:v>
      </x:c>
      <x:c r="C79" s="15" t="n">
        <x:v>46146</x:v>
      </x:c>
      <x:c r="D79" t="str">
        <x:v>impulse</x:v>
      </x:c>
      <x:c r="E79" t="str">
        <x:v>Impulse-Momentum</x:v>
      </x:c>
      <x:c r="F79" t="str">
        <x:v>Strength &amp; Power</x:v>
      </x:c>
      <x:c r="G79" t="n">
        <x:v>259.8</x:v>
      </x:c>
      <x:c r="H79" t="str">
        <x:v>Ns</x:v>
      </x:c>
      <x:c r="I79" t="str">
        <x:v>higher</x:v>
      </x:c>
    </x:row>
    <x:row r="80" ht="15.75" customHeight="1">
      <x:c r="A80" t="str">
        <x:v>RVX-00004</x:v>
      </x:c>
      <x:c r="B80" t="n">
        <x:v>2</x:v>
      </x:c>
      <x:c r="C80" s="15" t="n">
        <x:v>46174</x:v>
      </x:c>
      <x:c r="D80" t="str">
        <x:v>sprint_5m</x:v>
      </x:c>
      <x:c r="E80" t="str">
        <x:v>5m Sprint</x:v>
      </x:c>
      <x:c r="F80" t="str">
        <x:v>Acceleration</x:v>
      </x:c>
      <x:c r="G80" t="n">
        <x:v>0.96</x:v>
      </x:c>
      <x:c r="H80" t="str">
        <x:v>sec</x:v>
      </x:c>
      <x:c r="I80" t="str">
        <x:v>lower</x:v>
      </x:c>
    </x:row>
    <x:row r="81" ht="15.75" customHeight="1">
      <x:c r="A81" t="str">
        <x:v>RVX-00004</x:v>
      </x:c>
      <x:c r="B81" t="n">
        <x:v>2</x:v>
      </x:c>
      <x:c r="C81" s="15" t="n">
        <x:v>46174</x:v>
      </x:c>
      <x:c r="D81" t="str">
        <x:v>sprint_10m</x:v>
      </x:c>
      <x:c r="E81" t="str">
        <x:v>10m Sprint</x:v>
      </x:c>
      <x:c r="F81" t="str">
        <x:v>Acceleration</x:v>
      </x:c>
      <x:c r="G81" t="n">
        <x:v>1.56</x:v>
      </x:c>
      <x:c r="H81" t="str">
        <x:v>sec</x:v>
      </x:c>
      <x:c r="I81" t="str">
        <x:v>lower</x:v>
      </x:c>
    </x:row>
    <x:row r="82" ht="15.75" customHeight="1">
      <x:c r="A82" t="str">
        <x:v>RVX-00004</x:v>
      </x:c>
      <x:c r="B82" t="n">
        <x:v>2</x:v>
      </x:c>
      <x:c r="C82" s="15" t="n">
        <x:v>46174</x:v>
      </x:c>
      <x:c r="D82" t="str">
        <x:v>pro_agility</x:v>
      </x:c>
      <x:c r="E82" t="str">
        <x:v>5-10-5 Pro Agility</x:v>
      </x:c>
      <x:c r="F82" t="str">
        <x:v>Agility</x:v>
      </x:c>
      <x:c r="G82" t="n">
        <x:v>3.99</x:v>
      </x:c>
      <x:c r="H82" t="str">
        <x:v>sec</x:v>
      </x:c>
      <x:c r="I82" t="str">
        <x:v>lower</x:v>
      </x:c>
    </x:row>
    <x:row r="83" ht="15.75" customHeight="1">
      <x:c r="A83" t="str">
        <x:v>RVX-00004</x:v>
      </x:c>
      <x:c r="B83" t="n">
        <x:v>2</x:v>
      </x:c>
      <x:c r="C83" s="15" t="n">
        <x:v>46174</x:v>
      </x:c>
      <x:c r="D83" t="str">
        <x:v>cmj_depth</x:v>
      </x:c>
      <x:c r="E83" t="str">
        <x:v>Countermovement Depth</x:v>
      </x:c>
      <x:c r="F83" t="str">
        <x:v>Movement</x:v>
      </x:c>
      <x:c r="G83" t="n">
        <x:v>37.2</x:v>
      </x:c>
      <x:c r="H83" t="str">
        <x:v>cm</x:v>
      </x:c>
      <x:c r="I83" t="str">
        <x:v>higher</x:v>
      </x:c>
    </x:row>
    <x:row r="84" ht="15.75" customHeight="1">
      <x:c r="A84" t="str">
        <x:v>RVX-00004</x:v>
      </x:c>
      <x:c r="B84" t="n">
        <x:v>2</x:v>
      </x:c>
      <x:c r="C84" s="15" t="n">
        <x:v>46174</x:v>
      </x:c>
      <x:c r="D84" t="str">
        <x:v>peak_force</x:v>
      </x:c>
      <x:c r="E84" t="str">
        <x:v>Peak Force</x:v>
      </x:c>
      <x:c r="F84" t="str">
        <x:v>Strength &amp; Power</x:v>
      </x:c>
      <x:c r="G84" t="n">
        <x:v>2175</x:v>
      </x:c>
      <x:c r="H84" t="str">
        <x:v>N</x:v>
      </x:c>
      <x:c r="I84" t="str">
        <x:v>higher</x:v>
      </x:c>
    </x:row>
    <x:row r="85" ht="15.75" customHeight="1">
      <x:c r="A85" t="str">
        <x:v>RVX-00004</x:v>
      </x:c>
      <x:c r="B85" t="n">
        <x:v>2</x:v>
      </x:c>
      <x:c r="C85" s="15" t="n">
        <x:v>46174</x:v>
      </x:c>
      <x:c r="D85" t="str">
        <x:v>impulse</x:v>
      </x:c>
      <x:c r="E85" t="str">
        <x:v>Impulse-Momentum</x:v>
      </x:c>
      <x:c r="F85" t="str">
        <x:v>Strength &amp; Power</x:v>
      </x:c>
      <x:c r="G85" t="n">
        <x:v>259.2</x:v>
      </x:c>
      <x:c r="H85" t="str">
        <x:v>Ns</x:v>
      </x:c>
      <x:c r="I85" t="str">
        <x:v>higher</x:v>
      </x:c>
    </x:row>
    <x:row r="86" ht="15.75" customHeight="1">
      <x:c r="A86" t="str">
        <x:v>RVX-00004</x:v>
      </x:c>
      <x:c r="B86" t="n">
        <x:v>3</x:v>
      </x:c>
      <x:c r="C86" s="15" t="n">
        <x:v>46202</x:v>
      </x:c>
      <x:c r="D86" t="str">
        <x:v>sprint_5m</x:v>
      </x:c>
      <x:c r="E86" t="str">
        <x:v>5m Sprint</x:v>
      </x:c>
      <x:c r="F86" t="str">
        <x:v>Acceleration</x:v>
      </x:c>
      <x:c r="G86" t="n">
        <x:v>0.94</x:v>
      </x:c>
      <x:c r="H86" t="str">
        <x:v>sec</x:v>
      </x:c>
      <x:c r="I86" t="str">
        <x:v>lower</x:v>
      </x:c>
    </x:row>
    <x:row r="87" ht="15.75" customHeight="1">
      <x:c r="A87" t="str">
        <x:v>RVX-00004</x:v>
      </x:c>
      <x:c r="B87" t="n">
        <x:v>3</x:v>
      </x:c>
      <x:c r="C87" s="15" t="n">
        <x:v>46202</x:v>
      </x:c>
      <x:c r="D87" t="str">
        <x:v>sprint_10m</x:v>
      </x:c>
      <x:c r="E87" t="str">
        <x:v>10m Sprint</x:v>
      </x:c>
      <x:c r="F87" t="str">
        <x:v>Acceleration</x:v>
      </x:c>
      <x:c r="G87" t="n">
        <x:v>1.6</x:v>
      </x:c>
      <x:c r="H87" t="str">
        <x:v>sec</x:v>
      </x:c>
      <x:c r="I87" t="str">
        <x:v>lower</x:v>
      </x:c>
    </x:row>
    <x:row r="88" ht="15.75" customHeight="1">
      <x:c r="A88" t="str">
        <x:v>RVX-00004</x:v>
      </x:c>
      <x:c r="B88" t="n">
        <x:v>3</x:v>
      </x:c>
      <x:c r="C88" s="15" t="n">
        <x:v>46202</x:v>
      </x:c>
      <x:c r="D88" t="str">
        <x:v>pro_agility</x:v>
      </x:c>
      <x:c r="E88" t="str">
        <x:v>5-10-5 Pro Agility</x:v>
      </x:c>
      <x:c r="F88" t="str">
        <x:v>Agility</x:v>
      </x:c>
      <x:c r="G88" t="n">
        <x:v>4.07</x:v>
      </x:c>
      <x:c r="H88" t="str">
        <x:v>sec</x:v>
      </x:c>
      <x:c r="I88" t="str">
        <x:v>lower</x:v>
      </x:c>
    </x:row>
    <x:row r="89" ht="15.75" customHeight="1">
      <x:c r="A89" t="str">
        <x:v>RVX-00004</x:v>
      </x:c>
      <x:c r="B89" t="n">
        <x:v>3</x:v>
      </x:c>
      <x:c r="C89" s="15" t="n">
        <x:v>46202</x:v>
      </x:c>
      <x:c r="D89" t="str">
        <x:v>cmj_depth</x:v>
      </x:c>
      <x:c r="E89" t="str">
        <x:v>Countermovement Depth</x:v>
      </x:c>
      <x:c r="F89" t="str">
        <x:v>Movement</x:v>
      </x:c>
      <x:c r="G89" t="n">
        <x:v>37</x:v>
      </x:c>
      <x:c r="H89" t="str">
        <x:v>cm</x:v>
      </x:c>
      <x:c r="I89" t="str">
        <x:v>higher</x:v>
      </x:c>
    </x:row>
    <x:row r="90" ht="15.75" customHeight="1">
      <x:c r="A90" t="str">
        <x:v>RVX-00004</x:v>
      </x:c>
      <x:c r="B90" t="n">
        <x:v>3</x:v>
      </x:c>
      <x:c r="C90" s="15" t="n">
        <x:v>46202</x:v>
      </x:c>
      <x:c r="D90" t="str">
        <x:v>peak_force</x:v>
      </x:c>
      <x:c r="E90" t="str">
        <x:v>Peak Force</x:v>
      </x:c>
      <x:c r="F90" t="str">
        <x:v>Strength &amp; Power</x:v>
      </x:c>
      <x:c r="G90" t="n">
        <x:v>2214</x:v>
      </x:c>
      <x:c r="H90" t="str">
        <x:v>N</x:v>
      </x:c>
      <x:c r="I90" t="str">
        <x:v>higher</x:v>
      </x:c>
    </x:row>
    <x:row r="91" ht="15.75" customHeight="1">
      <x:c r="A91" t="str">
        <x:v>RVX-00004</x:v>
      </x:c>
      <x:c r="B91" t="n">
        <x:v>3</x:v>
      </x:c>
      <x:c r="C91" s="15" t="n">
        <x:v>46202</x:v>
      </x:c>
      <x:c r="D91" t="str">
        <x:v>impulse</x:v>
      </x:c>
      <x:c r="E91" t="str">
        <x:v>Impulse-Momentum</x:v>
      </x:c>
      <x:c r="F91" t="str">
        <x:v>Strength &amp; Power</x:v>
      </x:c>
      <x:c r="G91" t="n">
        <x:v>269.8</x:v>
      </x:c>
      <x:c r="H91" t="str">
        <x:v>Ns</x:v>
      </x:c>
      <x:c r="I91" t="str">
        <x:v>higher</x:v>
      </x:c>
    </x:row>
    <x:row r="92" ht="15.75" customHeight="1">
      <x:c r="A92" t="str">
        <x:v>RVX-00004</x:v>
      </x:c>
      <x:c r="B92" t="n">
        <x:v>4</x:v>
      </x:c>
      <x:c r="C92" s="15" t="n">
        <x:v>46230</x:v>
      </x:c>
      <x:c r="D92" t="str">
        <x:v>sprint_5m</x:v>
      </x:c>
      <x:c r="E92" t="str">
        <x:v>5m Sprint</x:v>
      </x:c>
      <x:c r="F92" t="str">
        <x:v>Acceleration</x:v>
      </x:c>
      <x:c r="G92" t="n">
        <x:v>0.9</x:v>
      </x:c>
      <x:c r="H92" t="str">
        <x:v>sec</x:v>
      </x:c>
      <x:c r="I92" t="str">
        <x:v>lower</x:v>
      </x:c>
    </x:row>
    <x:row r="93" ht="15.75" customHeight="1">
      <x:c r="A93" t="str">
        <x:v>RVX-00004</x:v>
      </x:c>
      <x:c r="B93" t="n">
        <x:v>4</x:v>
      </x:c>
      <x:c r="C93" s="15" t="n">
        <x:v>46230</x:v>
      </x:c>
      <x:c r="D93" t="str">
        <x:v>sprint_10m</x:v>
      </x:c>
      <x:c r="E93" t="str">
        <x:v>10m Sprint</x:v>
      </x:c>
      <x:c r="F93" t="str">
        <x:v>Acceleration</x:v>
      </x:c>
      <x:c r="G93" t="n">
        <x:v>1.5</x:v>
      </x:c>
      <x:c r="H93" t="str">
        <x:v>sec</x:v>
      </x:c>
      <x:c r="I93" t="str">
        <x:v>lower</x:v>
      </x:c>
    </x:row>
    <x:row r="94" ht="15.75" customHeight="1">
      <x:c r="A94" t="str">
        <x:v>RVX-00004</x:v>
      </x:c>
      <x:c r="B94" t="n">
        <x:v>4</x:v>
      </x:c>
      <x:c r="C94" s="15" t="n">
        <x:v>46230</x:v>
      </x:c>
      <x:c r="D94" t="str">
        <x:v>pro_agility</x:v>
      </x:c>
      <x:c r="E94" t="str">
        <x:v>5-10-5 Pro Agility</x:v>
      </x:c>
      <x:c r="F94" t="str">
        <x:v>Agility</x:v>
      </x:c>
      <x:c r="G94" t="n">
        <x:v>3.81</x:v>
      </x:c>
      <x:c r="H94" t="str">
        <x:v>sec</x:v>
      </x:c>
      <x:c r="I94" t="str">
        <x:v>lower</x:v>
      </x:c>
    </x:row>
    <x:row r="95" ht="15.75" customHeight="1">
      <x:c r="A95" t="str">
        <x:v>RVX-00004</x:v>
      </x:c>
      <x:c r="B95" t="n">
        <x:v>4</x:v>
      </x:c>
      <x:c r="C95" s="15" t="n">
        <x:v>46230</x:v>
      </x:c>
      <x:c r="D95" t="str">
        <x:v>cmj_depth</x:v>
      </x:c>
      <x:c r="E95" t="str">
        <x:v>Countermovement Depth</x:v>
      </x:c>
      <x:c r="F95" t="str">
        <x:v>Movement</x:v>
      </x:c>
      <x:c r="G95" t="n">
        <x:v>37.6</x:v>
      </x:c>
      <x:c r="H95" t="str">
        <x:v>cm</x:v>
      </x:c>
      <x:c r="I95" t="str">
        <x:v>higher</x:v>
      </x:c>
    </x:row>
    <x:row r="96" ht="15.75" customHeight="1">
      <x:c r="A96" t="str">
        <x:v>RVX-00004</x:v>
      </x:c>
      <x:c r="B96" t="n">
        <x:v>4</x:v>
      </x:c>
      <x:c r="C96" s="15" t="n">
        <x:v>46230</x:v>
      </x:c>
      <x:c r="D96" t="str">
        <x:v>peak_force</x:v>
      </x:c>
      <x:c r="E96" t="str">
        <x:v>Peak Force</x:v>
      </x:c>
      <x:c r="F96" t="str">
        <x:v>Strength &amp; Power</x:v>
      </x:c>
      <x:c r="G96" t="n">
        <x:v>2188</x:v>
      </x:c>
      <x:c r="H96" t="str">
        <x:v>N</x:v>
      </x:c>
      <x:c r="I96" t="str">
        <x:v>higher</x:v>
      </x:c>
    </x:row>
    <x:row r="97" ht="15.75" customHeight="1">
      <x:c r="A97" t="str">
        <x:v>RVX-00004</x:v>
      </x:c>
      <x:c r="B97" t="n">
        <x:v>4</x:v>
      </x:c>
      <x:c r="C97" s="15" t="n">
        <x:v>46230</x:v>
      </x:c>
      <x:c r="D97" t="str">
        <x:v>impulse</x:v>
      </x:c>
      <x:c r="E97" t="str">
        <x:v>Impulse-Momentum</x:v>
      </x:c>
      <x:c r="F97" t="str">
        <x:v>Strength &amp; Power</x:v>
      </x:c>
      <x:c r="G97" t="n">
        <x:v>272.7</x:v>
      </x:c>
      <x:c r="H97" t="str">
        <x:v>Ns</x:v>
      </x:c>
      <x:c r="I97" t="str">
        <x:v>higher</x:v>
      </x:c>
    </x:row>
    <x:row r="98" ht="15.75" customHeight="1">
      <x:c r="A98" t="str">
        <x:v>RVX-00005</x:v>
      </x:c>
      <x:c r="B98" t="n">
        <x:v>1</x:v>
      </x:c>
      <x:c r="C98" s="15" t="n">
        <x:v>46146</x:v>
      </x:c>
      <x:c r="D98" t="str">
        <x:v>sprint_5m</x:v>
      </x:c>
      <x:c r="E98" t="str">
        <x:v>5m Sprint</x:v>
      </x:c>
      <x:c r="F98" t="str">
        <x:v>Acceleration</x:v>
      </x:c>
      <x:c r="G98" t="n">
        <x:v>1.12</x:v>
      </x:c>
      <x:c r="H98" t="str">
        <x:v>sec</x:v>
      </x:c>
      <x:c r="I98" t="str">
        <x:v>lower</x:v>
      </x:c>
    </x:row>
    <x:row r="99" ht="15.75" customHeight="1">
      <x:c r="A99" t="str">
        <x:v>RVX-00005</x:v>
      </x:c>
      <x:c r="B99" t="n">
        <x:v>1</x:v>
      </x:c>
      <x:c r="C99" s="15" t="n">
        <x:v>46146</x:v>
      </x:c>
      <x:c r="D99" t="str">
        <x:v>sprint_10m</x:v>
      </x:c>
      <x:c r="E99" t="str">
        <x:v>10m Sprint</x:v>
      </x:c>
      <x:c r="F99" t="str">
        <x:v>Acceleration</x:v>
      </x:c>
      <x:c r="G99" t="n">
        <x:v>1.9</x:v>
      </x:c>
      <x:c r="H99" t="str">
        <x:v>sec</x:v>
      </x:c>
      <x:c r="I99" t="str">
        <x:v>lower</x:v>
      </x:c>
    </x:row>
    <x:row r="100" ht="15.75" customHeight="1">
      <x:c r="A100" t="str">
        <x:v>RVX-00005</x:v>
      </x:c>
      <x:c r="B100" t="n">
        <x:v>1</x:v>
      </x:c>
      <x:c r="C100" s="15" t="n">
        <x:v>46146</x:v>
      </x:c>
      <x:c r="D100" t="str">
        <x:v>pro_agility</x:v>
      </x:c>
      <x:c r="E100" t="str">
        <x:v>5-10-5 Pro Agility</x:v>
      </x:c>
      <x:c r="F100" t="str">
        <x:v>Agility</x:v>
      </x:c>
      <x:c r="G100" t="n">
        <x:v>4.92</x:v>
      </x:c>
      <x:c r="H100" t="str">
        <x:v>sec</x:v>
      </x:c>
      <x:c r="I100" t="str">
        <x:v>lower</x:v>
      </x:c>
    </x:row>
    <x:row r="101" ht="15.75" customHeight="1">
      <x:c r="A101" t="str">
        <x:v>RVX-00005</x:v>
      </x:c>
      <x:c r="B101" t="n">
        <x:v>1</x:v>
      </x:c>
      <x:c r="C101" s="15" t="n">
        <x:v>46146</x:v>
      </x:c>
      <x:c r="D101" t="str">
        <x:v>cmj_depth</x:v>
      </x:c>
      <x:c r="E101" t="str">
        <x:v>Countermovement Depth</x:v>
      </x:c>
      <x:c r="F101" t="str">
        <x:v>Movement</x:v>
      </x:c>
      <x:c r="G101" t="n">
        <x:v>30.1</x:v>
      </x:c>
      <x:c r="H101" t="str">
        <x:v>cm</x:v>
      </x:c>
      <x:c r="I101" t="str">
        <x:v>higher</x:v>
      </x:c>
    </x:row>
    <x:row r="102" ht="15.75" customHeight="1">
      <x:c r="A102" t="str">
        <x:v>RVX-00005</x:v>
      </x:c>
      <x:c r="B102" t="n">
        <x:v>1</x:v>
      </x:c>
      <x:c r="C102" s="15" t="n">
        <x:v>46146</x:v>
      </x:c>
      <x:c r="D102" t="str">
        <x:v>peak_force</x:v>
      </x:c>
      <x:c r="E102" t="str">
        <x:v>Peak Force</x:v>
      </x:c>
      <x:c r="F102" t="str">
        <x:v>Strength &amp; Power</x:v>
      </x:c>
      <x:c r="G102" t="n">
        <x:v>1778</x:v>
      </x:c>
      <x:c r="H102" t="str">
        <x:v>N</x:v>
      </x:c>
      <x:c r="I102" t="str">
        <x:v>higher</x:v>
      </x:c>
    </x:row>
    <x:row r="103" ht="15.75" customHeight="1">
      <x:c r="A103" t="str">
        <x:v>RVX-00005</x:v>
      </x:c>
      <x:c r="B103" t="n">
        <x:v>1</x:v>
      </x:c>
      <x:c r="C103" s="15" t="n">
        <x:v>46146</x:v>
      </x:c>
      <x:c r="D103" t="str">
        <x:v>impulse</x:v>
      </x:c>
      <x:c r="E103" t="str">
        <x:v>Impulse-Momentum</x:v>
      </x:c>
      <x:c r="F103" t="str">
        <x:v>Strength &amp; Power</x:v>
      </x:c>
      <x:c r="G103" t="n">
        <x:v>213.9</x:v>
      </x:c>
      <x:c r="H103" t="str">
        <x:v>Ns</x:v>
      </x:c>
      <x:c r="I103" t="str">
        <x:v>higher</x:v>
      </x:c>
    </x:row>
    <x:row r="104" ht="15.75" customHeight="1">
      <x:c r="A104" t="str">
        <x:v>RVX-00005</x:v>
      </x:c>
      <x:c r="B104" t="n">
        <x:v>2</x:v>
      </x:c>
      <x:c r="C104" s="15" t="n">
        <x:v>46174</x:v>
      </x:c>
      <x:c r="D104" t="str">
        <x:v>sprint_5m</x:v>
      </x:c>
      <x:c r="E104" t="str">
        <x:v>5m Sprint</x:v>
      </x:c>
      <x:c r="F104" t="str">
        <x:v>Acceleration</x:v>
      </x:c>
      <x:c r="G104" t="n">
        <x:v>1.09</x:v>
      </x:c>
      <x:c r="H104" t="str">
        <x:v>sec</x:v>
      </x:c>
      <x:c r="I104" t="str">
        <x:v>lower</x:v>
      </x:c>
    </x:row>
    <x:row r="105" ht="15.75" customHeight="1">
      <x:c r="A105" t="str">
        <x:v>RVX-00005</x:v>
      </x:c>
      <x:c r="B105" t="n">
        <x:v>2</x:v>
      </x:c>
      <x:c r="C105" s="15" t="n">
        <x:v>46174</x:v>
      </x:c>
      <x:c r="D105" t="str">
        <x:v>sprint_10m</x:v>
      </x:c>
      <x:c r="E105" t="str">
        <x:v>10m Sprint</x:v>
      </x:c>
      <x:c r="F105" t="str">
        <x:v>Acceleration</x:v>
      </x:c>
      <x:c r="G105" t="n">
        <x:v>1.8</x:v>
      </x:c>
      <x:c r="H105" t="str">
        <x:v>sec</x:v>
      </x:c>
      <x:c r="I105" t="str">
        <x:v>lower</x:v>
      </x:c>
    </x:row>
    <x:row r="106" ht="15.75" customHeight="1">
      <x:c r="A106" t="str">
        <x:v>RVX-00005</x:v>
      </x:c>
      <x:c r="B106" t="n">
        <x:v>2</x:v>
      </x:c>
      <x:c r="C106" s="15" t="n">
        <x:v>46174</x:v>
      </x:c>
      <x:c r="D106" t="str">
        <x:v>pro_agility</x:v>
      </x:c>
      <x:c r="E106" t="str">
        <x:v>5-10-5 Pro Agility</x:v>
      </x:c>
      <x:c r="F106" t="str">
        <x:v>Agility</x:v>
      </x:c>
      <x:c r="G106" t="n">
        <x:v>4.66</x:v>
      </x:c>
      <x:c r="H106" t="str">
        <x:v>sec</x:v>
      </x:c>
      <x:c r="I106" t="str">
        <x:v>lower</x:v>
      </x:c>
    </x:row>
    <x:row r="107" ht="15.75" customHeight="1">
      <x:c r="A107" t="str">
        <x:v>RVX-00005</x:v>
      </x:c>
      <x:c r="B107" t="n">
        <x:v>2</x:v>
      </x:c>
      <x:c r="C107" s="15" t="n">
        <x:v>46174</x:v>
      </x:c>
      <x:c r="D107" t="str">
        <x:v>cmj_depth</x:v>
      </x:c>
      <x:c r="E107" t="str">
        <x:v>Countermovement Depth</x:v>
      </x:c>
      <x:c r="F107" t="str">
        <x:v>Movement</x:v>
      </x:c>
      <x:c r="G107" t="n">
        <x:v>31.1</x:v>
      </x:c>
      <x:c r="H107" t="str">
        <x:v>cm</x:v>
      </x:c>
      <x:c r="I107" t="str">
        <x:v>higher</x:v>
      </x:c>
    </x:row>
    <x:row r="108" ht="15.75" customHeight="1">
      <x:c r="A108" t="str">
        <x:v>RVX-00005</x:v>
      </x:c>
      <x:c r="B108" t="n">
        <x:v>2</x:v>
      </x:c>
      <x:c r="C108" s="15" t="n">
        <x:v>46174</x:v>
      </x:c>
      <x:c r="D108" t="str">
        <x:v>peak_force</x:v>
      </x:c>
      <x:c r="E108" t="str">
        <x:v>Peak Force</x:v>
      </x:c>
      <x:c r="F108" t="str">
        <x:v>Strength &amp; Power</x:v>
      </x:c>
      <x:c r="G108" t="n">
        <x:v>1779</x:v>
      </x:c>
      <x:c r="H108" t="str">
        <x:v>N</x:v>
      </x:c>
      <x:c r="I108" t="str">
        <x:v>higher</x:v>
      </x:c>
    </x:row>
    <x:row r="109" ht="15.75" customHeight="1">
      <x:c r="A109" t="str">
        <x:v>RVX-00005</x:v>
      </x:c>
      <x:c r="B109" t="n">
        <x:v>2</x:v>
      </x:c>
      <x:c r="C109" s="15" t="n">
        <x:v>46174</x:v>
      </x:c>
      <x:c r="D109" t="str">
        <x:v>impulse</x:v>
      </x:c>
      <x:c r="E109" t="str">
        <x:v>Impulse-Momentum</x:v>
      </x:c>
      <x:c r="F109" t="str">
        <x:v>Strength &amp; Power</x:v>
      </x:c>
      <x:c r="G109" t="n">
        <x:v>221</x:v>
      </x:c>
      <x:c r="H109" t="str">
        <x:v>Ns</x:v>
      </x:c>
      <x:c r="I109" t="str">
        <x:v>higher</x:v>
      </x:c>
    </x:row>
    <x:row r="110" ht="15.75" customHeight="1">
      <x:c r="A110" t="str">
        <x:v>RVX-00005</x:v>
      </x:c>
      <x:c r="B110" t="n">
        <x:v>3</x:v>
      </x:c>
      <x:c r="C110" s="15" t="n">
        <x:v>46202</x:v>
      </x:c>
      <x:c r="D110" t="str">
        <x:v>sprint_5m</x:v>
      </x:c>
      <x:c r="E110" t="str">
        <x:v>5m Sprint</x:v>
      </x:c>
      <x:c r="F110" t="str">
        <x:v>Acceleration</x:v>
      </x:c>
      <x:c r="G110" t="n">
        <x:v>1.07</x:v>
      </x:c>
      <x:c r="H110" t="str">
        <x:v>sec</x:v>
      </x:c>
      <x:c r="I110" t="str">
        <x:v>lower</x:v>
      </x:c>
    </x:row>
    <x:row r="111" ht="15.75" customHeight="1">
      <x:c r="A111" t="str">
        <x:v>RVX-00005</x:v>
      </x:c>
      <x:c r="B111" t="n">
        <x:v>3</x:v>
      </x:c>
      <x:c r="C111" s="15" t="n">
        <x:v>46202</x:v>
      </x:c>
      <x:c r="D111" t="str">
        <x:v>sprint_10m</x:v>
      </x:c>
      <x:c r="E111" t="str">
        <x:v>10m Sprint</x:v>
      </x:c>
      <x:c r="F111" t="str">
        <x:v>Acceleration</x:v>
      </x:c>
      <x:c r="G111" t="n">
        <x:v>1.77</x:v>
      </x:c>
      <x:c r="H111" t="str">
        <x:v>sec</x:v>
      </x:c>
      <x:c r="I111" t="str">
        <x:v>lower</x:v>
      </x:c>
    </x:row>
    <x:row r="112" ht="15.75" customHeight="1">
      <x:c r="A112" t="str">
        <x:v>RVX-00005</x:v>
      </x:c>
      <x:c r="B112" t="n">
        <x:v>3</x:v>
      </x:c>
      <x:c r="C112" s="15" t="n">
        <x:v>46202</x:v>
      </x:c>
      <x:c r="D112" t="str">
        <x:v>pro_agility</x:v>
      </x:c>
      <x:c r="E112" t="str">
        <x:v>5-10-5 Pro Agility</x:v>
      </x:c>
      <x:c r="F112" t="str">
        <x:v>Agility</x:v>
      </x:c>
      <x:c r="G112" t="n">
        <x:v>4.77</x:v>
      </x:c>
      <x:c r="H112" t="str">
        <x:v>sec</x:v>
      </x:c>
      <x:c r="I112" t="str">
        <x:v>lower</x:v>
      </x:c>
    </x:row>
    <x:row r="113" ht="15.75" customHeight="1">
      <x:c r="A113" t="str">
        <x:v>RVX-00005</x:v>
      </x:c>
      <x:c r="B113" t="n">
        <x:v>3</x:v>
      </x:c>
      <x:c r="C113" s="15" t="n">
        <x:v>46202</x:v>
      </x:c>
      <x:c r="D113" t="str">
        <x:v>cmj_depth</x:v>
      </x:c>
      <x:c r="E113" t="str">
        <x:v>Countermovement Depth</x:v>
      </x:c>
      <x:c r="F113" t="str">
        <x:v>Movement</x:v>
      </x:c>
      <x:c r="G113" t="n">
        <x:v>30.9</x:v>
      </x:c>
      <x:c r="H113" t="str">
        <x:v>cm</x:v>
      </x:c>
      <x:c r="I113" t="str">
        <x:v>higher</x:v>
      </x:c>
    </x:row>
    <x:row r="114" ht="15.75" customHeight="1">
      <x:c r="A114" t="str">
        <x:v>RVX-00005</x:v>
      </x:c>
      <x:c r="B114" t="n">
        <x:v>3</x:v>
      </x:c>
      <x:c r="C114" s="15" t="n">
        <x:v>46202</x:v>
      </x:c>
      <x:c r="D114" t="str">
        <x:v>peak_force</x:v>
      </x:c>
      <x:c r="E114" t="str">
        <x:v>Peak Force</x:v>
      </x:c>
      <x:c r="F114" t="str">
        <x:v>Strength &amp; Power</x:v>
      </x:c>
      <x:c r="G114" t="n">
        <x:v>1846</x:v>
      </x:c>
      <x:c r="H114" t="str">
        <x:v>N</x:v>
      </x:c>
      <x:c r="I114" t="str">
        <x:v>higher</x:v>
      </x:c>
    </x:row>
    <x:row r="115" ht="15.75" customHeight="1">
      <x:c r="A115" t="str">
        <x:v>RVX-00005</x:v>
      </x:c>
      <x:c r="B115" t="n">
        <x:v>3</x:v>
      </x:c>
      <x:c r="C115" s="15" t="n">
        <x:v>46202</x:v>
      </x:c>
      <x:c r="D115" t="str">
        <x:v>impulse</x:v>
      </x:c>
      <x:c r="E115" t="str">
        <x:v>Impulse-Momentum</x:v>
      </x:c>
      <x:c r="F115" t="str">
        <x:v>Strength &amp; Power</x:v>
      </x:c>
      <x:c r="G115" t="n">
        <x:v>227.9</x:v>
      </x:c>
      <x:c r="H115" t="str">
        <x:v>Ns</x:v>
      </x:c>
      <x:c r="I115" t="str">
        <x:v>higher</x:v>
      </x:c>
    </x:row>
    <x:row r="116" ht="15.75" customHeight="1">
      <x:c r="A116" t="str">
        <x:v>RVX-00005</x:v>
      </x:c>
      <x:c r="B116" t="n">
        <x:v>4</x:v>
      </x:c>
      <x:c r="C116" s="15" t="n">
        <x:v>46230</x:v>
      </x:c>
      <x:c r="D116" t="str">
        <x:v>sprint_5m</x:v>
      </x:c>
      <x:c r="E116" t="str">
        <x:v>5m Sprint</x:v>
      </x:c>
      <x:c r="F116" t="str">
        <x:v>Acceleration</x:v>
      </x:c>
      <x:c r="G116" t="n">
        <x:v>1.06</x:v>
      </x:c>
      <x:c r="H116" t="str">
        <x:v>sec</x:v>
      </x:c>
      <x:c r="I116" t="str">
        <x:v>lower</x:v>
      </x:c>
    </x:row>
    <x:row r="117" ht="15.75" customHeight="1">
      <x:c r="A117" t="str">
        <x:v>RVX-00005</x:v>
      </x:c>
      <x:c r="B117" t="n">
        <x:v>4</x:v>
      </x:c>
      <x:c r="C117" s="15" t="n">
        <x:v>46230</x:v>
      </x:c>
      <x:c r="D117" t="str">
        <x:v>sprint_10m</x:v>
      </x:c>
      <x:c r="E117" t="str">
        <x:v>10m Sprint</x:v>
      </x:c>
      <x:c r="F117" t="str">
        <x:v>Acceleration</x:v>
      </x:c>
      <x:c r="G117" t="n">
        <x:v>1.77</x:v>
      </x:c>
      <x:c r="H117" t="str">
        <x:v>sec</x:v>
      </x:c>
      <x:c r="I117" t="str">
        <x:v>lower</x:v>
      </x:c>
    </x:row>
    <x:row r="118" ht="15.75" customHeight="1">
      <x:c r="A118" t="str">
        <x:v>RVX-00005</x:v>
      </x:c>
      <x:c r="B118" t="n">
        <x:v>4</x:v>
      </x:c>
      <x:c r="C118" s="15" t="n">
        <x:v>46230</x:v>
      </x:c>
      <x:c r="D118" t="str">
        <x:v>pro_agility</x:v>
      </x:c>
      <x:c r="E118" t="str">
        <x:v>5-10-5 Pro Agility</x:v>
      </x:c>
      <x:c r="F118" t="str">
        <x:v>Agility</x:v>
      </x:c>
      <x:c r="G118" t="n">
        <x:v>4.47</x:v>
      </x:c>
      <x:c r="H118" t="str">
        <x:v>sec</x:v>
      </x:c>
      <x:c r="I118" t="str">
        <x:v>lower</x:v>
      </x:c>
    </x:row>
    <x:row r="119" ht="15.75" customHeight="1">
      <x:c r="A119" t="str">
        <x:v>RVX-00005</x:v>
      </x:c>
      <x:c r="B119" t="n">
        <x:v>4</x:v>
      </x:c>
      <x:c r="C119" s="15" t="n">
        <x:v>46230</x:v>
      </x:c>
      <x:c r="D119" t="str">
        <x:v>cmj_depth</x:v>
      </x:c>
      <x:c r="E119" t="str">
        <x:v>Countermovement Depth</x:v>
      </x:c>
      <x:c r="F119" t="str">
        <x:v>Movement</x:v>
      </x:c>
      <x:c r="G119" t="n">
        <x:v>31.1</x:v>
      </x:c>
      <x:c r="H119" t="str">
        <x:v>cm</x:v>
      </x:c>
      <x:c r="I119" t="str">
        <x:v>higher</x:v>
      </x:c>
    </x:row>
    <x:row r="120" ht="15.75" customHeight="1">
      <x:c r="A120" t="str">
        <x:v>RVX-00005</x:v>
      </x:c>
      <x:c r="B120" t="n">
        <x:v>4</x:v>
      </x:c>
      <x:c r="C120" s="15" t="n">
        <x:v>46230</x:v>
      </x:c>
      <x:c r="D120" t="str">
        <x:v>peak_force</x:v>
      </x:c>
      <x:c r="E120" t="str">
        <x:v>Peak Force</x:v>
      </x:c>
      <x:c r="F120" t="str">
        <x:v>Strength &amp; Power</x:v>
      </x:c>
      <x:c r="G120" t="n">
        <x:v>1836</x:v>
      </x:c>
      <x:c r="H120" t="str">
        <x:v>N</x:v>
      </x:c>
      <x:c r="I120" t="str">
        <x:v>higher</x:v>
      </x:c>
    </x:row>
    <x:row r="121" ht="15.75" customHeight="1">
      <x:c r="A121" t="str">
        <x:v>RVX-00005</x:v>
      </x:c>
      <x:c r="B121" t="n">
        <x:v>4</x:v>
      </x:c>
      <x:c r="C121" s="15" t="n">
        <x:v>46230</x:v>
      </x:c>
      <x:c r="D121" t="str">
        <x:v>impulse</x:v>
      </x:c>
      <x:c r="E121" t="str">
        <x:v>Impulse-Momentum</x:v>
      </x:c>
      <x:c r="F121" t="str">
        <x:v>Strength &amp; Power</x:v>
      </x:c>
      <x:c r="G121" t="n">
        <x:v>228.7</x:v>
      </x:c>
      <x:c r="H121" t="str">
        <x:v>Ns</x:v>
      </x:c>
      <x:c r="I121" t="str">
        <x:v>higher</x:v>
      </x:c>
    </x:row>
    <x:row r="122" ht="15.75" customHeight="1">
      <x:c r="A122" t="str">
        <x:v>RVX-00006</x:v>
      </x:c>
      <x:c r="B122" t="n">
        <x:v>1</x:v>
      </x:c>
      <x:c r="C122" s="15" t="n">
        <x:v>46146</x:v>
      </x:c>
      <x:c r="D122" t="str">
        <x:v>sprint_5m</x:v>
      </x:c>
      <x:c r="E122" t="str">
        <x:v>5m Sprint</x:v>
      </x:c>
      <x:c r="F122" t="str">
        <x:v>Acceleration</x:v>
      </x:c>
      <x:c r="G122" t="n">
        <x:v>1.19</x:v>
      </x:c>
      <x:c r="H122" t="str">
        <x:v>sec</x:v>
      </x:c>
      <x:c r="I122" t="str">
        <x:v>lower</x:v>
      </x:c>
    </x:row>
    <x:row r="123" ht="15.75" customHeight="1">
      <x:c r="A123" t="str">
        <x:v>RVX-00006</x:v>
      </x:c>
      <x:c r="B123" t="n">
        <x:v>1</x:v>
      </x:c>
      <x:c r="C123" s="15" t="n">
        <x:v>46146</x:v>
      </x:c>
      <x:c r="D123" t="str">
        <x:v>sprint_10m</x:v>
      </x:c>
      <x:c r="E123" t="str">
        <x:v>10m Sprint</x:v>
      </x:c>
      <x:c r="F123" t="str">
        <x:v>Acceleration</x:v>
      </x:c>
      <x:c r="G123" t="n">
        <x:v>2.02</x:v>
      </x:c>
      <x:c r="H123" t="str">
        <x:v>sec</x:v>
      </x:c>
      <x:c r="I123" t="str">
        <x:v>lower</x:v>
      </x:c>
    </x:row>
    <x:row r="124" ht="15.75" customHeight="1">
      <x:c r="A124" t="str">
        <x:v>RVX-00006</x:v>
      </x:c>
      <x:c r="B124" t="n">
        <x:v>1</x:v>
      </x:c>
      <x:c r="C124" s="15" t="n">
        <x:v>46146</x:v>
      </x:c>
      <x:c r="D124" t="str">
        <x:v>pro_agility</x:v>
      </x:c>
      <x:c r="E124" t="str">
        <x:v>5-10-5 Pro Agility</x:v>
      </x:c>
      <x:c r="F124" t="str">
        <x:v>Agility</x:v>
      </x:c>
      <x:c r="G124" t="n">
        <x:v>5.17</x:v>
      </x:c>
      <x:c r="H124" t="str">
        <x:v>sec</x:v>
      </x:c>
      <x:c r="I124" t="str">
        <x:v>lower</x:v>
      </x:c>
    </x:row>
    <x:row r="125" ht="15.75" customHeight="1">
      <x:c r="A125" t="str">
        <x:v>RVX-00006</x:v>
      </x:c>
      <x:c r="B125" t="n">
        <x:v>1</x:v>
      </x:c>
      <x:c r="C125" s="15" t="n">
        <x:v>46146</x:v>
      </x:c>
      <x:c r="D125" t="str">
        <x:v>cmj_depth</x:v>
      </x:c>
      <x:c r="E125" t="str">
        <x:v>Countermovement Depth</x:v>
      </x:c>
      <x:c r="F125" t="str">
        <x:v>Movement</x:v>
      </x:c>
      <x:c r="G125" t="n">
        <x:v>29.3</x:v>
      </x:c>
      <x:c r="H125" t="str">
        <x:v>cm</x:v>
      </x:c>
      <x:c r="I125" t="str">
        <x:v>higher</x:v>
      </x:c>
    </x:row>
    <x:row r="126" ht="15.75" customHeight="1">
      <x:c r="A126" t="str">
        <x:v>RVX-00006</x:v>
      </x:c>
      <x:c r="B126" t="n">
        <x:v>1</x:v>
      </x:c>
      <x:c r="C126" s="15" t="n">
        <x:v>46146</x:v>
      </x:c>
      <x:c r="D126" t="str">
        <x:v>peak_force</x:v>
      </x:c>
      <x:c r="E126" t="str">
        <x:v>Peak Force</x:v>
      </x:c>
      <x:c r="F126" t="str">
        <x:v>Strength &amp; Power</x:v>
      </x:c>
      <x:c r="G126" t="n">
        <x:v>1712</x:v>
      </x:c>
      <x:c r="H126" t="str">
        <x:v>N</x:v>
      </x:c>
      <x:c r="I126" t="str">
        <x:v>higher</x:v>
      </x:c>
    </x:row>
    <x:row r="127" ht="15.75" customHeight="1">
      <x:c r="A127" t="str">
        <x:v>RVX-00006</x:v>
      </x:c>
      <x:c r="B127" t="n">
        <x:v>1</x:v>
      </x:c>
      <x:c r="C127" s="15" t="n">
        <x:v>46146</x:v>
      </x:c>
      <x:c r="D127" t="str">
        <x:v>impulse</x:v>
      </x:c>
      <x:c r="E127" t="str">
        <x:v>Impulse-Momentum</x:v>
      </x:c>
      <x:c r="F127" t="str">
        <x:v>Strength &amp; Power</x:v>
      </x:c>
      <x:c r="G127" t="n">
        <x:v>212.8</x:v>
      </x:c>
      <x:c r="H127" t="str">
        <x:v>Ns</x:v>
      </x:c>
      <x:c r="I127" t="str">
        <x:v>higher</x:v>
      </x:c>
    </x:row>
    <x:row r="128" ht="15.75" customHeight="1">
      <x:c r="A128" t="str">
        <x:v>RVX-00006</x:v>
      </x:c>
      <x:c r="B128" t="n">
        <x:v>2</x:v>
      </x:c>
      <x:c r="C128" s="15" t="n">
        <x:v>46174</x:v>
      </x:c>
      <x:c r="D128" t="str">
        <x:v>sprint_5m</x:v>
      </x:c>
      <x:c r="E128" t="str">
        <x:v>5m Sprint</x:v>
      </x:c>
      <x:c r="F128" t="str">
        <x:v>Acceleration</x:v>
      </x:c>
      <x:c r="G128" t="n">
        <x:v>1.16</x:v>
      </x:c>
      <x:c r="H128" t="str">
        <x:v>sec</x:v>
      </x:c>
      <x:c r="I128" t="str">
        <x:v>lower</x:v>
      </x:c>
    </x:row>
    <x:row r="129" ht="15.75" customHeight="1">
      <x:c r="A129" t="str">
        <x:v>RVX-00006</x:v>
      </x:c>
      <x:c r="B129" t="n">
        <x:v>2</x:v>
      </x:c>
      <x:c r="C129" s="15" t="n">
        <x:v>46174</x:v>
      </x:c>
      <x:c r="D129" t="str">
        <x:v>sprint_10m</x:v>
      </x:c>
      <x:c r="E129" t="str">
        <x:v>10m Sprint</x:v>
      </x:c>
      <x:c r="F129" t="str">
        <x:v>Acceleration</x:v>
      </x:c>
      <x:c r="G129" t="n">
        <x:v>2</x:v>
      </x:c>
      <x:c r="H129" t="str">
        <x:v>sec</x:v>
      </x:c>
      <x:c r="I129" t="str">
        <x:v>lower</x:v>
      </x:c>
    </x:row>
    <x:row r="130" ht="15.75" customHeight="1">
      <x:c r="A130" t="str">
        <x:v>RVX-00006</x:v>
      </x:c>
      <x:c r="B130" t="n">
        <x:v>2</x:v>
      </x:c>
      <x:c r="C130" s="15" t="n">
        <x:v>46174</x:v>
      </x:c>
      <x:c r="D130" t="str">
        <x:v>pro_agility</x:v>
      </x:c>
      <x:c r="E130" t="str">
        <x:v>5-10-5 Pro Agility</x:v>
      </x:c>
      <x:c r="F130" t="str">
        <x:v>Agility</x:v>
      </x:c>
      <x:c r="G130" t="n">
        <x:v>4.96</x:v>
      </x:c>
      <x:c r="H130" t="str">
        <x:v>sec</x:v>
      </x:c>
      <x:c r="I130" t="str">
        <x:v>lower</x:v>
      </x:c>
    </x:row>
    <x:row r="131" ht="15.75" customHeight="1">
      <x:c r="A131" t="str">
        <x:v>RVX-00006</x:v>
      </x:c>
      <x:c r="B131" t="n">
        <x:v>2</x:v>
      </x:c>
      <x:c r="C131" s="15" t="n">
        <x:v>46174</x:v>
      </x:c>
      <x:c r="D131" t="str">
        <x:v>cmj_depth</x:v>
      </x:c>
      <x:c r="E131" t="str">
        <x:v>Countermovement Depth</x:v>
      </x:c>
      <x:c r="F131" t="str">
        <x:v>Movement</x:v>
      </x:c>
      <x:c r="G131" t="n">
        <x:v>30</x:v>
      </x:c>
      <x:c r="H131" t="str">
        <x:v>cm</x:v>
      </x:c>
      <x:c r="I131" t="str">
        <x:v>higher</x:v>
      </x:c>
    </x:row>
    <x:row r="132" ht="15.75" customHeight="1">
      <x:c r="A132" t="str">
        <x:v>RVX-00006</x:v>
      </x:c>
      <x:c r="B132" t="n">
        <x:v>2</x:v>
      </x:c>
      <x:c r="C132" s="15" t="n">
        <x:v>46174</x:v>
      </x:c>
      <x:c r="D132" t="str">
        <x:v>peak_force</x:v>
      </x:c>
      <x:c r="E132" t="str">
        <x:v>Peak Force</x:v>
      </x:c>
      <x:c r="F132" t="str">
        <x:v>Strength &amp; Power</x:v>
      </x:c>
      <x:c r="G132" t="n">
        <x:v>1796</x:v>
      </x:c>
      <x:c r="H132" t="str">
        <x:v>N</x:v>
      </x:c>
      <x:c r="I132" t="str">
        <x:v>higher</x:v>
      </x:c>
    </x:row>
    <x:row r="133" ht="15.75" customHeight="1">
      <x:c r="A133" t="str">
        <x:v>RVX-00006</x:v>
      </x:c>
      <x:c r="B133" t="n">
        <x:v>2</x:v>
      </x:c>
      <x:c r="C133" s="15" t="n">
        <x:v>46174</x:v>
      </x:c>
      <x:c r="D133" t="str">
        <x:v>impulse</x:v>
      </x:c>
      <x:c r="E133" t="str">
        <x:v>Impulse-Momentum</x:v>
      </x:c>
      <x:c r="F133" t="str">
        <x:v>Strength &amp; Power</x:v>
      </x:c>
      <x:c r="G133" t="n">
        <x:v>216.9</x:v>
      </x:c>
      <x:c r="H133" t="str">
        <x:v>Ns</x:v>
      </x:c>
      <x:c r="I133" t="str">
        <x:v>higher</x:v>
      </x:c>
    </x:row>
    <x:row r="134" ht="15.75" customHeight="1">
      <x:c r="A134" t="str">
        <x:v>RVX-00006</x:v>
      </x:c>
      <x:c r="B134" t="n">
        <x:v>3</x:v>
      </x:c>
      <x:c r="C134" s="15" t="n">
        <x:v>46202</x:v>
      </x:c>
      <x:c r="D134" t="str">
        <x:v>sprint_5m</x:v>
      </x:c>
      <x:c r="E134" t="str">
        <x:v>5m Sprint</x:v>
      </x:c>
      <x:c r="F134" t="str">
        <x:v>Acceleration</x:v>
      </x:c>
      <x:c r="G134" t="n">
        <x:v>1.15</x:v>
      </x:c>
      <x:c r="H134" t="str">
        <x:v>sec</x:v>
      </x:c>
      <x:c r="I134" t="str">
        <x:v>lower</x:v>
      </x:c>
    </x:row>
    <x:row r="135" ht="15.75" customHeight="1">
      <x:c r="A135" t="str">
        <x:v>RVX-00006</x:v>
      </x:c>
      <x:c r="B135" t="n">
        <x:v>3</x:v>
      </x:c>
      <x:c r="C135" s="15" t="n">
        <x:v>46202</x:v>
      </x:c>
      <x:c r="D135" t="str">
        <x:v>sprint_10m</x:v>
      </x:c>
      <x:c r="E135" t="str">
        <x:v>10m Sprint</x:v>
      </x:c>
      <x:c r="F135" t="str">
        <x:v>Acceleration</x:v>
      </x:c>
      <x:c r="G135" t="n">
        <x:v>1.92</x:v>
      </x:c>
      <x:c r="H135" t="str">
        <x:v>sec</x:v>
      </x:c>
      <x:c r="I135" t="str">
        <x:v>lower</x:v>
      </x:c>
    </x:row>
    <x:row r="136" ht="15.75" customHeight="1">
      <x:c r="A136" t="str">
        <x:v>RVX-00006</x:v>
      </x:c>
      <x:c r="B136" t="n">
        <x:v>3</x:v>
      </x:c>
      <x:c r="C136" s="15" t="n">
        <x:v>46202</x:v>
      </x:c>
      <x:c r="D136" t="str">
        <x:v>pro_agility</x:v>
      </x:c>
      <x:c r="E136" t="str">
        <x:v>5-10-5 Pro Agility</x:v>
      </x:c>
      <x:c r="F136" t="str">
        <x:v>Agility</x:v>
      </x:c>
      <x:c r="G136" t="n">
        <x:v>4.85</x:v>
      </x:c>
      <x:c r="H136" t="str">
        <x:v>sec</x:v>
      </x:c>
      <x:c r="I136" t="str">
        <x:v>lower</x:v>
      </x:c>
    </x:row>
    <x:row r="137" ht="15.75" customHeight="1">
      <x:c r="A137" t="str">
        <x:v>RVX-00006</x:v>
      </x:c>
      <x:c r="B137" t="n">
        <x:v>3</x:v>
      </x:c>
      <x:c r="C137" s="15" t="n">
        <x:v>46202</x:v>
      </x:c>
      <x:c r="D137" t="str">
        <x:v>cmj_depth</x:v>
      </x:c>
      <x:c r="E137" t="str">
        <x:v>Countermovement Depth</x:v>
      </x:c>
      <x:c r="F137" t="str">
        <x:v>Movement</x:v>
      </x:c>
      <x:c r="G137" t="n">
        <x:v>31.4</x:v>
      </x:c>
      <x:c r="H137" t="str">
        <x:v>cm</x:v>
      </x:c>
      <x:c r="I137" t="str">
        <x:v>higher</x:v>
      </x:c>
    </x:row>
    <x:row r="138" ht="15.75" customHeight="1">
      <x:c r="A138" t="str">
        <x:v>RVX-00006</x:v>
      </x:c>
      <x:c r="B138" t="n">
        <x:v>3</x:v>
      </x:c>
      <x:c r="C138" s="15" t="n">
        <x:v>46202</x:v>
      </x:c>
      <x:c r="D138" t="str">
        <x:v>peak_force</x:v>
      </x:c>
      <x:c r="E138" t="str">
        <x:v>Peak Force</x:v>
      </x:c>
      <x:c r="F138" t="str">
        <x:v>Strength &amp; Power</x:v>
      </x:c>
      <x:c r="G138" t="n">
        <x:v>1779</x:v>
      </x:c>
      <x:c r="H138" t="str">
        <x:v>N</x:v>
      </x:c>
      <x:c r="I138" t="str">
        <x:v>higher</x:v>
      </x:c>
    </x:row>
    <x:row r="139" ht="15.75" customHeight="1">
      <x:c r="A139" t="str">
        <x:v>RVX-00006</x:v>
      </x:c>
      <x:c r="B139" t="n">
        <x:v>3</x:v>
      </x:c>
      <x:c r="C139" s="15" t="n">
        <x:v>46202</x:v>
      </x:c>
      <x:c r="D139" t="str">
        <x:v>impulse</x:v>
      </x:c>
      <x:c r="E139" t="str">
        <x:v>Impulse-Momentum</x:v>
      </x:c>
      <x:c r="F139" t="str">
        <x:v>Strength &amp; Power</x:v>
      </x:c>
      <x:c r="G139" t="n">
        <x:v>218.2</x:v>
      </x:c>
      <x:c r="H139" t="str">
        <x:v>Ns</x:v>
      </x:c>
      <x:c r="I139" t="str">
        <x:v>higher</x:v>
      </x:c>
    </x:row>
    <x:row r="140" ht="15.75" customHeight="1">
      <x:c r="A140" t="str">
        <x:v>RVX-00006</x:v>
      </x:c>
      <x:c r="B140" t="n">
        <x:v>4</x:v>
      </x:c>
      <x:c r="C140" s="15" t="n">
        <x:v>46230</x:v>
      </x:c>
      <x:c r="D140" t="str">
        <x:v>sprint_5m</x:v>
      </x:c>
      <x:c r="E140" t="str">
        <x:v>5m Sprint</x:v>
      </x:c>
      <x:c r="F140" t="str">
        <x:v>Acceleration</x:v>
      </x:c>
      <x:c r="G140" t="n">
        <x:v>1.12</x:v>
      </x:c>
      <x:c r="H140" t="str">
        <x:v>sec</x:v>
      </x:c>
      <x:c r="I140" t="str">
        <x:v>lower</x:v>
      </x:c>
    </x:row>
    <x:row r="141" ht="15.75" customHeight="1">
      <x:c r="A141" t="str">
        <x:v>RVX-00006</x:v>
      </x:c>
      <x:c r="B141" t="n">
        <x:v>4</x:v>
      </x:c>
      <x:c r="C141" s="15" t="n">
        <x:v>46230</x:v>
      </x:c>
      <x:c r="D141" t="str">
        <x:v>sprint_10m</x:v>
      </x:c>
      <x:c r="E141" t="str">
        <x:v>10m Sprint</x:v>
      </x:c>
      <x:c r="F141" t="str">
        <x:v>Acceleration</x:v>
      </x:c>
      <x:c r="G141" t="n">
        <x:v>1.89</x:v>
      </x:c>
      <x:c r="H141" t="str">
        <x:v>sec</x:v>
      </x:c>
      <x:c r="I141" t="str">
        <x:v>lower</x:v>
      </x:c>
    </x:row>
    <x:row r="142" ht="15.75" customHeight="1">
      <x:c r="A142" t="str">
        <x:v>RVX-00006</x:v>
      </x:c>
      <x:c r="B142" t="n">
        <x:v>4</x:v>
      </x:c>
      <x:c r="C142" s="15" t="n">
        <x:v>46230</x:v>
      </x:c>
      <x:c r="D142" t="str">
        <x:v>pro_agility</x:v>
      </x:c>
      <x:c r="E142" t="str">
        <x:v>5-10-5 Pro Agility</x:v>
      </x:c>
      <x:c r="F142" t="str">
        <x:v>Agility</x:v>
      </x:c>
      <x:c r="G142" t="n">
        <x:v>4.75</x:v>
      </x:c>
      <x:c r="H142" t="str">
        <x:v>sec</x:v>
      </x:c>
      <x:c r="I142" t="str">
        <x:v>lower</x:v>
      </x:c>
    </x:row>
    <x:row r="143" ht="15.75" customHeight="1">
      <x:c r="A143" t="str">
        <x:v>RVX-00006</x:v>
      </x:c>
      <x:c r="B143" t="n">
        <x:v>4</x:v>
      </x:c>
      <x:c r="C143" s="15" t="n">
        <x:v>46230</x:v>
      </x:c>
      <x:c r="D143" t="str">
        <x:v>cmj_depth</x:v>
      </x:c>
      <x:c r="E143" t="str">
        <x:v>Countermovement Depth</x:v>
      </x:c>
      <x:c r="F143" t="str">
        <x:v>Movement</x:v>
      </x:c>
      <x:c r="G143" t="n">
        <x:v>31.8</x:v>
      </x:c>
      <x:c r="H143" t="str">
        <x:v>cm</x:v>
      </x:c>
      <x:c r="I143" t="str">
        <x:v>higher</x:v>
      </x:c>
    </x:row>
    <x:row r="144" ht="15.75" customHeight="1">
      <x:c r="A144" t="str">
        <x:v>RVX-00006</x:v>
      </x:c>
      <x:c r="B144" t="n">
        <x:v>4</x:v>
      </x:c>
      <x:c r="C144" s="15" t="n">
        <x:v>46230</x:v>
      </x:c>
      <x:c r="D144" t="str">
        <x:v>peak_force</x:v>
      </x:c>
      <x:c r="E144" t="str">
        <x:v>Peak Force</x:v>
      </x:c>
      <x:c r="F144" t="str">
        <x:v>Strength &amp; Power</x:v>
      </x:c>
      <x:c r="G144" t="n">
        <x:v>1812</x:v>
      </x:c>
      <x:c r="H144" t="str">
        <x:v>N</x:v>
      </x:c>
      <x:c r="I144" t="str">
        <x:v>higher</x:v>
      </x:c>
    </x:row>
    <x:row r="145" ht="15.75" customHeight="1">
      <x:c r="A145" t="str">
        <x:v>RVX-00006</x:v>
      </x:c>
      <x:c r="B145" t="n">
        <x:v>4</x:v>
      </x:c>
      <x:c r="C145" s="15" t="n">
        <x:v>46230</x:v>
      </x:c>
      <x:c r="D145" t="str">
        <x:v>impulse</x:v>
      </x:c>
      <x:c r="E145" t="str">
        <x:v>Impulse-Momentum</x:v>
      </x:c>
      <x:c r="F145" t="str">
        <x:v>Strength &amp; Power</x:v>
      </x:c>
      <x:c r="G145" t="n">
        <x:v>228.5</x:v>
      </x:c>
      <x:c r="H145" t="str">
        <x:v>Ns</x:v>
      </x:c>
      <x:c r="I145" t="str">
        <x:v>higher</x:v>
      </x:c>
    </x:row>
    <x:row r="146" ht="15.75" customHeight="1">
      <x:c r="A146" t="str">
        <x:v>RVX-00007</x:v>
      </x:c>
      <x:c r="B146" t="n">
        <x:v>1</x:v>
      </x:c>
      <x:c r="C146" s="15" t="n">
        <x:v>46146</x:v>
      </x:c>
      <x:c r="D146" t="str">
        <x:v>sprint_5m</x:v>
      </x:c>
      <x:c r="E146" t="str">
        <x:v>5m Sprint</x:v>
      </x:c>
      <x:c r="F146" t="str">
        <x:v>Acceleration</x:v>
      </x:c>
      <x:c r="G146" t="n">
        <x:v>1.01</x:v>
      </x:c>
      <x:c r="H146" t="str">
        <x:v>sec</x:v>
      </x:c>
      <x:c r="I146" t="str">
        <x:v>lower</x:v>
      </x:c>
    </x:row>
    <x:row r="147" ht="15.75" customHeight="1">
      <x:c r="A147" t="str">
        <x:v>RVX-00007</x:v>
      </x:c>
      <x:c r="B147" t="n">
        <x:v>1</x:v>
      </x:c>
      <x:c r="C147" s="15" t="n">
        <x:v>46146</x:v>
      </x:c>
      <x:c r="D147" t="str">
        <x:v>sprint_10m</x:v>
      </x:c>
      <x:c r="E147" t="str">
        <x:v>10m Sprint</x:v>
      </x:c>
      <x:c r="F147" t="str">
        <x:v>Acceleration</x:v>
      </x:c>
      <x:c r="G147" t="n">
        <x:v>1.73</x:v>
      </x:c>
      <x:c r="H147" t="str">
        <x:v>sec</x:v>
      </x:c>
      <x:c r="I147" t="str">
        <x:v>lower</x:v>
      </x:c>
    </x:row>
    <x:row r="148" ht="15.75" customHeight="1">
      <x:c r="A148" t="str">
        <x:v>RVX-00007</x:v>
      </x:c>
      <x:c r="B148" t="n">
        <x:v>1</x:v>
      </x:c>
      <x:c r="C148" s="15" t="n">
        <x:v>46146</x:v>
      </x:c>
      <x:c r="D148" t="str">
        <x:v>pro_agility</x:v>
      </x:c>
      <x:c r="E148" t="str">
        <x:v>5-10-5 Pro Agility</x:v>
      </x:c>
      <x:c r="F148" t="str">
        <x:v>Agility</x:v>
      </x:c>
      <x:c r="G148" t="n">
        <x:v>4.36</x:v>
      </x:c>
      <x:c r="H148" t="str">
        <x:v>sec</x:v>
      </x:c>
      <x:c r="I148" t="str">
        <x:v>lower</x:v>
      </x:c>
    </x:row>
    <x:row r="149" ht="15.75" customHeight="1">
      <x:c r="A149" t="str">
        <x:v>RVX-00007</x:v>
      </x:c>
      <x:c r="B149" t="n">
        <x:v>1</x:v>
      </x:c>
      <x:c r="C149" s="15" t="n">
        <x:v>46146</x:v>
      </x:c>
      <x:c r="D149" t="str">
        <x:v>cmj_depth</x:v>
      </x:c>
      <x:c r="E149" t="str">
        <x:v>Countermovement Depth</x:v>
      </x:c>
      <x:c r="F149" t="str">
        <x:v>Movement</x:v>
      </x:c>
      <x:c r="G149" t="n">
        <x:v>33.2</x:v>
      </x:c>
      <x:c r="H149" t="str">
        <x:v>cm</x:v>
      </x:c>
      <x:c r="I149" t="str">
        <x:v>higher</x:v>
      </x:c>
    </x:row>
    <x:row r="150" ht="15.75" customHeight="1">
      <x:c r="A150" t="str">
        <x:v>RVX-00007</x:v>
      </x:c>
      <x:c r="B150" t="n">
        <x:v>1</x:v>
      </x:c>
      <x:c r="C150" s="15" t="n">
        <x:v>46146</x:v>
      </x:c>
      <x:c r="D150" t="str">
        <x:v>peak_force</x:v>
      </x:c>
      <x:c r="E150" t="str">
        <x:v>Peak Force</x:v>
      </x:c>
      <x:c r="F150" t="str">
        <x:v>Strength &amp; Power</x:v>
      </x:c>
      <x:c r="G150" t="n">
        <x:v>1945</x:v>
      </x:c>
      <x:c r="H150" t="str">
        <x:v>N</x:v>
      </x:c>
      <x:c r="I150" t="str">
        <x:v>higher</x:v>
      </x:c>
    </x:row>
    <x:row r="151" ht="15.75" customHeight="1">
      <x:c r="A151" t="str">
        <x:v>RVX-00007</x:v>
      </x:c>
      <x:c r="B151" t="n">
        <x:v>1</x:v>
      </x:c>
      <x:c r="C151" s="15" t="n">
        <x:v>46146</x:v>
      </x:c>
      <x:c r="D151" t="str">
        <x:v>impulse</x:v>
      </x:c>
      <x:c r="E151" t="str">
        <x:v>Impulse-Momentum</x:v>
      </x:c>
      <x:c r="F151" t="str">
        <x:v>Strength &amp; Power</x:v>
      </x:c>
      <x:c r="G151" t="n">
        <x:v>236.5</x:v>
      </x:c>
      <x:c r="H151" t="str">
        <x:v>Ns</x:v>
      </x:c>
      <x:c r="I151" t="str">
        <x:v>higher</x:v>
      </x:c>
    </x:row>
    <x:row r="152" ht="15.75" customHeight="1">
      <x:c r="A152" t="str">
        <x:v>RVX-00007</x:v>
      </x:c>
      <x:c r="B152" t="n">
        <x:v>2</x:v>
      </x:c>
      <x:c r="C152" s="15" t="n">
        <x:v>46174</x:v>
      </x:c>
      <x:c r="D152" t="str">
        <x:v>sprint_5m</x:v>
      </x:c>
      <x:c r="E152" t="str">
        <x:v>5m Sprint</x:v>
      </x:c>
      <x:c r="F152" t="str">
        <x:v>Acceleration</x:v>
      </x:c>
      <x:c r="G152" t="n">
        <x:v>1</x:v>
      </x:c>
      <x:c r="H152" t="str">
        <x:v>sec</x:v>
      </x:c>
      <x:c r="I152" t="str">
        <x:v>lower</x:v>
      </x:c>
    </x:row>
    <x:row r="153" ht="15.75" customHeight="1">
      <x:c r="A153" t="str">
        <x:v>RVX-00007</x:v>
      </x:c>
      <x:c r="B153" t="n">
        <x:v>2</x:v>
      </x:c>
      <x:c r="C153" s="15" t="n">
        <x:v>46174</x:v>
      </x:c>
      <x:c r="D153" t="str">
        <x:v>sprint_10m</x:v>
      </x:c>
      <x:c r="E153" t="str">
        <x:v>10m Sprint</x:v>
      </x:c>
      <x:c r="F153" t="str">
        <x:v>Acceleration</x:v>
      </x:c>
      <x:c r="G153" t="n">
        <x:v>1.7</x:v>
      </x:c>
      <x:c r="H153" t="str">
        <x:v>sec</x:v>
      </x:c>
      <x:c r="I153" t="str">
        <x:v>lower</x:v>
      </x:c>
    </x:row>
    <x:row r="154" ht="15.75" customHeight="1">
      <x:c r="A154" t="str">
        <x:v>RVX-00007</x:v>
      </x:c>
      <x:c r="B154" t="n">
        <x:v>2</x:v>
      </x:c>
      <x:c r="C154" s="15" t="n">
        <x:v>46174</x:v>
      </x:c>
      <x:c r="D154" t="str">
        <x:v>pro_agility</x:v>
      </x:c>
      <x:c r="E154" t="str">
        <x:v>5-10-5 Pro Agility</x:v>
      </x:c>
      <x:c r="F154" t="str">
        <x:v>Agility</x:v>
      </x:c>
      <x:c r="G154" t="n">
        <x:v>4.3</x:v>
      </x:c>
      <x:c r="H154" t="str">
        <x:v>sec</x:v>
      </x:c>
      <x:c r="I154" t="str">
        <x:v>lower</x:v>
      </x:c>
    </x:row>
    <x:row r="155" ht="15.75" customHeight="1">
      <x:c r="A155" t="str">
        <x:v>RVX-00007</x:v>
      </x:c>
      <x:c r="B155" t="n">
        <x:v>2</x:v>
      </x:c>
      <x:c r="C155" s="15" t="n">
        <x:v>46174</x:v>
      </x:c>
      <x:c r="D155" t="str">
        <x:v>cmj_depth</x:v>
      </x:c>
      <x:c r="E155" t="str">
        <x:v>Countermovement Depth</x:v>
      </x:c>
      <x:c r="F155" t="str">
        <x:v>Movement</x:v>
      </x:c>
      <x:c r="G155" t="n">
        <x:v>33.8</x:v>
      </x:c>
      <x:c r="H155" t="str">
        <x:v>cm</x:v>
      </x:c>
      <x:c r="I155" t="str">
        <x:v>higher</x:v>
      </x:c>
    </x:row>
    <x:row r="156" ht="15.75" customHeight="1">
      <x:c r="A156" t="str">
        <x:v>RVX-00007</x:v>
      </x:c>
      <x:c r="B156" t="n">
        <x:v>2</x:v>
      </x:c>
      <x:c r="C156" s="15" t="n">
        <x:v>46174</x:v>
      </x:c>
      <x:c r="D156" t="str">
        <x:v>peak_force</x:v>
      </x:c>
      <x:c r="E156" t="str">
        <x:v>Peak Force</x:v>
      </x:c>
      <x:c r="F156" t="str">
        <x:v>Strength &amp; Power</x:v>
      </x:c>
      <x:c r="G156" t="n">
        <x:v>1953</x:v>
      </x:c>
      <x:c r="H156" t="str">
        <x:v>N</x:v>
      </x:c>
      <x:c r="I156" t="str">
        <x:v>higher</x:v>
      </x:c>
    </x:row>
    <x:row r="157" ht="15.75" customHeight="1">
      <x:c r="A157" t="str">
        <x:v>RVX-00007</x:v>
      </x:c>
      <x:c r="B157" t="n">
        <x:v>2</x:v>
      </x:c>
      <x:c r="C157" s="15" t="n">
        <x:v>46174</x:v>
      </x:c>
      <x:c r="D157" t="str">
        <x:v>impulse</x:v>
      </x:c>
      <x:c r="E157" t="str">
        <x:v>Impulse-Momentum</x:v>
      </x:c>
      <x:c r="F157" t="str">
        <x:v>Strength &amp; Power</x:v>
      </x:c>
      <x:c r="G157" t="n">
        <x:v>236.2</x:v>
      </x:c>
      <x:c r="H157" t="str">
        <x:v>Ns</x:v>
      </x:c>
      <x:c r="I157" t="str">
        <x:v>higher</x:v>
      </x:c>
    </x:row>
    <x:row r="158" ht="15.75" customHeight="1">
      <x:c r="A158" t="str">
        <x:v>RVX-00007</x:v>
      </x:c>
      <x:c r="B158" t="n">
        <x:v>3</x:v>
      </x:c>
      <x:c r="C158" s="15" t="n">
        <x:v>46202</x:v>
      </x:c>
      <x:c r="D158" t="str">
        <x:v>sprint_5m</x:v>
      </x:c>
      <x:c r="E158" t="str">
        <x:v>5m Sprint</x:v>
      </x:c>
      <x:c r="F158" t="str">
        <x:v>Acceleration</x:v>
      </x:c>
      <x:c r="G158" t="n">
        <x:v>0.95</x:v>
      </x:c>
      <x:c r="H158" t="str">
        <x:v>sec</x:v>
      </x:c>
      <x:c r="I158" t="str">
        <x:v>lower</x:v>
      </x:c>
    </x:row>
    <x:row r="159" ht="15.75" customHeight="1">
      <x:c r="A159" t="str">
        <x:v>RVX-00007</x:v>
      </x:c>
      <x:c r="B159" t="n">
        <x:v>3</x:v>
      </x:c>
      <x:c r="C159" s="15" t="n">
        <x:v>46202</x:v>
      </x:c>
      <x:c r="D159" t="str">
        <x:v>sprint_10m</x:v>
      </x:c>
      <x:c r="E159" t="str">
        <x:v>10m Sprint</x:v>
      </x:c>
      <x:c r="F159" t="str">
        <x:v>Acceleration</x:v>
      </x:c>
      <x:c r="G159" t="n">
        <x:v>1.67</x:v>
      </x:c>
      <x:c r="H159" t="str">
        <x:v>sec</x:v>
      </x:c>
      <x:c r="I159" t="str">
        <x:v>lower</x:v>
      </x:c>
    </x:row>
    <x:row r="160" ht="15.75" customHeight="1">
      <x:c r="A160" t="str">
        <x:v>RVX-00007</x:v>
      </x:c>
      <x:c r="B160" t="n">
        <x:v>3</x:v>
      </x:c>
      <x:c r="C160" s="15" t="n">
        <x:v>46202</x:v>
      </x:c>
      <x:c r="D160" t="str">
        <x:v>pro_agility</x:v>
      </x:c>
      <x:c r="E160" t="str">
        <x:v>5-10-5 Pro Agility</x:v>
      </x:c>
      <x:c r="F160" t="str">
        <x:v>Agility</x:v>
      </x:c>
      <x:c r="G160" t="n">
        <x:v>4.18</x:v>
      </x:c>
      <x:c r="H160" t="str">
        <x:v>sec</x:v>
      </x:c>
      <x:c r="I160" t="str">
        <x:v>lower</x:v>
      </x:c>
    </x:row>
    <x:row r="161" ht="15.75" customHeight="1">
      <x:c r="A161" t="str">
        <x:v>RVX-00007</x:v>
      </x:c>
      <x:c r="B161" t="n">
        <x:v>3</x:v>
      </x:c>
      <x:c r="C161" s="15" t="n">
        <x:v>46202</x:v>
      </x:c>
      <x:c r="D161" t="str">
        <x:v>cmj_depth</x:v>
      </x:c>
      <x:c r="E161" t="str">
        <x:v>Countermovement Depth</x:v>
      </x:c>
      <x:c r="F161" t="str">
        <x:v>Movement</x:v>
      </x:c>
      <x:c r="G161" t="n">
        <x:v>34.4</x:v>
      </x:c>
      <x:c r="H161" t="str">
        <x:v>cm</x:v>
      </x:c>
      <x:c r="I161" t="str">
        <x:v>higher</x:v>
      </x:c>
    </x:row>
    <x:row r="162" ht="15.75" customHeight="1">
      <x:c r="A162" t="str">
        <x:v>RVX-00007</x:v>
      </x:c>
      <x:c r="B162" t="n">
        <x:v>3</x:v>
      </x:c>
      <x:c r="C162" s="15" t="n">
        <x:v>46202</x:v>
      </x:c>
      <x:c r="D162" t="str">
        <x:v>peak_force</x:v>
      </x:c>
      <x:c r="E162" t="str">
        <x:v>Peak Force</x:v>
      </x:c>
      <x:c r="F162" t="str">
        <x:v>Strength &amp; Power</x:v>
      </x:c>
      <x:c r="G162" t="n">
        <x:v>1951</x:v>
      </x:c>
      <x:c r="H162" t="str">
        <x:v>N</x:v>
      </x:c>
      <x:c r="I162" t="str">
        <x:v>higher</x:v>
      </x:c>
    </x:row>
    <x:row r="163" ht="15.75" customHeight="1">
      <x:c r="A163" t="str">
        <x:v>RVX-00007</x:v>
      </x:c>
      <x:c r="B163" t="n">
        <x:v>3</x:v>
      </x:c>
      <x:c r="C163" s="15" t="n">
        <x:v>46202</x:v>
      </x:c>
      <x:c r="D163" t="str">
        <x:v>impulse</x:v>
      </x:c>
      <x:c r="E163" t="str">
        <x:v>Impulse-Momentum</x:v>
      </x:c>
      <x:c r="F163" t="str">
        <x:v>Strength &amp; Power</x:v>
      </x:c>
      <x:c r="G163" t="n">
        <x:v>241.7</x:v>
      </x:c>
      <x:c r="H163" t="str">
        <x:v>Ns</x:v>
      </x:c>
      <x:c r="I163" t="str">
        <x:v>higher</x:v>
      </x:c>
    </x:row>
    <x:row r="164" ht="15.75" customHeight="1">
      <x:c r="A164" t="str">
        <x:v>RVX-00007</x:v>
      </x:c>
      <x:c r="B164" t="n">
        <x:v>4</x:v>
      </x:c>
      <x:c r="C164" s="15" t="n">
        <x:v>46230</x:v>
      </x:c>
      <x:c r="D164" t="str">
        <x:v>sprint_5m</x:v>
      </x:c>
      <x:c r="E164" t="str">
        <x:v>5m Sprint</x:v>
      </x:c>
      <x:c r="F164" t="str">
        <x:v>Acceleration</x:v>
      </x:c>
      <x:c r="G164" t="n">
        <x:v>0.92</x:v>
      </x:c>
      <x:c r="H164" t="str">
        <x:v>sec</x:v>
      </x:c>
      <x:c r="I164" t="str">
        <x:v>lower</x:v>
      </x:c>
    </x:row>
    <x:row r="165" ht="15.75" customHeight="1">
      <x:c r="A165" t="str">
        <x:v>RVX-00007</x:v>
      </x:c>
      <x:c r="B165" t="n">
        <x:v>4</x:v>
      </x:c>
      <x:c r="C165" s="15" t="n">
        <x:v>46230</x:v>
      </x:c>
      <x:c r="D165" t="str">
        <x:v>sprint_10m</x:v>
      </x:c>
      <x:c r="E165" t="str">
        <x:v>10m Sprint</x:v>
      </x:c>
      <x:c r="F165" t="str">
        <x:v>Acceleration</x:v>
      </x:c>
      <x:c r="G165" t="n">
        <x:v>1.61</x:v>
      </x:c>
      <x:c r="H165" t="str">
        <x:v>sec</x:v>
      </x:c>
      <x:c r="I165" t="str">
        <x:v>lower</x:v>
      </x:c>
    </x:row>
    <x:row r="166" ht="15.75" customHeight="1">
      <x:c r="A166" t="str">
        <x:v>RVX-00007</x:v>
      </x:c>
      <x:c r="B166" t="n">
        <x:v>4</x:v>
      </x:c>
      <x:c r="C166" s="15" t="n">
        <x:v>46230</x:v>
      </x:c>
      <x:c r="D166" t="str">
        <x:v>pro_agility</x:v>
      </x:c>
      <x:c r="E166" t="str">
        <x:v>5-10-5 Pro Agility</x:v>
      </x:c>
      <x:c r="F166" t="str">
        <x:v>Agility</x:v>
      </x:c>
      <x:c r="G166" t="n">
        <x:v>4.19</x:v>
      </x:c>
      <x:c r="H166" t="str">
        <x:v>sec</x:v>
      </x:c>
      <x:c r="I166" t="str">
        <x:v>lower</x:v>
      </x:c>
    </x:row>
    <x:row r="167" ht="15.75" customHeight="1">
      <x:c r="A167" t="str">
        <x:v>RVX-00007</x:v>
      </x:c>
      <x:c r="B167" t="n">
        <x:v>4</x:v>
      </x:c>
      <x:c r="C167" s="15" t="n">
        <x:v>46230</x:v>
      </x:c>
      <x:c r="D167" t="str">
        <x:v>cmj_depth</x:v>
      </x:c>
      <x:c r="E167" t="str">
        <x:v>Countermovement Depth</x:v>
      </x:c>
      <x:c r="F167" t="str">
        <x:v>Movement</x:v>
      </x:c>
      <x:c r="G167" t="n">
        <x:v>34.2</x:v>
      </x:c>
      <x:c r="H167" t="str">
        <x:v>cm</x:v>
      </x:c>
      <x:c r="I167" t="str">
        <x:v>higher</x:v>
      </x:c>
    </x:row>
    <x:row r="168" ht="15.75" customHeight="1">
      <x:c r="A168" t="str">
        <x:v>RVX-00007</x:v>
      </x:c>
      <x:c r="B168" t="n">
        <x:v>4</x:v>
      </x:c>
      <x:c r="C168" s="15" t="n">
        <x:v>46230</x:v>
      </x:c>
      <x:c r="D168" t="str">
        <x:v>peak_force</x:v>
      </x:c>
      <x:c r="E168" t="str">
        <x:v>Peak Force</x:v>
      </x:c>
      <x:c r="F168" t="str">
        <x:v>Strength &amp; Power</x:v>
      </x:c>
      <x:c r="G168" t="n">
        <x:v>2044</x:v>
      </x:c>
      <x:c r="H168" t="str">
        <x:v>N</x:v>
      </x:c>
      <x:c r="I168" t="str">
        <x:v>higher</x:v>
      </x:c>
    </x:row>
    <x:row r="169" ht="15.75" customHeight="1">
      <x:c r="A169" t="str">
        <x:v>RVX-00007</x:v>
      </x:c>
      <x:c r="B169" t="n">
        <x:v>4</x:v>
      </x:c>
      <x:c r="C169" s="15" t="n">
        <x:v>46230</x:v>
      </x:c>
      <x:c r="D169" t="str">
        <x:v>impulse</x:v>
      </x:c>
      <x:c r="E169" t="str">
        <x:v>Impulse-Momentum</x:v>
      </x:c>
      <x:c r="F169" t="str">
        <x:v>Strength &amp; Power</x:v>
      </x:c>
      <x:c r="G169" t="n">
        <x:v>252.6</x:v>
      </x:c>
      <x:c r="H169" t="str">
        <x:v>Ns</x:v>
      </x:c>
      <x:c r="I169" t="str">
        <x:v>higher</x:v>
      </x:c>
    </x:row>
    <x:row r="170" ht="15.75" customHeight="1">
      <x:c r="A170" t="str">
        <x:v>RVX-00008</x:v>
      </x:c>
      <x:c r="B170" t="n">
        <x:v>1</x:v>
      </x:c>
      <x:c r="C170" s="15" t="n">
        <x:v>46146</x:v>
      </x:c>
      <x:c r="D170" t="str">
        <x:v>sprint_5m</x:v>
      </x:c>
      <x:c r="E170" t="str">
        <x:v>5m Sprint</x:v>
      </x:c>
      <x:c r="F170" t="str">
        <x:v>Acceleration</x:v>
      </x:c>
      <x:c r="G170" t="n">
        <x:v>1.06</x:v>
      </x:c>
      <x:c r="H170" t="str">
        <x:v>sec</x:v>
      </x:c>
      <x:c r="I170" t="str">
        <x:v>lower</x:v>
      </x:c>
    </x:row>
    <x:row r="171" ht="15.75" customHeight="1">
      <x:c r="A171" t="str">
        <x:v>RVX-00008</x:v>
      </x:c>
      <x:c r="B171" t="n">
        <x:v>1</x:v>
      </x:c>
      <x:c r="C171" s="15" t="n">
        <x:v>46146</x:v>
      </x:c>
      <x:c r="D171" t="str">
        <x:v>sprint_10m</x:v>
      </x:c>
      <x:c r="E171" t="str">
        <x:v>10m Sprint</x:v>
      </x:c>
      <x:c r="F171" t="str">
        <x:v>Acceleration</x:v>
      </x:c>
      <x:c r="G171" t="n">
        <x:v>1.83</x:v>
      </x:c>
      <x:c r="H171" t="str">
        <x:v>sec</x:v>
      </x:c>
      <x:c r="I171" t="str">
        <x:v>lower</x:v>
      </x:c>
    </x:row>
    <x:row r="172" ht="15.75" customHeight="1">
      <x:c r="A172" t="str">
        <x:v>RVX-00008</x:v>
      </x:c>
      <x:c r="B172" t="n">
        <x:v>1</x:v>
      </x:c>
      <x:c r="C172" s="15" t="n">
        <x:v>46146</x:v>
      </x:c>
      <x:c r="D172" t="str">
        <x:v>pro_agility</x:v>
      </x:c>
      <x:c r="E172" t="str">
        <x:v>5-10-5 Pro Agility</x:v>
      </x:c>
      <x:c r="F172" t="str">
        <x:v>Agility</x:v>
      </x:c>
      <x:c r="G172" t="n">
        <x:v>4.7</x:v>
      </x:c>
      <x:c r="H172" t="str">
        <x:v>sec</x:v>
      </x:c>
      <x:c r="I172" t="str">
        <x:v>lower</x:v>
      </x:c>
    </x:row>
    <x:row r="173" ht="15.75" customHeight="1">
      <x:c r="A173" t="str">
        <x:v>RVX-00008</x:v>
      </x:c>
      <x:c r="B173" t="n">
        <x:v>1</x:v>
      </x:c>
      <x:c r="C173" s="15" t="n">
        <x:v>46146</x:v>
      </x:c>
      <x:c r="D173" t="str">
        <x:v>cmj_depth</x:v>
      </x:c>
      <x:c r="E173" t="str">
        <x:v>Countermovement Depth</x:v>
      </x:c>
      <x:c r="F173" t="str">
        <x:v>Movement</x:v>
      </x:c>
      <x:c r="G173" t="n">
        <x:v>32.8</x:v>
      </x:c>
      <x:c r="H173" t="str">
        <x:v>cm</x:v>
      </x:c>
      <x:c r="I173" t="str">
        <x:v>higher</x:v>
      </x:c>
    </x:row>
    <x:row r="174" ht="15.75" customHeight="1">
      <x:c r="A174" t="str">
        <x:v>RVX-00008</x:v>
      </x:c>
      <x:c r="B174" t="n">
        <x:v>1</x:v>
      </x:c>
      <x:c r="C174" s="15" t="n">
        <x:v>46146</x:v>
      </x:c>
      <x:c r="D174" t="str">
        <x:v>peak_force</x:v>
      </x:c>
      <x:c r="E174" t="str">
        <x:v>Peak Force</x:v>
      </x:c>
      <x:c r="F174" t="str">
        <x:v>Strength &amp; Power</x:v>
      </x:c>
      <x:c r="G174" t="n">
        <x:v>1972</x:v>
      </x:c>
      <x:c r="H174" t="str">
        <x:v>N</x:v>
      </x:c>
      <x:c r="I174" t="str">
        <x:v>higher</x:v>
      </x:c>
    </x:row>
    <x:row r="175" ht="15.75" customHeight="1">
      <x:c r="A175" t="str">
        <x:v>RVX-00008</x:v>
      </x:c>
      <x:c r="B175" t="n">
        <x:v>1</x:v>
      </x:c>
      <x:c r="C175" s="15" t="n">
        <x:v>46146</x:v>
      </x:c>
      <x:c r="D175" t="str">
        <x:v>impulse</x:v>
      </x:c>
      <x:c r="E175" t="str">
        <x:v>Impulse-Momentum</x:v>
      </x:c>
      <x:c r="F175" t="str">
        <x:v>Strength &amp; Power</x:v>
      </x:c>
      <x:c r="G175" t="n">
        <x:v>233.3</x:v>
      </x:c>
      <x:c r="H175" t="str">
        <x:v>Ns</x:v>
      </x:c>
      <x:c r="I175" t="str">
        <x:v>higher</x:v>
      </x:c>
    </x:row>
    <x:row r="176" ht="15.75" customHeight="1">
      <x:c r="A176" t="str">
        <x:v>RVX-00008</x:v>
      </x:c>
      <x:c r="B176" t="n">
        <x:v>2</x:v>
      </x:c>
      <x:c r="C176" s="15" t="n">
        <x:v>46174</x:v>
      </x:c>
      <x:c r="D176" t="str">
        <x:v>sprint_5m</x:v>
      </x:c>
      <x:c r="E176" t="str">
        <x:v>5m Sprint</x:v>
      </x:c>
      <x:c r="F176" t="str">
        <x:v>Acceleration</x:v>
      </x:c>
      <x:c r="G176" t="n">
        <x:v>1.05</x:v>
      </x:c>
      <x:c r="H176" t="str">
        <x:v>sec</x:v>
      </x:c>
      <x:c r="I176" t="str">
        <x:v>lower</x:v>
      </x:c>
    </x:row>
    <x:row r="177" ht="15.75" customHeight="1">
      <x:c r="A177" t="str">
        <x:v>RVX-00008</x:v>
      </x:c>
      <x:c r="B177" t="n">
        <x:v>2</x:v>
      </x:c>
      <x:c r="C177" s="15" t="n">
        <x:v>46174</x:v>
      </x:c>
      <x:c r="D177" t="str">
        <x:v>sprint_10m</x:v>
      </x:c>
      <x:c r="E177" t="str">
        <x:v>10m Sprint</x:v>
      </x:c>
      <x:c r="F177" t="str">
        <x:v>Acceleration</x:v>
      </x:c>
      <x:c r="G177" t="n">
        <x:v>1.8</x:v>
      </x:c>
      <x:c r="H177" t="str">
        <x:v>sec</x:v>
      </x:c>
      <x:c r="I177" t="str">
        <x:v>lower</x:v>
      </x:c>
    </x:row>
    <x:row r="178" ht="15.75" customHeight="1">
      <x:c r="A178" t="str">
        <x:v>RVX-00008</x:v>
      </x:c>
      <x:c r="B178" t="n">
        <x:v>2</x:v>
      </x:c>
      <x:c r="C178" s="15" t="n">
        <x:v>46174</x:v>
      </x:c>
      <x:c r="D178" t="str">
        <x:v>pro_agility</x:v>
      </x:c>
      <x:c r="E178" t="str">
        <x:v>5-10-5 Pro Agility</x:v>
      </x:c>
      <x:c r="F178" t="str">
        <x:v>Agility</x:v>
      </x:c>
      <x:c r="G178" t="n">
        <x:v>4.63</x:v>
      </x:c>
      <x:c r="H178" t="str">
        <x:v>sec</x:v>
      </x:c>
      <x:c r="I178" t="str">
        <x:v>lower</x:v>
      </x:c>
    </x:row>
    <x:row r="179" ht="15.75" customHeight="1">
      <x:c r="A179" t="str">
        <x:v>RVX-00008</x:v>
      </x:c>
      <x:c r="B179" t="n">
        <x:v>2</x:v>
      </x:c>
      <x:c r="C179" s="15" t="n">
        <x:v>46174</x:v>
      </x:c>
      <x:c r="D179" t="str">
        <x:v>cmj_depth</x:v>
      </x:c>
      <x:c r="E179" t="str">
        <x:v>Countermovement Depth</x:v>
      </x:c>
      <x:c r="F179" t="str">
        <x:v>Movement</x:v>
      </x:c>
      <x:c r="G179" t="n">
        <x:v>34.3</x:v>
      </x:c>
      <x:c r="H179" t="str">
        <x:v>cm</x:v>
      </x:c>
      <x:c r="I179" t="str">
        <x:v>higher</x:v>
      </x:c>
    </x:row>
    <x:row r="180" ht="15.75" customHeight="1">
      <x:c r="A180" t="str">
        <x:v>RVX-00008</x:v>
      </x:c>
      <x:c r="B180" t="n">
        <x:v>2</x:v>
      </x:c>
      <x:c r="C180" s="15" t="n">
        <x:v>46174</x:v>
      </x:c>
      <x:c r="D180" t="str">
        <x:v>peak_force</x:v>
      </x:c>
      <x:c r="E180" t="str">
        <x:v>Peak Force</x:v>
      </x:c>
      <x:c r="F180" t="str">
        <x:v>Strength &amp; Power</x:v>
      </x:c>
      <x:c r="G180" t="n">
        <x:v>2004</x:v>
      </x:c>
      <x:c r="H180" t="str">
        <x:v>N</x:v>
      </x:c>
      <x:c r="I180" t="str">
        <x:v>higher</x:v>
      </x:c>
    </x:row>
    <x:row r="181" ht="15.75" customHeight="1">
      <x:c r="A181" t="str">
        <x:v>RVX-00008</x:v>
      </x:c>
      <x:c r="B181" t="n">
        <x:v>2</x:v>
      </x:c>
      <x:c r="C181" s="15" t="n">
        <x:v>46174</x:v>
      </x:c>
      <x:c r="D181" t="str">
        <x:v>impulse</x:v>
      </x:c>
      <x:c r="E181" t="str">
        <x:v>Impulse-Momentum</x:v>
      </x:c>
      <x:c r="F181" t="str">
        <x:v>Strength &amp; Power</x:v>
      </x:c>
      <x:c r="G181" t="n">
        <x:v>235.3</x:v>
      </x:c>
      <x:c r="H181" t="str">
        <x:v>Ns</x:v>
      </x:c>
      <x:c r="I181" t="str">
        <x:v>higher</x:v>
      </x:c>
    </x:row>
    <x:row r="182" ht="15.75" customHeight="1">
      <x:c r="A182" t="str">
        <x:v>RVX-00008</x:v>
      </x:c>
      <x:c r="B182" t="n">
        <x:v>3</x:v>
      </x:c>
      <x:c r="C182" s="15" t="n">
        <x:v>46202</x:v>
      </x:c>
      <x:c r="D182" t="str">
        <x:v>sprint_5m</x:v>
      </x:c>
      <x:c r="E182" t="str">
        <x:v>5m Sprint</x:v>
      </x:c>
      <x:c r="F182" t="str">
        <x:v>Acceleration</x:v>
      </x:c>
      <x:c r="G182" t="n">
        <x:v>1.03</x:v>
      </x:c>
      <x:c r="H182" t="str">
        <x:v>sec</x:v>
      </x:c>
      <x:c r="I182" t="str">
        <x:v>lower</x:v>
      </x:c>
    </x:row>
    <x:row r="183" ht="15.75" customHeight="1">
      <x:c r="A183" t="str">
        <x:v>RVX-00008</x:v>
      </x:c>
      <x:c r="B183" t="n">
        <x:v>3</x:v>
      </x:c>
      <x:c r="C183" s="15" t="n">
        <x:v>46202</x:v>
      </x:c>
      <x:c r="D183" t="str">
        <x:v>sprint_10m</x:v>
      </x:c>
      <x:c r="E183" t="str">
        <x:v>10m Sprint</x:v>
      </x:c>
      <x:c r="F183" t="str">
        <x:v>Acceleration</x:v>
      </x:c>
      <x:c r="G183" t="n">
        <x:v>1.75</x:v>
      </x:c>
      <x:c r="H183" t="str">
        <x:v>sec</x:v>
      </x:c>
      <x:c r="I183" t="str">
        <x:v>lower</x:v>
      </x:c>
    </x:row>
    <x:row r="184" ht="15.75" customHeight="1">
      <x:c r="A184" t="str">
        <x:v>RVX-00008</x:v>
      </x:c>
      <x:c r="B184" t="n">
        <x:v>3</x:v>
      </x:c>
      <x:c r="C184" s="15" t="n">
        <x:v>46202</x:v>
      </x:c>
      <x:c r="D184" t="str">
        <x:v>pro_agility</x:v>
      </x:c>
      <x:c r="E184" t="str">
        <x:v>5-10-5 Pro Agility</x:v>
      </x:c>
      <x:c r="F184" t="str">
        <x:v>Agility</x:v>
      </x:c>
      <x:c r="G184" t="n">
        <x:v>4.46</x:v>
      </x:c>
      <x:c r="H184" t="str">
        <x:v>sec</x:v>
      </x:c>
      <x:c r="I184" t="str">
        <x:v>lower</x:v>
      </x:c>
    </x:row>
    <x:row r="185" ht="15.75" customHeight="1">
      <x:c r="A185" t="str">
        <x:v>RVX-00008</x:v>
      </x:c>
      <x:c r="B185" t="n">
        <x:v>3</x:v>
      </x:c>
      <x:c r="C185" s="15" t="n">
        <x:v>46202</x:v>
      </x:c>
      <x:c r="D185" t="str">
        <x:v>cmj_depth</x:v>
      </x:c>
      <x:c r="E185" t="str">
        <x:v>Countermovement Depth</x:v>
      </x:c>
      <x:c r="F185" t="str">
        <x:v>Movement</x:v>
      </x:c>
      <x:c r="G185" t="n">
        <x:v>34.5</x:v>
      </x:c>
      <x:c r="H185" t="str">
        <x:v>cm</x:v>
      </x:c>
      <x:c r="I185" t="str">
        <x:v>higher</x:v>
      </x:c>
    </x:row>
    <x:row r="186" ht="15.75" customHeight="1">
      <x:c r="A186" t="str">
        <x:v>RVX-00008</x:v>
      </x:c>
      <x:c r="B186" t="n">
        <x:v>3</x:v>
      </x:c>
      <x:c r="C186" s="15" t="n">
        <x:v>46202</x:v>
      </x:c>
      <x:c r="D186" t="str">
        <x:v>peak_force</x:v>
      </x:c>
      <x:c r="E186" t="str">
        <x:v>Peak Force</x:v>
      </x:c>
      <x:c r="F186" t="str">
        <x:v>Strength &amp; Power</x:v>
      </x:c>
      <x:c r="G186" t="n">
        <x:v>2005</x:v>
      </x:c>
      <x:c r="H186" t="str">
        <x:v>N</x:v>
      </x:c>
      <x:c r="I186" t="str">
        <x:v>higher</x:v>
      </x:c>
    </x:row>
    <x:row r="187" ht="15.75" customHeight="1">
      <x:c r="A187" t="str">
        <x:v>RVX-00008</x:v>
      </x:c>
      <x:c r="B187" t="n">
        <x:v>3</x:v>
      </x:c>
      <x:c r="C187" s="15" t="n">
        <x:v>46202</x:v>
      </x:c>
      <x:c r="D187" t="str">
        <x:v>impulse</x:v>
      </x:c>
      <x:c r="E187" t="str">
        <x:v>Impulse-Momentum</x:v>
      </x:c>
      <x:c r="F187" t="str">
        <x:v>Strength &amp; Power</x:v>
      </x:c>
      <x:c r="G187" t="n">
        <x:v>241.2</x:v>
      </x:c>
      <x:c r="H187" t="str">
        <x:v>Ns</x:v>
      </x:c>
      <x:c r="I187" t="str">
        <x:v>higher</x:v>
      </x:c>
    </x:row>
    <x:row r="188" ht="15.75" customHeight="1">
      <x:c r="A188" t="str">
        <x:v>RVX-00008</x:v>
      </x:c>
      <x:c r="B188" t="n">
        <x:v>4</x:v>
      </x:c>
      <x:c r="C188" s="15" t="n">
        <x:v>46230</x:v>
      </x:c>
      <x:c r="D188" t="str">
        <x:v>sprint_5m</x:v>
      </x:c>
      <x:c r="E188" t="str">
        <x:v>5m Sprint</x:v>
      </x:c>
      <x:c r="F188" t="str">
        <x:v>Acceleration</x:v>
      </x:c>
      <x:c r="G188" t="n">
        <x:v>1.01</x:v>
      </x:c>
      <x:c r="H188" t="str">
        <x:v>sec</x:v>
      </x:c>
      <x:c r="I188" t="str">
        <x:v>lower</x:v>
      </x:c>
    </x:row>
    <x:row r="189" ht="15.75" customHeight="1">
      <x:c r="A189" t="str">
        <x:v>RVX-00008</x:v>
      </x:c>
      <x:c r="B189" t="n">
        <x:v>4</x:v>
      </x:c>
      <x:c r="C189" s="15" t="n">
        <x:v>46230</x:v>
      </x:c>
      <x:c r="D189" t="str">
        <x:v>sprint_10m</x:v>
      </x:c>
      <x:c r="E189" t="str">
        <x:v>10m Sprint</x:v>
      </x:c>
      <x:c r="F189" t="str">
        <x:v>Acceleration</x:v>
      </x:c>
      <x:c r="G189" t="n">
        <x:v>1.73</x:v>
      </x:c>
      <x:c r="H189" t="str">
        <x:v>sec</x:v>
      </x:c>
      <x:c r="I189" t="str">
        <x:v>lower</x:v>
      </x:c>
    </x:row>
    <x:row r="190" ht="15.75" customHeight="1">
      <x:c r="A190" t="str">
        <x:v>RVX-00008</x:v>
      </x:c>
      <x:c r="B190" t="n">
        <x:v>4</x:v>
      </x:c>
      <x:c r="C190" s="15" t="n">
        <x:v>46230</x:v>
      </x:c>
      <x:c r="D190" t="str">
        <x:v>pro_agility</x:v>
      </x:c>
      <x:c r="E190" t="str">
        <x:v>5-10-5 Pro Agility</x:v>
      </x:c>
      <x:c r="F190" t="str">
        <x:v>Agility</x:v>
      </x:c>
      <x:c r="G190" t="n">
        <x:v>4.45</x:v>
      </x:c>
      <x:c r="H190" t="str">
        <x:v>sec</x:v>
      </x:c>
      <x:c r="I190" t="str">
        <x:v>lower</x:v>
      </x:c>
    </x:row>
    <x:row r="191" ht="15.75" customHeight="1">
      <x:c r="A191" t="str">
        <x:v>RVX-00008</x:v>
      </x:c>
      <x:c r="B191" t="n">
        <x:v>4</x:v>
      </x:c>
      <x:c r="C191" s="15" t="n">
        <x:v>46230</x:v>
      </x:c>
      <x:c r="D191" t="str">
        <x:v>cmj_depth</x:v>
      </x:c>
      <x:c r="E191" t="str">
        <x:v>Countermovement Depth</x:v>
      </x:c>
      <x:c r="F191" t="str">
        <x:v>Movement</x:v>
      </x:c>
      <x:c r="G191" t="n">
        <x:v>34.6</x:v>
      </x:c>
      <x:c r="H191" t="str">
        <x:v>cm</x:v>
      </x:c>
      <x:c r="I191" t="str">
        <x:v>higher</x:v>
      </x:c>
    </x:row>
    <x:row r="192" ht="15.75" customHeight="1">
      <x:c r="A192" t="str">
        <x:v>RVX-00008</x:v>
      </x:c>
      <x:c r="B192" t="n">
        <x:v>4</x:v>
      </x:c>
      <x:c r="C192" s="15" t="n">
        <x:v>46230</x:v>
      </x:c>
      <x:c r="D192" t="str">
        <x:v>peak_force</x:v>
      </x:c>
      <x:c r="E192" t="str">
        <x:v>Peak Force</x:v>
      </x:c>
      <x:c r="F192" t="str">
        <x:v>Strength &amp; Power</x:v>
      </x:c>
      <x:c r="G192" t="n">
        <x:v>2052</x:v>
      </x:c>
      <x:c r="H192" t="str">
        <x:v>N</x:v>
      </x:c>
      <x:c r="I192" t="str">
        <x:v>higher</x:v>
      </x:c>
    </x:row>
    <x:row r="193" ht="15.75" customHeight="1">
      <x:c r="A193" t="str">
        <x:v>RVX-00008</x:v>
      </x:c>
      <x:c r="B193" t="n">
        <x:v>4</x:v>
      </x:c>
      <x:c r="C193" s="15" t="n">
        <x:v>46230</x:v>
      </x:c>
      <x:c r="D193" t="str">
        <x:v>impulse</x:v>
      </x:c>
      <x:c r="E193" t="str">
        <x:v>Impulse-Momentum</x:v>
      </x:c>
      <x:c r="F193" t="str">
        <x:v>Strength &amp; Power</x:v>
      </x:c>
      <x:c r="G193" t="n">
        <x:v>253.2</x:v>
      </x:c>
      <x:c r="H193" t="str">
        <x:v>Ns</x:v>
      </x:c>
      <x:c r="I193" t="str">
        <x:v>higher</x:v>
      </x:c>
    </x:row>
    <x:row r="194" ht="15.75" customHeight="1">
      <x:c r="A194" t="str">
        <x:v>RVX-00009</x:v>
      </x:c>
      <x:c r="B194" t="n">
        <x:v>1</x:v>
      </x:c>
      <x:c r="C194" s="15" t="n">
        <x:v>46146</x:v>
      </x:c>
      <x:c r="D194" t="str">
        <x:v>sprint_5m</x:v>
      </x:c>
      <x:c r="E194" t="str">
        <x:v>5m Sprint</x:v>
      </x:c>
      <x:c r="F194" t="str">
        <x:v>Acceleration</x:v>
      </x:c>
      <x:c r="G194" t="n">
        <x:v>1.24</x:v>
      </x:c>
      <x:c r="H194" t="str">
        <x:v>sec</x:v>
      </x:c>
      <x:c r="I194" t="str">
        <x:v>lower</x:v>
      </x:c>
    </x:row>
    <x:row r="195" ht="15.75" customHeight="1">
      <x:c r="A195" t="str">
        <x:v>RVX-00009</x:v>
      </x:c>
      <x:c r="B195" t="n">
        <x:v>1</x:v>
      </x:c>
      <x:c r="C195" s="15" t="n">
        <x:v>46146</x:v>
      </x:c>
      <x:c r="D195" t="str">
        <x:v>sprint_10m</x:v>
      </x:c>
      <x:c r="E195" t="str">
        <x:v>10m Sprint</x:v>
      </x:c>
      <x:c r="F195" t="str">
        <x:v>Acceleration</x:v>
      </x:c>
      <x:c r="G195" t="n">
        <x:v>2.08</x:v>
      </x:c>
      <x:c r="H195" t="str">
        <x:v>sec</x:v>
      </x:c>
      <x:c r="I195" t="str">
        <x:v>lower</x:v>
      </x:c>
    </x:row>
    <x:row r="196" ht="15.75" customHeight="1">
      <x:c r="A196" t="str">
        <x:v>RVX-00009</x:v>
      </x:c>
      <x:c r="B196" t="n">
        <x:v>1</x:v>
      </x:c>
      <x:c r="C196" s="15" t="n">
        <x:v>46146</x:v>
      </x:c>
      <x:c r="D196" t="str">
        <x:v>pro_agility</x:v>
      </x:c>
      <x:c r="E196" t="str">
        <x:v>5-10-5 Pro Agility</x:v>
      </x:c>
      <x:c r="F196" t="str">
        <x:v>Agility</x:v>
      </x:c>
      <x:c r="G196" t="n">
        <x:v>5.33</x:v>
      </x:c>
      <x:c r="H196" t="str">
        <x:v>sec</x:v>
      </x:c>
      <x:c r="I196" t="str">
        <x:v>lower</x:v>
      </x:c>
    </x:row>
    <x:row r="197" ht="15.75" customHeight="1">
      <x:c r="A197" t="str">
        <x:v>RVX-00009</x:v>
      </x:c>
      <x:c r="B197" t="n">
        <x:v>1</x:v>
      </x:c>
      <x:c r="C197" s="15" t="n">
        <x:v>46146</x:v>
      </x:c>
      <x:c r="D197" t="str">
        <x:v>cmj_depth</x:v>
      </x:c>
      <x:c r="E197" t="str">
        <x:v>Countermovement Depth</x:v>
      </x:c>
      <x:c r="F197" t="str">
        <x:v>Movement</x:v>
      </x:c>
      <x:c r="G197" t="n">
        <x:v>27.5</x:v>
      </x:c>
      <x:c r="H197" t="str">
        <x:v>cm</x:v>
      </x:c>
      <x:c r="I197" t="str">
        <x:v>higher</x:v>
      </x:c>
    </x:row>
    <x:row r="198" ht="15.75" customHeight="1">
      <x:c r="A198" t="str">
        <x:v>RVX-00009</x:v>
      </x:c>
      <x:c r="B198" t="n">
        <x:v>1</x:v>
      </x:c>
      <x:c r="C198" s="15" t="n">
        <x:v>46146</x:v>
      </x:c>
      <x:c r="D198" t="str">
        <x:v>peak_force</x:v>
      </x:c>
      <x:c r="E198" t="str">
        <x:v>Peak Force</x:v>
      </x:c>
      <x:c r="F198" t="str">
        <x:v>Strength &amp; Power</x:v>
      </x:c>
      <x:c r="G198" t="n">
        <x:v>1575</x:v>
      </x:c>
      <x:c r="H198" t="str">
        <x:v>N</x:v>
      </x:c>
      <x:c r="I198" t="str">
        <x:v>higher</x:v>
      </x:c>
    </x:row>
    <x:row r="199" ht="15.75" customHeight="1">
      <x:c r="A199" t="str">
        <x:v>RVX-00009</x:v>
      </x:c>
      <x:c r="B199" t="n">
        <x:v>1</x:v>
      </x:c>
      <x:c r="C199" s="15" t="n">
        <x:v>46146</x:v>
      </x:c>
      <x:c r="D199" t="str">
        <x:v>impulse</x:v>
      </x:c>
      <x:c r="E199" t="str">
        <x:v>Impulse-Momentum</x:v>
      </x:c>
      <x:c r="F199" t="str">
        <x:v>Strength &amp; Power</x:v>
      </x:c>
      <x:c r="G199" t="n">
        <x:v>189.9</x:v>
      </x:c>
      <x:c r="H199" t="str">
        <x:v>Ns</x:v>
      </x:c>
      <x:c r="I199" t="str">
        <x:v>higher</x:v>
      </x:c>
    </x:row>
    <x:row r="200" ht="15.75" customHeight="1">
      <x:c r="A200" t="str">
        <x:v>RVX-00009</x:v>
      </x:c>
      <x:c r="B200" t="n">
        <x:v>2</x:v>
      </x:c>
      <x:c r="C200" s="15" t="n">
        <x:v>46174</x:v>
      </x:c>
      <x:c r="D200" t="str">
        <x:v>sprint_5m</x:v>
      </x:c>
      <x:c r="E200" t="str">
        <x:v>5m Sprint</x:v>
      </x:c>
      <x:c r="F200" t="str">
        <x:v>Acceleration</x:v>
      </x:c>
      <x:c r="G200" t="n">
        <x:v>1.23</x:v>
      </x:c>
      <x:c r="H200" t="str">
        <x:v>sec</x:v>
      </x:c>
      <x:c r="I200" t="str">
        <x:v>lower</x:v>
      </x:c>
    </x:row>
    <x:row r="201" ht="15.75" customHeight="1">
      <x:c r="A201" t="str">
        <x:v>RVX-00009</x:v>
      </x:c>
      <x:c r="B201" t="n">
        <x:v>2</x:v>
      </x:c>
      <x:c r="C201" s="15" t="n">
        <x:v>46174</x:v>
      </x:c>
      <x:c r="D201" t="str">
        <x:v>sprint_10m</x:v>
      </x:c>
      <x:c r="E201" t="str">
        <x:v>10m Sprint</x:v>
      </x:c>
      <x:c r="F201" t="str">
        <x:v>Acceleration</x:v>
      </x:c>
      <x:c r="G201" t="n">
        <x:v>2.08</x:v>
      </x:c>
      <x:c r="H201" t="str">
        <x:v>sec</x:v>
      </x:c>
      <x:c r="I201" t="str">
        <x:v>lower</x:v>
      </x:c>
    </x:row>
    <x:row r="202" ht="15.75" customHeight="1">
      <x:c r="A202" t="str">
        <x:v>RVX-00009</x:v>
      </x:c>
      <x:c r="B202" t="n">
        <x:v>2</x:v>
      </x:c>
      <x:c r="C202" s="15" t="n">
        <x:v>46174</x:v>
      </x:c>
      <x:c r="D202" t="str">
        <x:v>pro_agility</x:v>
      </x:c>
      <x:c r="E202" t="str">
        <x:v>5-10-5 Pro Agility</x:v>
      </x:c>
      <x:c r="F202" t="str">
        <x:v>Agility</x:v>
      </x:c>
      <x:c r="G202" t="n">
        <x:v>5.19</x:v>
      </x:c>
      <x:c r="H202" t="str">
        <x:v>sec</x:v>
      </x:c>
      <x:c r="I202" t="str">
        <x:v>lower</x:v>
      </x:c>
    </x:row>
    <x:row r="203" ht="15.75" customHeight="1">
      <x:c r="A203" t="str">
        <x:v>RVX-00009</x:v>
      </x:c>
      <x:c r="B203" t="n">
        <x:v>2</x:v>
      </x:c>
      <x:c r="C203" s="15" t="n">
        <x:v>46174</x:v>
      </x:c>
      <x:c r="D203" t="str">
        <x:v>cmj_depth</x:v>
      </x:c>
      <x:c r="E203" t="str">
        <x:v>Countermovement Depth</x:v>
      </x:c>
      <x:c r="F203" t="str">
        <x:v>Movement</x:v>
      </x:c>
      <x:c r="G203" t="n">
        <x:v>27.9</x:v>
      </x:c>
      <x:c r="H203" t="str">
        <x:v>cm</x:v>
      </x:c>
      <x:c r="I203" t="str">
        <x:v>higher</x:v>
      </x:c>
    </x:row>
    <x:row r="204" ht="15.75" customHeight="1">
      <x:c r="A204" t="str">
        <x:v>RVX-00009</x:v>
      </x:c>
      <x:c r="B204" t="n">
        <x:v>2</x:v>
      </x:c>
      <x:c r="C204" s="15" t="n">
        <x:v>46174</x:v>
      </x:c>
      <x:c r="D204" t="str">
        <x:v>peak_force</x:v>
      </x:c>
      <x:c r="E204" t="str">
        <x:v>Peak Force</x:v>
      </x:c>
      <x:c r="F204" t="str">
        <x:v>Strength &amp; Power</x:v>
      </x:c>
      <x:c r="G204" t="n">
        <x:v>1617</x:v>
      </x:c>
      <x:c r="H204" t="str">
        <x:v>N</x:v>
      </x:c>
      <x:c r="I204" t="str">
        <x:v>higher</x:v>
      </x:c>
    </x:row>
    <x:row r="205" ht="15.75" customHeight="1">
      <x:c r="A205" t="str">
        <x:v>RVX-00009</x:v>
      </x:c>
      <x:c r="B205" t="n">
        <x:v>2</x:v>
      </x:c>
      <x:c r="C205" s="15" t="n">
        <x:v>46174</x:v>
      </x:c>
      <x:c r="D205" t="str">
        <x:v>impulse</x:v>
      </x:c>
      <x:c r="E205" t="str">
        <x:v>Impulse-Momentum</x:v>
      </x:c>
      <x:c r="F205" t="str">
        <x:v>Strength &amp; Power</x:v>
      </x:c>
      <x:c r="G205" t="n">
        <x:v>200.4</x:v>
      </x:c>
      <x:c r="H205" t="str">
        <x:v>Ns</x:v>
      </x:c>
      <x:c r="I205" t="str">
        <x:v>higher</x:v>
      </x:c>
    </x:row>
    <x:row r="206" ht="15.75" customHeight="1">
      <x:c r="A206" t="str">
        <x:v>RVX-00009</x:v>
      </x:c>
      <x:c r="B206" t="n">
        <x:v>3</x:v>
      </x:c>
      <x:c r="C206" s="15" t="n">
        <x:v>46202</x:v>
      </x:c>
      <x:c r="D206" t="str">
        <x:v>sprint_5m</x:v>
      </x:c>
      <x:c r="E206" t="str">
        <x:v>5m Sprint</x:v>
      </x:c>
      <x:c r="F206" t="str">
        <x:v>Acceleration</x:v>
      </x:c>
      <x:c r="G206" t="n">
        <x:v>1.17</x:v>
      </x:c>
      <x:c r="H206" t="str">
        <x:v>sec</x:v>
      </x:c>
      <x:c r="I206" t="str">
        <x:v>lower</x:v>
      </x:c>
    </x:row>
    <x:row r="207" ht="15.75" customHeight="1">
      <x:c r="A207" t="str">
        <x:v>RVX-00009</x:v>
      </x:c>
      <x:c r="B207" t="n">
        <x:v>3</x:v>
      </x:c>
      <x:c r="C207" s="15" t="n">
        <x:v>46202</x:v>
      </x:c>
      <x:c r="D207" t="str">
        <x:v>sprint_10m</x:v>
      </x:c>
      <x:c r="E207" t="str">
        <x:v>10m Sprint</x:v>
      </x:c>
      <x:c r="F207" t="str">
        <x:v>Acceleration</x:v>
      </x:c>
      <x:c r="G207" t="n">
        <x:v>1.99</x:v>
      </x:c>
      <x:c r="H207" t="str">
        <x:v>sec</x:v>
      </x:c>
      <x:c r="I207" t="str">
        <x:v>lower</x:v>
      </x:c>
    </x:row>
    <x:row r="208" ht="15.75" customHeight="1">
      <x:c r="A208" t="str">
        <x:v>RVX-00009</x:v>
      </x:c>
      <x:c r="B208" t="n">
        <x:v>3</x:v>
      </x:c>
      <x:c r="C208" s="15" t="n">
        <x:v>46202</x:v>
      </x:c>
      <x:c r="D208" t="str">
        <x:v>pro_agility</x:v>
      </x:c>
      <x:c r="E208" t="str">
        <x:v>5-10-5 Pro Agility</x:v>
      </x:c>
      <x:c r="F208" t="str">
        <x:v>Agility</x:v>
      </x:c>
      <x:c r="G208" t="n">
        <x:v>5.22</x:v>
      </x:c>
      <x:c r="H208" t="str">
        <x:v>sec</x:v>
      </x:c>
      <x:c r="I208" t="str">
        <x:v>lower</x:v>
      </x:c>
    </x:row>
    <x:row r="209" ht="15.75" customHeight="1">
      <x:c r="A209" t="str">
        <x:v>RVX-00009</x:v>
      </x:c>
      <x:c r="B209" t="n">
        <x:v>3</x:v>
      </x:c>
      <x:c r="C209" s="15" t="n">
        <x:v>46202</x:v>
      </x:c>
      <x:c r="D209" t="str">
        <x:v>cmj_depth</x:v>
      </x:c>
      <x:c r="E209" t="str">
        <x:v>Countermovement Depth</x:v>
      </x:c>
      <x:c r="F209" t="str">
        <x:v>Movement</x:v>
      </x:c>
      <x:c r="G209" t="n">
        <x:v>28.5</x:v>
      </x:c>
      <x:c r="H209" t="str">
        <x:v>cm</x:v>
      </x:c>
      <x:c r="I209" t="str">
        <x:v>higher</x:v>
      </x:c>
    </x:row>
    <x:row r="210" ht="15.75" customHeight="1">
      <x:c r="A210" t="str">
        <x:v>RVX-00009</x:v>
      </x:c>
      <x:c r="B210" t="n">
        <x:v>3</x:v>
      </x:c>
      <x:c r="C210" s="15" t="n">
        <x:v>46202</x:v>
      </x:c>
      <x:c r="D210" t="str">
        <x:v>peak_force</x:v>
      </x:c>
      <x:c r="E210" t="str">
        <x:v>Peak Force</x:v>
      </x:c>
      <x:c r="F210" t="str">
        <x:v>Strength &amp; Power</x:v>
      </x:c>
      <x:c r="G210" t="n">
        <x:v>1628</x:v>
      </x:c>
      <x:c r="H210" t="str">
        <x:v>N</x:v>
      </x:c>
      <x:c r="I210" t="str">
        <x:v>higher</x:v>
      </x:c>
    </x:row>
    <x:row r="211" ht="15.75" customHeight="1">
      <x:c r="A211" t="str">
        <x:v>RVX-00009</x:v>
      </x:c>
      <x:c r="B211" t="n">
        <x:v>3</x:v>
      </x:c>
      <x:c r="C211" s="15" t="n">
        <x:v>46202</x:v>
      </x:c>
      <x:c r="D211" t="str">
        <x:v>impulse</x:v>
      </x:c>
      <x:c r="E211" t="str">
        <x:v>Impulse-Momentum</x:v>
      </x:c>
      <x:c r="F211" t="str">
        <x:v>Strength &amp; Power</x:v>
      </x:c>
      <x:c r="G211" t="n">
        <x:v>197</x:v>
      </x:c>
      <x:c r="H211" t="str">
        <x:v>Ns</x:v>
      </x:c>
      <x:c r="I211" t="str">
        <x:v>higher</x:v>
      </x:c>
    </x:row>
    <x:row r="212" ht="15.75" customHeight="1">
      <x:c r="A212" t="str">
        <x:v>RVX-00009</x:v>
      </x:c>
      <x:c r="B212" t="n">
        <x:v>4</x:v>
      </x:c>
      <x:c r="C212" s="15" t="n">
        <x:v>46230</x:v>
      </x:c>
      <x:c r="D212" t="str">
        <x:v>sprint_5m</x:v>
      </x:c>
      <x:c r="E212" t="str">
        <x:v>5m Sprint</x:v>
      </x:c>
      <x:c r="F212" t="str">
        <x:v>Acceleration</x:v>
      </x:c>
      <x:c r="G212" t="n">
        <x:v>1.16</x:v>
      </x:c>
      <x:c r="H212" t="str">
        <x:v>sec</x:v>
      </x:c>
      <x:c r="I212" t="str">
        <x:v>lower</x:v>
      </x:c>
    </x:row>
    <x:row r="213" ht="15.75" customHeight="1">
      <x:c r="A213" t="str">
        <x:v>RVX-00009</x:v>
      </x:c>
      <x:c r="B213" t="n">
        <x:v>4</x:v>
      </x:c>
      <x:c r="C213" s="15" t="n">
        <x:v>46230</x:v>
      </x:c>
      <x:c r="D213" t="str">
        <x:v>sprint_10m</x:v>
      </x:c>
      <x:c r="E213" t="str">
        <x:v>10m Sprint</x:v>
      </x:c>
      <x:c r="F213" t="str">
        <x:v>Acceleration</x:v>
      </x:c>
      <x:c r="G213" t="n">
        <x:v>2</x:v>
      </x:c>
      <x:c r="H213" t="str">
        <x:v>sec</x:v>
      </x:c>
      <x:c r="I213" t="str">
        <x:v>lower</x:v>
      </x:c>
    </x:row>
    <x:row r="214" ht="15.75" customHeight="1">
      <x:c r="A214" t="str">
        <x:v>RVX-00009</x:v>
      </x:c>
      <x:c r="B214" t="n">
        <x:v>4</x:v>
      </x:c>
      <x:c r="C214" s="15" t="n">
        <x:v>46230</x:v>
      </x:c>
      <x:c r="D214" t="str">
        <x:v>pro_agility</x:v>
      </x:c>
      <x:c r="E214" t="str">
        <x:v>5-10-5 Pro Agility</x:v>
      </x:c>
      <x:c r="F214" t="str">
        <x:v>Agility</x:v>
      </x:c>
      <x:c r="G214" t="n">
        <x:v>5.05</x:v>
      </x:c>
      <x:c r="H214" t="str">
        <x:v>sec</x:v>
      </x:c>
      <x:c r="I214" t="str">
        <x:v>lower</x:v>
      </x:c>
    </x:row>
    <x:row r="215" ht="15.75" customHeight="1">
      <x:c r="A215" t="str">
        <x:v>RVX-00009</x:v>
      </x:c>
      <x:c r="B215" t="n">
        <x:v>4</x:v>
      </x:c>
      <x:c r="C215" s="15" t="n">
        <x:v>46230</x:v>
      </x:c>
      <x:c r="D215" t="str">
        <x:v>cmj_depth</x:v>
      </x:c>
      <x:c r="E215" t="str">
        <x:v>Countermovement Depth</x:v>
      </x:c>
      <x:c r="F215" t="str">
        <x:v>Movement</x:v>
      </x:c>
      <x:c r="G215" t="n">
        <x:v>28</x:v>
      </x:c>
      <x:c r="H215" t="str">
        <x:v>cm</x:v>
      </x:c>
      <x:c r="I215" t="str">
        <x:v>higher</x:v>
      </x:c>
    </x:row>
    <x:row r="216" ht="15.75" customHeight="1">
      <x:c r="A216" t="str">
        <x:v>RVX-00009</x:v>
      </x:c>
      <x:c r="B216" t="n">
        <x:v>4</x:v>
      </x:c>
      <x:c r="C216" s="15" t="n">
        <x:v>46230</x:v>
      </x:c>
      <x:c r="D216" t="str">
        <x:v>peak_force</x:v>
      </x:c>
      <x:c r="E216" t="str">
        <x:v>Peak Force</x:v>
      </x:c>
      <x:c r="F216" t="str">
        <x:v>Strength &amp; Power</x:v>
      </x:c>
      <x:c r="G216" t="n">
        <x:v>1705</x:v>
      </x:c>
      <x:c r="H216" t="str">
        <x:v>N</x:v>
      </x:c>
      <x:c r="I216" t="str">
        <x:v>higher</x:v>
      </x:c>
    </x:row>
    <x:row r="217" ht="15.75" customHeight="1">
      <x:c r="A217" t="str">
        <x:v>RVX-00009</x:v>
      </x:c>
      <x:c r="B217" t="n">
        <x:v>4</x:v>
      </x:c>
      <x:c r="C217" s="15" t="n">
        <x:v>46230</x:v>
      </x:c>
      <x:c r="D217" t="str">
        <x:v>impulse</x:v>
      </x:c>
      <x:c r="E217" t="str">
        <x:v>Impulse-Momentum</x:v>
      </x:c>
      <x:c r="F217" t="str">
        <x:v>Strength &amp; Power</x:v>
      </x:c>
      <x:c r="G217" t="n">
        <x:v>204.5</x:v>
      </x:c>
      <x:c r="H217" t="str">
        <x:v>Ns</x:v>
      </x:c>
      <x:c r="I217" t="str">
        <x:v>higher</x:v>
      </x:c>
    </x:row>
    <x:row r="218" ht="15.75" customHeight="1">
      <x:c r="A218" t="str">
        <x:v>RVX-00010</x:v>
      </x:c>
      <x:c r="B218" t="n">
        <x:v>1</x:v>
      </x:c>
      <x:c r="C218" s="15" t="n">
        <x:v>46146</x:v>
      </x:c>
      <x:c r="D218" t="str">
        <x:v>sprint_5m</x:v>
      </x:c>
      <x:c r="E218" t="str">
        <x:v>5m Sprint</x:v>
      </x:c>
      <x:c r="F218" t="str">
        <x:v>Acceleration</x:v>
      </x:c>
      <x:c r="G218" t="n">
        <x:v>0.95</x:v>
      </x:c>
      <x:c r="H218" t="str">
        <x:v>sec</x:v>
      </x:c>
      <x:c r="I218" t="str">
        <x:v>lower</x:v>
      </x:c>
    </x:row>
    <x:row r="219" ht="15.75" customHeight="1">
      <x:c r="A219" t="str">
        <x:v>RVX-00010</x:v>
      </x:c>
      <x:c r="B219" t="n">
        <x:v>1</x:v>
      </x:c>
      <x:c r="C219" s="15" t="n">
        <x:v>46146</x:v>
      </x:c>
      <x:c r="D219" t="str">
        <x:v>sprint_10m</x:v>
      </x:c>
      <x:c r="E219" t="str">
        <x:v>10m Sprint</x:v>
      </x:c>
      <x:c r="F219" t="str">
        <x:v>Acceleration</x:v>
      </x:c>
      <x:c r="G219" t="n">
        <x:v>1.61</x:v>
      </x:c>
      <x:c r="H219" t="str">
        <x:v>sec</x:v>
      </x:c>
      <x:c r="I219" t="str">
        <x:v>lower</x:v>
      </x:c>
    </x:row>
    <x:row r="220" ht="15.75" customHeight="1">
      <x:c r="A220" t="str">
        <x:v>RVX-00010</x:v>
      </x:c>
      <x:c r="B220" t="n">
        <x:v>1</x:v>
      </x:c>
      <x:c r="C220" s="15" t="n">
        <x:v>46146</x:v>
      </x:c>
      <x:c r="D220" t="str">
        <x:v>pro_agility</x:v>
      </x:c>
      <x:c r="E220" t="str">
        <x:v>5-10-5 Pro Agility</x:v>
      </x:c>
      <x:c r="F220" t="str">
        <x:v>Agility</x:v>
      </x:c>
      <x:c r="G220" t="n">
        <x:v>4.06</x:v>
      </x:c>
      <x:c r="H220" t="str">
        <x:v>sec</x:v>
      </x:c>
      <x:c r="I220" t="str">
        <x:v>lower</x:v>
      </x:c>
    </x:row>
    <x:row r="221" ht="15.75" customHeight="1">
      <x:c r="A221" t="str">
        <x:v>RVX-00010</x:v>
      </x:c>
      <x:c r="B221" t="n">
        <x:v>1</x:v>
      </x:c>
      <x:c r="C221" s="15" t="n">
        <x:v>46146</x:v>
      </x:c>
      <x:c r="D221" t="str">
        <x:v>cmj_depth</x:v>
      </x:c>
      <x:c r="E221" t="str">
        <x:v>Countermovement Depth</x:v>
      </x:c>
      <x:c r="F221" t="str">
        <x:v>Movement</x:v>
      </x:c>
      <x:c r="G221" t="n">
        <x:v>36.1</x:v>
      </x:c>
      <x:c r="H221" t="str">
        <x:v>cm</x:v>
      </x:c>
      <x:c r="I221" t="str">
        <x:v>higher</x:v>
      </x:c>
    </x:row>
    <x:row r="222" ht="15.75" customHeight="1">
      <x:c r="A222" t="str">
        <x:v>RVX-00010</x:v>
      </x:c>
      <x:c r="B222" t="n">
        <x:v>1</x:v>
      </x:c>
      <x:c r="C222" s="15" t="n">
        <x:v>46146</x:v>
      </x:c>
      <x:c r="D222" t="str">
        <x:v>peak_force</x:v>
      </x:c>
      <x:c r="E222" t="str">
        <x:v>Peak Force</x:v>
      </x:c>
      <x:c r="F222" t="str">
        <x:v>Strength &amp; Power</x:v>
      </x:c>
      <x:c r="G222" t="n">
        <x:v>2099</x:v>
      </x:c>
      <x:c r="H222" t="str">
        <x:v>N</x:v>
      </x:c>
      <x:c r="I222" t="str">
        <x:v>higher</x:v>
      </x:c>
    </x:row>
    <x:row r="223" ht="15.75" customHeight="1">
      <x:c r="A223" t="str">
        <x:v>RVX-00010</x:v>
      </x:c>
      <x:c r="B223" t="n">
        <x:v>1</x:v>
      </x:c>
      <x:c r="C223" s="15" t="n">
        <x:v>46146</x:v>
      </x:c>
      <x:c r="D223" t="str">
        <x:v>impulse</x:v>
      </x:c>
      <x:c r="E223" t="str">
        <x:v>Impulse-Momentum</x:v>
      </x:c>
      <x:c r="F223" t="str">
        <x:v>Strength &amp; Power</x:v>
      </x:c>
      <x:c r="G223" t="n">
        <x:v>258.7</x:v>
      </x:c>
      <x:c r="H223" t="str">
        <x:v>Ns</x:v>
      </x:c>
      <x:c r="I223" t="str">
        <x:v>higher</x:v>
      </x:c>
    </x:row>
    <x:row r="224" ht="15.75" customHeight="1">
      <x:c r="A224" t="str">
        <x:v>RVX-00010</x:v>
      </x:c>
      <x:c r="B224" t="n">
        <x:v>2</x:v>
      </x:c>
      <x:c r="C224" s="15" t="n">
        <x:v>46174</x:v>
      </x:c>
      <x:c r="D224" t="str">
        <x:v>sprint_5m</x:v>
      </x:c>
      <x:c r="E224" t="str">
        <x:v>5m Sprint</x:v>
      </x:c>
      <x:c r="F224" t="str">
        <x:v>Acceleration</x:v>
      </x:c>
      <x:c r="G224" t="n">
        <x:v>0.95</x:v>
      </x:c>
      <x:c r="H224" t="str">
        <x:v>sec</x:v>
      </x:c>
      <x:c r="I224" t="str">
        <x:v>lower</x:v>
      </x:c>
    </x:row>
    <x:row r="225" ht="15.75" customHeight="1">
      <x:c r="A225" t="str">
        <x:v>RVX-00010</x:v>
      </x:c>
      <x:c r="B225" t="n">
        <x:v>2</x:v>
      </x:c>
      <x:c r="C225" s="15" t="n">
        <x:v>46174</x:v>
      </x:c>
      <x:c r="D225" t="str">
        <x:v>sprint_10m</x:v>
      </x:c>
      <x:c r="E225" t="str">
        <x:v>10m Sprint</x:v>
      </x:c>
      <x:c r="F225" t="str">
        <x:v>Acceleration</x:v>
      </x:c>
      <x:c r="G225" t="n">
        <x:v>1.62</x:v>
      </x:c>
      <x:c r="H225" t="str">
        <x:v>sec</x:v>
      </x:c>
      <x:c r="I225" t="str">
        <x:v>lower</x:v>
      </x:c>
    </x:row>
    <x:row r="226" ht="15.75" customHeight="1">
      <x:c r="A226" t="str">
        <x:v>RVX-00010</x:v>
      </x:c>
      <x:c r="B226" t="n">
        <x:v>2</x:v>
      </x:c>
      <x:c r="C226" s="15" t="n">
        <x:v>46174</x:v>
      </x:c>
      <x:c r="D226" t="str">
        <x:v>pro_agility</x:v>
      </x:c>
      <x:c r="E226" t="str">
        <x:v>5-10-5 Pro Agility</x:v>
      </x:c>
      <x:c r="F226" t="str">
        <x:v>Agility</x:v>
      </x:c>
      <x:c r="G226" t="n">
        <x:v>4.13</x:v>
      </x:c>
      <x:c r="H226" t="str">
        <x:v>sec</x:v>
      </x:c>
      <x:c r="I226" t="str">
        <x:v>lower</x:v>
      </x:c>
    </x:row>
    <x:row r="227" ht="15.75" customHeight="1">
      <x:c r="A227" t="str">
        <x:v>RVX-00010</x:v>
      </x:c>
      <x:c r="B227" t="n">
        <x:v>2</x:v>
      </x:c>
      <x:c r="C227" s="15" t="n">
        <x:v>46174</x:v>
      </x:c>
      <x:c r="D227" t="str">
        <x:v>cmj_depth</x:v>
      </x:c>
      <x:c r="E227" t="str">
        <x:v>Countermovement Depth</x:v>
      </x:c>
      <x:c r="F227" t="str">
        <x:v>Movement</x:v>
      </x:c>
      <x:c r="G227" t="n">
        <x:v>36.6</x:v>
      </x:c>
      <x:c r="H227" t="str">
        <x:v>cm</x:v>
      </x:c>
      <x:c r="I227" t="str">
        <x:v>higher</x:v>
      </x:c>
    </x:row>
    <x:row r="228" ht="15.75" customHeight="1">
      <x:c r="A228" t="str">
        <x:v>RVX-00010</x:v>
      </x:c>
      <x:c r="B228" t="n">
        <x:v>2</x:v>
      </x:c>
      <x:c r="C228" s="15" t="n">
        <x:v>46174</x:v>
      </x:c>
      <x:c r="D228" t="str">
        <x:v>peak_force</x:v>
      </x:c>
      <x:c r="E228" t="str">
        <x:v>Peak Force</x:v>
      </x:c>
      <x:c r="F228" t="str">
        <x:v>Strength &amp; Power</x:v>
      </x:c>
      <x:c r="G228" t="n">
        <x:v>2188</x:v>
      </x:c>
      <x:c r="H228" t="str">
        <x:v>N</x:v>
      </x:c>
      <x:c r="I228" t="str">
        <x:v>higher</x:v>
      </x:c>
    </x:row>
    <x:row r="229" ht="15.75" customHeight="1">
      <x:c r="A229" t="str">
        <x:v>RVX-00010</x:v>
      </x:c>
      <x:c r="B229" t="n">
        <x:v>2</x:v>
      </x:c>
      <x:c r="C229" s="15" t="n">
        <x:v>46174</x:v>
      </x:c>
      <x:c r="D229" t="str">
        <x:v>impulse</x:v>
      </x:c>
      <x:c r="E229" t="str">
        <x:v>Impulse-Momentum</x:v>
      </x:c>
      <x:c r="F229" t="str">
        <x:v>Strength &amp; Power</x:v>
      </x:c>
      <x:c r="G229" t="n">
        <x:v>266.9</x:v>
      </x:c>
      <x:c r="H229" t="str">
        <x:v>Ns</x:v>
      </x:c>
      <x:c r="I229" t="str">
        <x:v>higher</x:v>
      </x:c>
    </x:row>
    <x:row r="230" ht="15.75" customHeight="1">
      <x:c r="A230" t="str">
        <x:v>RVX-00010</x:v>
      </x:c>
      <x:c r="B230" t="n">
        <x:v>3</x:v>
      </x:c>
      <x:c r="C230" s="15" t="n">
        <x:v>46202</x:v>
      </x:c>
      <x:c r="D230" t="str">
        <x:v>sprint_5m</x:v>
      </x:c>
      <x:c r="E230" t="str">
        <x:v>5m Sprint</x:v>
      </x:c>
      <x:c r="F230" t="str">
        <x:v>Acceleration</x:v>
      </x:c>
      <x:c r="G230" t="n">
        <x:v>0.94</x:v>
      </x:c>
      <x:c r="H230" t="str">
        <x:v>sec</x:v>
      </x:c>
      <x:c r="I230" t="str">
        <x:v>lower</x:v>
      </x:c>
    </x:row>
    <x:row r="231" ht="15.75" customHeight="1">
      <x:c r="A231" t="str">
        <x:v>RVX-00010</x:v>
      </x:c>
      <x:c r="B231" t="n">
        <x:v>3</x:v>
      </x:c>
      <x:c r="C231" s="15" t="n">
        <x:v>46202</x:v>
      </x:c>
      <x:c r="D231" t="str">
        <x:v>sprint_10m</x:v>
      </x:c>
      <x:c r="E231" t="str">
        <x:v>10m Sprint</x:v>
      </x:c>
      <x:c r="F231" t="str">
        <x:v>Acceleration</x:v>
      </x:c>
      <x:c r="G231" t="n">
        <x:v>1.56</x:v>
      </x:c>
      <x:c r="H231" t="str">
        <x:v>sec</x:v>
      </x:c>
      <x:c r="I231" t="str">
        <x:v>lower</x:v>
      </x:c>
    </x:row>
    <x:row r="232" ht="15.75" customHeight="1">
      <x:c r="A232" t="str">
        <x:v>RVX-00010</x:v>
      </x:c>
      <x:c r="B232" t="n">
        <x:v>3</x:v>
      </x:c>
      <x:c r="C232" s="15" t="n">
        <x:v>46202</x:v>
      </x:c>
      <x:c r="D232" t="str">
        <x:v>pro_agility</x:v>
      </x:c>
      <x:c r="E232" t="str">
        <x:v>5-10-5 Pro Agility</x:v>
      </x:c>
      <x:c r="F232" t="str">
        <x:v>Agility</x:v>
      </x:c>
      <x:c r="G232" t="n">
        <x:v>4.09</x:v>
      </x:c>
      <x:c r="H232" t="str">
        <x:v>sec</x:v>
      </x:c>
      <x:c r="I232" t="str">
        <x:v>lower</x:v>
      </x:c>
    </x:row>
    <x:row r="233" ht="15.75" customHeight="1">
      <x:c r="A233" t="str">
        <x:v>RVX-00010</x:v>
      </x:c>
      <x:c r="B233" t="n">
        <x:v>3</x:v>
      </x:c>
      <x:c r="C233" s="15" t="n">
        <x:v>46202</x:v>
      </x:c>
      <x:c r="D233" t="str">
        <x:v>cmj_depth</x:v>
      </x:c>
      <x:c r="E233" t="str">
        <x:v>Countermovement Depth</x:v>
      </x:c>
      <x:c r="F233" t="str">
        <x:v>Movement</x:v>
      </x:c>
      <x:c r="G233" t="n">
        <x:v>37.8</x:v>
      </x:c>
      <x:c r="H233" t="str">
        <x:v>cm</x:v>
      </x:c>
      <x:c r="I233" t="str">
        <x:v>higher</x:v>
      </x:c>
    </x:row>
    <x:row r="234" ht="15.75" customHeight="1">
      <x:c r="A234" t="str">
        <x:v>RVX-00010</x:v>
      </x:c>
      <x:c r="B234" t="n">
        <x:v>3</x:v>
      </x:c>
      <x:c r="C234" s="15" t="n">
        <x:v>46202</x:v>
      </x:c>
      <x:c r="D234" t="str">
        <x:v>peak_force</x:v>
      </x:c>
      <x:c r="E234" t="str">
        <x:v>Peak Force</x:v>
      </x:c>
      <x:c r="F234" t="str">
        <x:v>Strength &amp; Power</x:v>
      </x:c>
      <x:c r="G234" t="n">
        <x:v>2154</x:v>
      </x:c>
      <x:c r="H234" t="str">
        <x:v>N</x:v>
      </x:c>
      <x:c r="I234" t="str">
        <x:v>higher</x:v>
      </x:c>
    </x:row>
    <x:row r="235" ht="15.75" customHeight="1">
      <x:c r="A235" t="str">
        <x:v>RVX-00010</x:v>
      </x:c>
      <x:c r="B235" t="n">
        <x:v>3</x:v>
      </x:c>
      <x:c r="C235" s="15" t="n">
        <x:v>46202</x:v>
      </x:c>
      <x:c r="D235" t="str">
        <x:v>impulse</x:v>
      </x:c>
      <x:c r="E235" t="str">
        <x:v>Impulse-Momentum</x:v>
      </x:c>
      <x:c r="F235" t="str">
        <x:v>Strength &amp; Power</x:v>
      </x:c>
      <x:c r="G235" t="n">
        <x:v>266.7</x:v>
      </x:c>
      <x:c r="H235" t="str">
        <x:v>Ns</x:v>
      </x:c>
      <x:c r="I235" t="str">
        <x:v>higher</x:v>
      </x:c>
    </x:row>
    <x:row r="236" ht="15.75" customHeight="1">
      <x:c r="A236" t="str">
        <x:v>RVX-00010</x:v>
      </x:c>
      <x:c r="B236" t="n">
        <x:v>4</x:v>
      </x:c>
      <x:c r="C236" s="15" t="n">
        <x:v>46230</x:v>
      </x:c>
      <x:c r="D236" t="str">
        <x:v>sprint_5m</x:v>
      </x:c>
      <x:c r="E236" t="str">
        <x:v>5m Sprint</x:v>
      </x:c>
      <x:c r="F236" t="str">
        <x:v>Acceleration</x:v>
      </x:c>
      <x:c r="G236" t="n">
        <x:v>0.89</x:v>
      </x:c>
      <x:c r="H236" t="str">
        <x:v>sec</x:v>
      </x:c>
      <x:c r="I236" t="str">
        <x:v>lower</x:v>
      </x:c>
    </x:row>
    <x:row r="237" ht="15.75" customHeight="1">
      <x:c r="A237" t="str">
        <x:v>RVX-00010</x:v>
      </x:c>
      <x:c r="B237" t="n">
        <x:v>4</x:v>
      </x:c>
      <x:c r="C237" s="15" t="n">
        <x:v>46230</x:v>
      </x:c>
      <x:c r="D237" t="str">
        <x:v>sprint_10m</x:v>
      </x:c>
      <x:c r="E237" t="str">
        <x:v>10m Sprint</x:v>
      </x:c>
      <x:c r="F237" t="str">
        <x:v>Acceleration</x:v>
      </x:c>
      <x:c r="G237" t="n">
        <x:v>1.52</x:v>
      </x:c>
      <x:c r="H237" t="str">
        <x:v>sec</x:v>
      </x:c>
      <x:c r="I237" t="str">
        <x:v>lower</x:v>
      </x:c>
    </x:row>
    <x:row r="238" ht="15.75" customHeight="1">
      <x:c r="A238" t="str">
        <x:v>RVX-00010</x:v>
      </x:c>
      <x:c r="B238" t="n">
        <x:v>4</x:v>
      </x:c>
      <x:c r="C238" s="15" t="n">
        <x:v>46230</x:v>
      </x:c>
      <x:c r="D238" t="str">
        <x:v>pro_agility</x:v>
      </x:c>
      <x:c r="E238" t="str">
        <x:v>5-10-5 Pro Agility</x:v>
      </x:c>
      <x:c r="F238" t="str">
        <x:v>Agility</x:v>
      </x:c>
      <x:c r="G238" t="n">
        <x:v>3.88</x:v>
      </x:c>
      <x:c r="H238" t="str">
        <x:v>sec</x:v>
      </x:c>
      <x:c r="I238" t="str">
        <x:v>lower</x:v>
      </x:c>
    </x:row>
    <x:row r="239" ht="15.75" customHeight="1">
      <x:c r="A239" t="str">
        <x:v>RVX-00010</x:v>
      </x:c>
      <x:c r="B239" t="n">
        <x:v>4</x:v>
      </x:c>
      <x:c r="C239" s="15" t="n">
        <x:v>46230</x:v>
      </x:c>
      <x:c r="D239" t="str">
        <x:v>cmj_depth</x:v>
      </x:c>
      <x:c r="E239" t="str">
        <x:v>Countermovement Depth</x:v>
      </x:c>
      <x:c r="F239" t="str">
        <x:v>Movement</x:v>
      </x:c>
      <x:c r="G239" t="n">
        <x:v>37.5</x:v>
      </x:c>
      <x:c r="H239" t="str">
        <x:v>cm</x:v>
      </x:c>
      <x:c r="I239" t="str">
        <x:v>higher</x:v>
      </x:c>
    </x:row>
    <x:row r="240" ht="15.75" customHeight="1">
      <x:c r="A240" t="str">
        <x:v>RVX-00010</x:v>
      </x:c>
      <x:c r="B240" t="n">
        <x:v>4</x:v>
      </x:c>
      <x:c r="C240" s="15" t="n">
        <x:v>46230</x:v>
      </x:c>
      <x:c r="D240" t="str">
        <x:v>peak_force</x:v>
      </x:c>
      <x:c r="E240" t="str">
        <x:v>Peak Force</x:v>
      </x:c>
      <x:c r="F240" t="str">
        <x:v>Strength &amp; Power</x:v>
      </x:c>
      <x:c r="G240" t="n">
        <x:v>2245</x:v>
      </x:c>
      <x:c r="H240" t="str">
        <x:v>N</x:v>
      </x:c>
      <x:c r="I240" t="str">
        <x:v>higher</x:v>
      </x:c>
    </x:row>
    <x:row r="241" ht="15.75" customHeight="1">
      <x:c r="A241" t="str">
        <x:v>RVX-00010</x:v>
      </x:c>
      <x:c r="B241" t="n">
        <x:v>4</x:v>
      </x:c>
      <x:c r="C241" s="15" t="n">
        <x:v>46230</x:v>
      </x:c>
      <x:c r="D241" t="str">
        <x:v>impulse</x:v>
      </x:c>
      <x:c r="E241" t="str">
        <x:v>Impulse-Momentum</x:v>
      </x:c>
      <x:c r="F241" t="str">
        <x:v>Strength &amp; Power</x:v>
      </x:c>
      <x:c r="G241" t="n">
        <x:v>278.7</x:v>
      </x:c>
      <x:c r="H241" t="str">
        <x:v>Ns</x:v>
      </x:c>
      <x:c r="I241" t="str">
        <x:v>higher</x:v>
      </x:c>
    </x:row>
    <x:row r="242" ht="15.75" customHeight="1">
      <x:c r="A242" t="str">
        <x:v>RVX-00011</x:v>
      </x:c>
      <x:c r="B242" t="n">
        <x:v>1</x:v>
      </x:c>
      <x:c r="C242" s="15" t="n">
        <x:v>46146</x:v>
      </x:c>
      <x:c r="D242" t="str">
        <x:v>sprint_5m</x:v>
      </x:c>
      <x:c r="E242" t="str">
        <x:v>5m Sprint</x:v>
      </x:c>
      <x:c r="F242" t="str">
        <x:v>Acceleration</x:v>
      </x:c>
      <x:c r="G242" t="n">
        <x:v>1.12</x:v>
      </x:c>
      <x:c r="H242" t="str">
        <x:v>sec</x:v>
      </x:c>
      <x:c r="I242" t="str">
        <x:v>lower</x:v>
      </x:c>
    </x:row>
    <x:row r="243" ht="15.75" customHeight="1">
      <x:c r="A243" t="str">
        <x:v>RVX-00011</x:v>
      </x:c>
      <x:c r="B243" t="n">
        <x:v>1</x:v>
      </x:c>
      <x:c r="C243" s="15" t="n">
        <x:v>46146</x:v>
      </x:c>
      <x:c r="D243" t="str">
        <x:v>sprint_10m</x:v>
      </x:c>
      <x:c r="E243" t="str">
        <x:v>10m Sprint</x:v>
      </x:c>
      <x:c r="F243" t="str">
        <x:v>Acceleration</x:v>
      </x:c>
      <x:c r="G243" t="n">
        <x:v>1.83</x:v>
      </x:c>
      <x:c r="H243" t="str">
        <x:v>sec</x:v>
      </x:c>
      <x:c r="I243" t="str">
        <x:v>lower</x:v>
      </x:c>
    </x:row>
    <x:row r="244" ht="15.75" customHeight="1">
      <x:c r="A244" t="str">
        <x:v>RVX-00011</x:v>
      </x:c>
      <x:c r="B244" t="n">
        <x:v>1</x:v>
      </x:c>
      <x:c r="C244" s="15" t="n">
        <x:v>46146</x:v>
      </x:c>
      <x:c r="D244" t="str">
        <x:v>pro_agility</x:v>
      </x:c>
      <x:c r="E244" t="str">
        <x:v>5-10-5 Pro Agility</x:v>
      </x:c>
      <x:c r="F244" t="str">
        <x:v>Agility</x:v>
      </x:c>
      <x:c r="G244" t="n">
        <x:v>4.78</x:v>
      </x:c>
      <x:c r="H244" t="str">
        <x:v>sec</x:v>
      </x:c>
      <x:c r="I244" t="str">
        <x:v>lower</x:v>
      </x:c>
    </x:row>
    <x:row r="245" ht="15.75" customHeight="1">
      <x:c r="A245" t="str">
        <x:v>RVX-00011</x:v>
      </x:c>
      <x:c r="B245" t="n">
        <x:v>1</x:v>
      </x:c>
      <x:c r="C245" s="15" t="n">
        <x:v>46146</x:v>
      </x:c>
      <x:c r="D245" t="str">
        <x:v>cmj_depth</x:v>
      </x:c>
      <x:c r="E245" t="str">
        <x:v>Countermovement Depth</x:v>
      </x:c>
      <x:c r="F245" t="str">
        <x:v>Movement</x:v>
      </x:c>
      <x:c r="G245" t="n">
        <x:v>30.4</x:v>
      </x:c>
      <x:c r="H245" t="str">
        <x:v>cm</x:v>
      </x:c>
      <x:c r="I245" t="str">
        <x:v>higher</x:v>
      </x:c>
    </x:row>
    <x:row r="246" ht="15.75" customHeight="1">
      <x:c r="A246" t="str">
        <x:v>RVX-00011</x:v>
      </x:c>
      <x:c r="B246" t="n">
        <x:v>1</x:v>
      </x:c>
      <x:c r="C246" s="15" t="n">
        <x:v>46146</x:v>
      </x:c>
      <x:c r="D246" t="str">
        <x:v>peak_force</x:v>
      </x:c>
      <x:c r="E246" t="str">
        <x:v>Peak Force</x:v>
      </x:c>
      <x:c r="F246" t="str">
        <x:v>Strength &amp; Power</x:v>
      </x:c>
      <x:c r="G246" t="n">
        <x:v>1714</x:v>
      </x:c>
      <x:c r="H246" t="str">
        <x:v>N</x:v>
      </x:c>
      <x:c r="I246" t="str">
        <x:v>higher</x:v>
      </x:c>
    </x:row>
    <x:row r="247" ht="15.75" customHeight="1">
      <x:c r="A247" t="str">
        <x:v>RVX-00011</x:v>
      </x:c>
      <x:c r="B247" t="n">
        <x:v>1</x:v>
      </x:c>
      <x:c r="C247" s="15" t="n">
        <x:v>46146</x:v>
      </x:c>
      <x:c r="D247" t="str">
        <x:v>impulse</x:v>
      </x:c>
      <x:c r="E247" t="str">
        <x:v>Impulse-Momentum</x:v>
      </x:c>
      <x:c r="F247" t="str">
        <x:v>Strength &amp; Power</x:v>
      </x:c>
      <x:c r="G247" t="n">
        <x:v>214.3</x:v>
      </x:c>
      <x:c r="H247" t="str">
        <x:v>Ns</x:v>
      </x:c>
      <x:c r="I247" t="str">
        <x:v>higher</x:v>
      </x:c>
    </x:row>
    <x:row r="248" ht="15.75" customHeight="1">
      <x:c r="A248" t="str">
        <x:v>RVX-00011</x:v>
      </x:c>
      <x:c r="B248" t="n">
        <x:v>2</x:v>
      </x:c>
      <x:c r="C248" s="15" t="n">
        <x:v>46174</x:v>
      </x:c>
      <x:c r="D248" t="str">
        <x:v>sprint_5m</x:v>
      </x:c>
      <x:c r="E248" t="str">
        <x:v>5m Sprint</x:v>
      </x:c>
      <x:c r="F248" t="str">
        <x:v>Acceleration</x:v>
      </x:c>
      <x:c r="G248" t="n">
        <x:v>1.12</x:v>
      </x:c>
      <x:c r="H248" t="str">
        <x:v>sec</x:v>
      </x:c>
      <x:c r="I248" t="str">
        <x:v>lower</x:v>
      </x:c>
    </x:row>
    <x:row r="249" ht="15.75" customHeight="1">
      <x:c r="A249" t="str">
        <x:v>RVX-00011</x:v>
      </x:c>
      <x:c r="B249" t="n">
        <x:v>2</x:v>
      </x:c>
      <x:c r="C249" s="15" t="n">
        <x:v>46174</x:v>
      </x:c>
      <x:c r="D249" t="str">
        <x:v>sprint_10m</x:v>
      </x:c>
      <x:c r="E249" t="str">
        <x:v>10m Sprint</x:v>
      </x:c>
      <x:c r="F249" t="str">
        <x:v>Acceleration</x:v>
      </x:c>
      <x:c r="G249" t="n">
        <x:v>1.81</x:v>
      </x:c>
      <x:c r="H249" t="str">
        <x:v>sec</x:v>
      </x:c>
      <x:c r="I249" t="str">
        <x:v>lower</x:v>
      </x:c>
    </x:row>
    <x:row r="250" ht="15.75" customHeight="1">
      <x:c r="A250" t="str">
        <x:v>RVX-00011</x:v>
      </x:c>
      <x:c r="B250" t="n">
        <x:v>2</x:v>
      </x:c>
      <x:c r="C250" s="15" t="n">
        <x:v>46174</x:v>
      </x:c>
      <x:c r="D250" t="str">
        <x:v>pro_agility</x:v>
      </x:c>
      <x:c r="E250" t="str">
        <x:v>5-10-5 Pro Agility</x:v>
      </x:c>
      <x:c r="F250" t="str">
        <x:v>Agility</x:v>
      </x:c>
      <x:c r="G250" t="n">
        <x:v>4.82</x:v>
      </x:c>
      <x:c r="H250" t="str">
        <x:v>sec</x:v>
      </x:c>
      <x:c r="I250" t="str">
        <x:v>lower</x:v>
      </x:c>
    </x:row>
    <x:row r="251" ht="15.75" customHeight="1">
      <x:c r="A251" t="str">
        <x:v>RVX-00011</x:v>
      </x:c>
      <x:c r="B251" t="n">
        <x:v>2</x:v>
      </x:c>
      <x:c r="C251" s="15" t="n">
        <x:v>46174</x:v>
      </x:c>
      <x:c r="D251" t="str">
        <x:v>cmj_depth</x:v>
      </x:c>
      <x:c r="E251" t="str">
        <x:v>Countermovement Depth</x:v>
      </x:c>
      <x:c r="F251" t="str">
        <x:v>Movement</x:v>
      </x:c>
      <x:c r="G251" t="n">
        <x:v>30.3</x:v>
      </x:c>
      <x:c r="H251" t="str">
        <x:v>cm</x:v>
      </x:c>
      <x:c r="I251" t="str">
        <x:v>higher</x:v>
      </x:c>
    </x:row>
    <x:row r="252" ht="15.75" customHeight="1">
      <x:c r="A252" t="str">
        <x:v>RVX-00011</x:v>
      </x:c>
      <x:c r="B252" t="n">
        <x:v>2</x:v>
      </x:c>
      <x:c r="C252" s="15" t="n">
        <x:v>46174</x:v>
      </x:c>
      <x:c r="D252" t="str">
        <x:v>peak_force</x:v>
      </x:c>
      <x:c r="E252" t="str">
        <x:v>Peak Force</x:v>
      </x:c>
      <x:c r="F252" t="str">
        <x:v>Strength &amp; Power</x:v>
      </x:c>
      <x:c r="G252" t="n">
        <x:v>1764</x:v>
      </x:c>
      <x:c r="H252" t="str">
        <x:v>N</x:v>
      </x:c>
      <x:c r="I252" t="str">
        <x:v>higher</x:v>
      </x:c>
    </x:row>
    <x:row r="253" ht="15.75" customHeight="1">
      <x:c r="A253" t="str">
        <x:v>RVX-00011</x:v>
      </x:c>
      <x:c r="B253" t="n">
        <x:v>2</x:v>
      </x:c>
      <x:c r="C253" s="15" t="n">
        <x:v>46174</x:v>
      </x:c>
      <x:c r="D253" t="str">
        <x:v>impulse</x:v>
      </x:c>
      <x:c r="E253" t="str">
        <x:v>Impulse-Momentum</x:v>
      </x:c>
      <x:c r="F253" t="str">
        <x:v>Strength &amp; Power</x:v>
      </x:c>
      <x:c r="G253" t="n">
        <x:v>220.1</x:v>
      </x:c>
      <x:c r="H253" t="str">
        <x:v>Ns</x:v>
      </x:c>
      <x:c r="I253" t="str">
        <x:v>higher</x:v>
      </x:c>
    </x:row>
    <x:row r="254" ht="15.75" customHeight="1">
      <x:c r="A254" t="str">
        <x:v>RVX-00011</x:v>
      </x:c>
      <x:c r="B254" t="n">
        <x:v>3</x:v>
      </x:c>
      <x:c r="C254" s="15" t="n">
        <x:v>46202</x:v>
      </x:c>
      <x:c r="D254" t="str">
        <x:v>sprint_5m</x:v>
      </x:c>
      <x:c r="E254" t="str">
        <x:v>5m Sprint</x:v>
      </x:c>
      <x:c r="F254" t="str">
        <x:v>Acceleration</x:v>
      </x:c>
      <x:c r="G254" t="n">
        <x:v>1.06</x:v>
      </x:c>
      <x:c r="H254" t="str">
        <x:v>sec</x:v>
      </x:c>
      <x:c r="I254" t="str">
        <x:v>lower</x:v>
      </x:c>
    </x:row>
    <x:row r="255" ht="15.75" customHeight="1">
      <x:c r="A255" t="str">
        <x:v>RVX-00011</x:v>
      </x:c>
      <x:c r="B255" t="n">
        <x:v>3</x:v>
      </x:c>
      <x:c r="C255" s="15" t="n">
        <x:v>46202</x:v>
      </x:c>
      <x:c r="D255" t="str">
        <x:v>sprint_10m</x:v>
      </x:c>
      <x:c r="E255" t="str">
        <x:v>10m Sprint</x:v>
      </x:c>
      <x:c r="F255" t="str">
        <x:v>Acceleration</x:v>
      </x:c>
      <x:c r="G255" t="n">
        <x:v>1.78</x:v>
      </x:c>
      <x:c r="H255" t="str">
        <x:v>sec</x:v>
      </x:c>
      <x:c r="I255" t="str">
        <x:v>lower</x:v>
      </x:c>
    </x:row>
    <x:row r="256" ht="15.75" customHeight="1">
      <x:c r="A256" t="str">
        <x:v>RVX-00011</x:v>
      </x:c>
      <x:c r="B256" t="n">
        <x:v>3</x:v>
      </x:c>
      <x:c r="C256" s="15" t="n">
        <x:v>46202</x:v>
      </x:c>
      <x:c r="D256" t="str">
        <x:v>pro_agility</x:v>
      </x:c>
      <x:c r="E256" t="str">
        <x:v>5-10-5 Pro Agility</x:v>
      </x:c>
      <x:c r="F256" t="str">
        <x:v>Agility</x:v>
      </x:c>
      <x:c r="G256" t="n">
        <x:v>4.71</x:v>
      </x:c>
      <x:c r="H256" t="str">
        <x:v>sec</x:v>
      </x:c>
      <x:c r="I256" t="str">
        <x:v>lower</x:v>
      </x:c>
    </x:row>
    <x:row r="257" ht="15.75" customHeight="1">
      <x:c r="A257" t="str">
        <x:v>RVX-00011</x:v>
      </x:c>
      <x:c r="B257" t="n">
        <x:v>3</x:v>
      </x:c>
      <x:c r="C257" s="15" t="n">
        <x:v>46202</x:v>
      </x:c>
      <x:c r="D257" t="str">
        <x:v>cmj_depth</x:v>
      </x:c>
      <x:c r="E257" t="str">
        <x:v>Countermovement Depth</x:v>
      </x:c>
      <x:c r="F257" t="str">
        <x:v>Movement</x:v>
      </x:c>
      <x:c r="G257" t="n">
        <x:v>30.9</x:v>
      </x:c>
      <x:c r="H257" t="str">
        <x:v>cm</x:v>
      </x:c>
      <x:c r="I257" t="str">
        <x:v>higher</x:v>
      </x:c>
    </x:row>
    <x:row r="258" ht="15.75" customHeight="1">
      <x:c r="A258" t="str">
        <x:v>RVX-00011</x:v>
      </x:c>
      <x:c r="B258" t="n">
        <x:v>3</x:v>
      </x:c>
      <x:c r="C258" s="15" t="n">
        <x:v>46202</x:v>
      </x:c>
      <x:c r="D258" t="str">
        <x:v>peak_force</x:v>
      </x:c>
      <x:c r="E258" t="str">
        <x:v>Peak Force</x:v>
      </x:c>
      <x:c r="F258" t="str">
        <x:v>Strength &amp; Power</x:v>
      </x:c>
      <x:c r="G258" t="n">
        <x:v>1774</x:v>
      </x:c>
      <x:c r="H258" t="str">
        <x:v>N</x:v>
      </x:c>
      <x:c r="I258" t="str">
        <x:v>higher</x:v>
      </x:c>
    </x:row>
    <x:row r="259" ht="15.75" customHeight="1">
      <x:c r="A259" t="str">
        <x:v>RVX-00011</x:v>
      </x:c>
      <x:c r="B259" t="n">
        <x:v>3</x:v>
      </x:c>
      <x:c r="C259" s="15" t="n">
        <x:v>46202</x:v>
      </x:c>
      <x:c r="D259" t="str">
        <x:v>impulse</x:v>
      </x:c>
      <x:c r="E259" t="str">
        <x:v>Impulse-Momentum</x:v>
      </x:c>
      <x:c r="F259" t="str">
        <x:v>Strength &amp; Power</x:v>
      </x:c>
      <x:c r="G259" t="n">
        <x:v>225.8</x:v>
      </x:c>
      <x:c r="H259" t="str">
        <x:v>Ns</x:v>
      </x:c>
      <x:c r="I259" t="str">
        <x:v>higher</x:v>
      </x:c>
    </x:row>
    <x:row r="260" ht="15.75" customHeight="1">
      <x:c r="A260" t="str">
        <x:v>RVX-00011</x:v>
      </x:c>
      <x:c r="B260" t="n">
        <x:v>4</x:v>
      </x:c>
      <x:c r="C260" s="15" t="n">
        <x:v>46230</x:v>
      </x:c>
      <x:c r="D260" t="str">
        <x:v>sprint_5m</x:v>
      </x:c>
      <x:c r="E260" t="str">
        <x:v>5m Sprint</x:v>
      </x:c>
      <x:c r="F260" t="str">
        <x:v>Acceleration</x:v>
      </x:c>
      <x:c r="G260" t="n">
        <x:v>1.08</x:v>
      </x:c>
      <x:c r="H260" t="str">
        <x:v>sec</x:v>
      </x:c>
      <x:c r="I260" t="str">
        <x:v>lower</x:v>
      </x:c>
    </x:row>
    <x:row r="261" ht="15.75" customHeight="1">
      <x:c r="A261" t="str">
        <x:v>RVX-00011</x:v>
      </x:c>
      <x:c r="B261" t="n">
        <x:v>4</x:v>
      </x:c>
      <x:c r="C261" s="15" t="n">
        <x:v>46230</x:v>
      </x:c>
      <x:c r="D261" t="str">
        <x:v>sprint_10m</x:v>
      </x:c>
      <x:c r="E261" t="str">
        <x:v>10m Sprint</x:v>
      </x:c>
      <x:c r="F261" t="str">
        <x:v>Acceleration</x:v>
      </x:c>
      <x:c r="G261" t="n">
        <x:v>1.81</x:v>
      </x:c>
      <x:c r="H261" t="str">
        <x:v>sec</x:v>
      </x:c>
      <x:c r="I261" t="str">
        <x:v>lower</x:v>
      </x:c>
    </x:row>
    <x:row r="262" ht="15.75" customHeight="1">
      <x:c r="A262" t="str">
        <x:v>RVX-00011</x:v>
      </x:c>
      <x:c r="B262" t="n">
        <x:v>4</x:v>
      </x:c>
      <x:c r="C262" s="15" t="n">
        <x:v>46230</x:v>
      </x:c>
      <x:c r="D262" t="str">
        <x:v>pro_agility</x:v>
      </x:c>
      <x:c r="E262" t="str">
        <x:v>5-10-5 Pro Agility</x:v>
      </x:c>
      <x:c r="F262" t="str">
        <x:v>Agility</x:v>
      </x:c>
      <x:c r="G262" t="n">
        <x:v>4.48</x:v>
      </x:c>
      <x:c r="H262" t="str">
        <x:v>sec</x:v>
      </x:c>
      <x:c r="I262" t="str">
        <x:v>lower</x:v>
      </x:c>
    </x:row>
    <x:row r="263" ht="15.75" customHeight="1">
      <x:c r="A263" t="str">
        <x:v>RVX-00011</x:v>
      </x:c>
      <x:c r="B263" t="n">
        <x:v>4</x:v>
      </x:c>
      <x:c r="C263" s="15" t="n">
        <x:v>46230</x:v>
      </x:c>
      <x:c r="D263" t="str">
        <x:v>cmj_depth</x:v>
      </x:c>
      <x:c r="E263" t="str">
        <x:v>Countermovement Depth</x:v>
      </x:c>
      <x:c r="F263" t="str">
        <x:v>Movement</x:v>
      </x:c>
      <x:c r="G263" t="n">
        <x:v>31.7</x:v>
      </x:c>
      <x:c r="H263" t="str">
        <x:v>cm</x:v>
      </x:c>
      <x:c r="I263" t="str">
        <x:v>higher</x:v>
      </x:c>
    </x:row>
    <x:row r="264" ht="15.75" customHeight="1">
      <x:c r="A264" t="str">
        <x:v>RVX-00011</x:v>
      </x:c>
      <x:c r="B264" t="n">
        <x:v>4</x:v>
      </x:c>
      <x:c r="C264" s="15" t="n">
        <x:v>46230</x:v>
      </x:c>
      <x:c r="D264" t="str">
        <x:v>peak_force</x:v>
      </x:c>
      <x:c r="E264" t="str">
        <x:v>Peak Force</x:v>
      </x:c>
      <x:c r="F264" t="str">
        <x:v>Strength &amp; Power</x:v>
      </x:c>
      <x:c r="G264" t="n">
        <x:v>1838</x:v>
      </x:c>
      <x:c r="H264" t="str">
        <x:v>N</x:v>
      </x:c>
      <x:c r="I264" t="str">
        <x:v>higher</x:v>
      </x:c>
    </x:row>
    <x:row r="265" ht="15.75" customHeight="1">
      <x:c r="A265" t="str">
        <x:v>RVX-00011</x:v>
      </x:c>
      <x:c r="B265" t="n">
        <x:v>4</x:v>
      </x:c>
      <x:c r="C265" s="15" t="n">
        <x:v>46230</x:v>
      </x:c>
      <x:c r="D265" t="str">
        <x:v>impulse</x:v>
      </x:c>
      <x:c r="E265" t="str">
        <x:v>Impulse-Momentum</x:v>
      </x:c>
      <x:c r="F265" t="str">
        <x:v>Strength &amp; Power</x:v>
      </x:c>
      <x:c r="G265" t="n">
        <x:v>226.9</x:v>
      </x:c>
      <x:c r="H265" t="str">
        <x:v>Ns</x:v>
      </x:c>
      <x:c r="I265" t="str">
        <x:v>higher</x:v>
      </x:c>
    </x:row>
    <x:row r="266" ht="15.75" customHeight="1">
      <x:c r="A266" t="str">
        <x:v>RVX-00012</x:v>
      </x:c>
      <x:c r="B266" t="n">
        <x:v>1</x:v>
      </x:c>
      <x:c r="C266" s="15" t="n">
        <x:v>46146</x:v>
      </x:c>
      <x:c r="D266" t="str">
        <x:v>sprint_5m</x:v>
      </x:c>
      <x:c r="E266" t="str">
        <x:v>5m Sprint</x:v>
      </x:c>
      <x:c r="F266" t="str">
        <x:v>Acceleration</x:v>
      </x:c>
      <x:c r="G266" t="n">
        <x:v>1.18</x:v>
      </x:c>
      <x:c r="H266" t="str">
        <x:v>sec</x:v>
      </x:c>
      <x:c r="I266" t="str">
        <x:v>lower</x:v>
      </x:c>
    </x:row>
    <x:row r="267" ht="15.75" customHeight="1">
      <x:c r="A267" t="str">
        <x:v>RVX-00012</x:v>
      </x:c>
      <x:c r="B267" t="n">
        <x:v>1</x:v>
      </x:c>
      <x:c r="C267" s="15" t="n">
        <x:v>46146</x:v>
      </x:c>
      <x:c r="D267" t="str">
        <x:v>sprint_10m</x:v>
      </x:c>
      <x:c r="E267" t="str">
        <x:v>10m Sprint</x:v>
      </x:c>
      <x:c r="F267" t="str">
        <x:v>Acceleration</x:v>
      </x:c>
      <x:c r="G267" t="n">
        <x:v>2</x:v>
      </x:c>
      <x:c r="H267" t="str">
        <x:v>sec</x:v>
      </x:c>
      <x:c r="I267" t="str">
        <x:v>lower</x:v>
      </x:c>
    </x:row>
    <x:row r="268" ht="15.75" customHeight="1">
      <x:c r="A268" t="str">
        <x:v>RVX-00012</x:v>
      </x:c>
      <x:c r="B268" t="n">
        <x:v>1</x:v>
      </x:c>
      <x:c r="C268" s="15" t="n">
        <x:v>46146</x:v>
      </x:c>
      <x:c r="D268" t="str">
        <x:v>pro_agility</x:v>
      </x:c>
      <x:c r="E268" t="str">
        <x:v>5-10-5 Pro Agility</x:v>
      </x:c>
      <x:c r="F268" t="str">
        <x:v>Agility</x:v>
      </x:c>
      <x:c r="G268" t="n">
        <x:v>5.12</x:v>
      </x:c>
      <x:c r="H268" t="str">
        <x:v>sec</x:v>
      </x:c>
      <x:c r="I268" t="str">
        <x:v>lower</x:v>
      </x:c>
    </x:row>
    <x:row r="269" ht="15.75" customHeight="1">
      <x:c r="A269" t="str">
        <x:v>RVX-00012</x:v>
      </x:c>
      <x:c r="B269" t="n">
        <x:v>1</x:v>
      </x:c>
      <x:c r="C269" s="15" t="n">
        <x:v>46146</x:v>
      </x:c>
      <x:c r="D269" t="str">
        <x:v>cmj_depth</x:v>
      </x:c>
      <x:c r="E269" t="str">
        <x:v>Countermovement Depth</x:v>
      </x:c>
      <x:c r="F269" t="str">
        <x:v>Movement</x:v>
      </x:c>
      <x:c r="G269" t="n">
        <x:v>29.1</x:v>
      </x:c>
      <x:c r="H269" t="str">
        <x:v>cm</x:v>
      </x:c>
      <x:c r="I269" t="str">
        <x:v>higher</x:v>
      </x:c>
    </x:row>
    <x:row r="270" ht="15.75" customHeight="1">
      <x:c r="A270" t="str">
        <x:v>RVX-00012</x:v>
      </x:c>
      <x:c r="B270" t="n">
        <x:v>1</x:v>
      </x:c>
      <x:c r="C270" s="15" t="n">
        <x:v>46146</x:v>
      </x:c>
      <x:c r="D270" t="str">
        <x:v>peak_force</x:v>
      </x:c>
      <x:c r="E270" t="str">
        <x:v>Peak Force</x:v>
      </x:c>
      <x:c r="F270" t="str">
        <x:v>Strength &amp; Power</x:v>
      </x:c>
      <x:c r="G270" t="n">
        <x:v>1705</x:v>
      </x:c>
      <x:c r="H270" t="str">
        <x:v>N</x:v>
      </x:c>
      <x:c r="I270" t="str">
        <x:v>higher</x:v>
      </x:c>
    </x:row>
    <x:row r="271" ht="15.75" customHeight="1">
      <x:c r="A271" t="str">
        <x:v>RVX-00012</x:v>
      </x:c>
      <x:c r="B271" t="n">
        <x:v>1</x:v>
      </x:c>
      <x:c r="C271" s="15" t="n">
        <x:v>46146</x:v>
      </x:c>
      <x:c r="D271" t="str">
        <x:v>impulse</x:v>
      </x:c>
      <x:c r="E271" t="str">
        <x:v>Impulse-Momentum</x:v>
      </x:c>
      <x:c r="F271" t="str">
        <x:v>Strength &amp; Power</x:v>
      </x:c>
      <x:c r="G271" t="n">
        <x:v>207.1</x:v>
      </x:c>
      <x:c r="H271" t="str">
        <x:v>Ns</x:v>
      </x:c>
      <x:c r="I271" t="str">
        <x:v>higher</x:v>
      </x:c>
    </x:row>
    <x:row r="272" ht="15.75" customHeight="1">
      <x:c r="A272" t="str">
        <x:v>RVX-00012</x:v>
      </x:c>
      <x:c r="B272" t="n">
        <x:v>2</x:v>
      </x:c>
      <x:c r="C272" s="15" t="n">
        <x:v>46174</x:v>
      </x:c>
      <x:c r="D272" t="str">
        <x:v>sprint_5m</x:v>
      </x:c>
      <x:c r="E272" t="str">
        <x:v>5m Sprint</x:v>
      </x:c>
      <x:c r="F272" t="str">
        <x:v>Acceleration</x:v>
      </x:c>
      <x:c r="G272" t="n">
        <x:v>1.16</x:v>
      </x:c>
      <x:c r="H272" t="str">
        <x:v>sec</x:v>
      </x:c>
      <x:c r="I272" t="str">
        <x:v>lower</x:v>
      </x:c>
    </x:row>
    <x:row r="273" ht="15.75" customHeight="1">
      <x:c r="A273" t="str">
        <x:v>RVX-00012</x:v>
      </x:c>
      <x:c r="B273" t="n">
        <x:v>2</x:v>
      </x:c>
      <x:c r="C273" s="15" t="n">
        <x:v>46174</x:v>
      </x:c>
      <x:c r="D273" t="str">
        <x:v>sprint_10m</x:v>
      </x:c>
      <x:c r="E273" t="str">
        <x:v>10m Sprint</x:v>
      </x:c>
      <x:c r="F273" t="str">
        <x:v>Acceleration</x:v>
      </x:c>
      <x:c r="G273" t="n">
        <x:v>1.98</x:v>
      </x:c>
      <x:c r="H273" t="str">
        <x:v>sec</x:v>
      </x:c>
      <x:c r="I273" t="str">
        <x:v>lower</x:v>
      </x:c>
    </x:row>
    <x:row r="274" ht="15.75" customHeight="1">
      <x:c r="A274" t="str">
        <x:v>RVX-00012</x:v>
      </x:c>
      <x:c r="B274" t="n">
        <x:v>2</x:v>
      </x:c>
      <x:c r="C274" s="15" t="n">
        <x:v>46174</x:v>
      </x:c>
      <x:c r="D274" t="str">
        <x:v>pro_agility</x:v>
      </x:c>
      <x:c r="E274" t="str">
        <x:v>5-10-5 Pro Agility</x:v>
      </x:c>
      <x:c r="F274" t="str">
        <x:v>Agility</x:v>
      </x:c>
      <x:c r="G274" t="n">
        <x:v>4.92</x:v>
      </x:c>
      <x:c r="H274" t="str">
        <x:v>sec</x:v>
      </x:c>
      <x:c r="I274" t="str">
        <x:v>lower</x:v>
      </x:c>
    </x:row>
    <x:row r="275" ht="15.75" customHeight="1">
      <x:c r="A275" t="str">
        <x:v>RVX-00012</x:v>
      </x:c>
      <x:c r="B275" t="n">
        <x:v>2</x:v>
      </x:c>
      <x:c r="C275" s="15" t="n">
        <x:v>46174</x:v>
      </x:c>
      <x:c r="D275" t="str">
        <x:v>cmj_depth</x:v>
      </x:c>
      <x:c r="E275" t="str">
        <x:v>Countermovement Depth</x:v>
      </x:c>
      <x:c r="F275" t="str">
        <x:v>Movement</x:v>
      </x:c>
      <x:c r="G275" t="n">
        <x:v>30.6</x:v>
      </x:c>
      <x:c r="H275" t="str">
        <x:v>cm</x:v>
      </x:c>
      <x:c r="I275" t="str">
        <x:v>higher</x:v>
      </x:c>
    </x:row>
    <x:row r="276" ht="15.75" customHeight="1">
      <x:c r="A276" t="str">
        <x:v>RVX-00012</x:v>
      </x:c>
      <x:c r="B276" t="n">
        <x:v>2</x:v>
      </x:c>
      <x:c r="C276" s="15" t="n">
        <x:v>46174</x:v>
      </x:c>
      <x:c r="D276" t="str">
        <x:v>peak_force</x:v>
      </x:c>
      <x:c r="E276" t="str">
        <x:v>Peak Force</x:v>
      </x:c>
      <x:c r="F276" t="str">
        <x:v>Strength &amp; Power</x:v>
      </x:c>
      <x:c r="G276" t="n">
        <x:v>1782</x:v>
      </x:c>
      <x:c r="H276" t="str">
        <x:v>N</x:v>
      </x:c>
      <x:c r="I276" t="str">
        <x:v>higher</x:v>
      </x:c>
    </x:row>
    <x:row r="277" ht="15.75" customHeight="1">
      <x:c r="A277" t="str">
        <x:v>RVX-00012</x:v>
      </x:c>
      <x:c r="B277" t="n">
        <x:v>2</x:v>
      </x:c>
      <x:c r="C277" s="15" t="n">
        <x:v>46174</x:v>
      </x:c>
      <x:c r="D277" t="str">
        <x:v>impulse</x:v>
      </x:c>
      <x:c r="E277" t="str">
        <x:v>Impulse-Momentum</x:v>
      </x:c>
      <x:c r="F277" t="str">
        <x:v>Strength &amp; Power</x:v>
      </x:c>
      <x:c r="G277" t="n">
        <x:v>212</x:v>
      </x:c>
      <x:c r="H277" t="str">
        <x:v>Ns</x:v>
      </x:c>
      <x:c r="I277" t="str">
        <x:v>higher</x:v>
      </x:c>
    </x:row>
    <x:row r="278" ht="15.75" customHeight="1">
      <x:c r="A278" t="str">
        <x:v>RVX-00012</x:v>
      </x:c>
      <x:c r="B278" t="n">
        <x:v>3</x:v>
      </x:c>
      <x:c r="C278" s="15" t="n">
        <x:v>46202</x:v>
      </x:c>
      <x:c r="D278" t="str">
        <x:v>sprint_5m</x:v>
      </x:c>
      <x:c r="E278" t="str">
        <x:v>5m Sprint</x:v>
      </x:c>
      <x:c r="F278" t="str">
        <x:v>Acceleration</x:v>
      </x:c>
      <x:c r="G278" t="n">
        <x:v>1.13</x:v>
      </x:c>
      <x:c r="H278" t="str">
        <x:v>sec</x:v>
      </x:c>
      <x:c r="I278" t="str">
        <x:v>lower</x:v>
      </x:c>
    </x:row>
    <x:row r="279" ht="15.75" customHeight="1">
      <x:c r="A279" t="str">
        <x:v>RVX-00012</x:v>
      </x:c>
      <x:c r="B279" t="n">
        <x:v>3</x:v>
      </x:c>
      <x:c r="C279" s="15" t="n">
        <x:v>46202</x:v>
      </x:c>
      <x:c r="D279" t="str">
        <x:v>sprint_10m</x:v>
      </x:c>
      <x:c r="E279" t="str">
        <x:v>10m Sprint</x:v>
      </x:c>
      <x:c r="F279" t="str">
        <x:v>Acceleration</x:v>
      </x:c>
      <x:c r="G279" t="n">
        <x:v>1.91</x:v>
      </x:c>
      <x:c r="H279" t="str">
        <x:v>sec</x:v>
      </x:c>
      <x:c r="I279" t="str">
        <x:v>lower</x:v>
      </x:c>
    </x:row>
    <x:row r="280" ht="15.75" customHeight="1">
      <x:c r="A280" t="str">
        <x:v>RVX-00012</x:v>
      </x:c>
      <x:c r="B280" t="n">
        <x:v>3</x:v>
      </x:c>
      <x:c r="C280" s="15" t="n">
        <x:v>46202</x:v>
      </x:c>
      <x:c r="D280" t="str">
        <x:v>pro_agility</x:v>
      </x:c>
      <x:c r="E280" t="str">
        <x:v>5-10-5 Pro Agility</x:v>
      </x:c>
      <x:c r="F280" t="str">
        <x:v>Agility</x:v>
      </x:c>
      <x:c r="G280" t="n">
        <x:v>4.85</x:v>
      </x:c>
      <x:c r="H280" t="str">
        <x:v>sec</x:v>
      </x:c>
      <x:c r="I280" t="str">
        <x:v>lower</x:v>
      </x:c>
    </x:row>
    <x:row r="281" ht="15.75" customHeight="1">
      <x:c r="A281" t="str">
        <x:v>RVX-00012</x:v>
      </x:c>
      <x:c r="B281" t="n">
        <x:v>3</x:v>
      </x:c>
      <x:c r="C281" s="15" t="n">
        <x:v>46202</x:v>
      </x:c>
      <x:c r="D281" t="str">
        <x:v>cmj_depth</x:v>
      </x:c>
      <x:c r="E281" t="str">
        <x:v>Countermovement Depth</x:v>
      </x:c>
      <x:c r="F281" t="str">
        <x:v>Movement</x:v>
      </x:c>
      <x:c r="G281" t="n">
        <x:v>30.7</x:v>
      </x:c>
      <x:c r="H281" t="str">
        <x:v>cm</x:v>
      </x:c>
      <x:c r="I281" t="str">
        <x:v>higher</x:v>
      </x:c>
    </x:row>
    <x:row r="282" ht="15.75" customHeight="1">
      <x:c r="A282" t="str">
        <x:v>RVX-00012</x:v>
      </x:c>
      <x:c r="B282" t="n">
        <x:v>3</x:v>
      </x:c>
      <x:c r="C282" s="15" t="n">
        <x:v>46202</x:v>
      </x:c>
      <x:c r="D282" t="str">
        <x:v>peak_force</x:v>
      </x:c>
      <x:c r="E282" t="str">
        <x:v>Peak Force</x:v>
      </x:c>
      <x:c r="F282" t="str">
        <x:v>Strength &amp; Power</x:v>
      </x:c>
      <x:c r="G282" t="n">
        <x:v>1756</x:v>
      </x:c>
      <x:c r="H282" t="str">
        <x:v>N</x:v>
      </x:c>
      <x:c r="I282" t="str">
        <x:v>higher</x:v>
      </x:c>
    </x:row>
    <x:row r="283" ht="15.75" customHeight="1">
      <x:c r="A283" t="str">
        <x:v>RVX-00012</x:v>
      </x:c>
      <x:c r="B283" t="n">
        <x:v>3</x:v>
      </x:c>
      <x:c r="C283" s="15" t="n">
        <x:v>46202</x:v>
      </x:c>
      <x:c r="D283" t="str">
        <x:v>impulse</x:v>
      </x:c>
      <x:c r="E283" t="str">
        <x:v>Impulse-Momentum</x:v>
      </x:c>
      <x:c r="F283" t="str">
        <x:v>Strength &amp; Power</x:v>
      </x:c>
      <x:c r="G283" t="n">
        <x:v>218.7</x:v>
      </x:c>
      <x:c r="H283" t="str">
        <x:v>Ns</x:v>
      </x:c>
      <x:c r="I283" t="str">
        <x:v>higher</x:v>
      </x:c>
    </x:row>
    <x:row r="284" ht="15.75" customHeight="1">
      <x:c r="A284" t="str">
        <x:v>RVX-00012</x:v>
      </x:c>
      <x:c r="B284" t="n">
        <x:v>4</x:v>
      </x:c>
      <x:c r="C284" s="15" t="n">
        <x:v>46230</x:v>
      </x:c>
      <x:c r="D284" t="str">
        <x:v>sprint_5m</x:v>
      </x:c>
      <x:c r="E284" t="str">
        <x:v>5m Sprint</x:v>
      </x:c>
      <x:c r="F284" t="str">
        <x:v>Acceleration</x:v>
      </x:c>
      <x:c r="G284" t="n">
        <x:v>1.15</x:v>
      </x:c>
      <x:c r="H284" t="str">
        <x:v>sec</x:v>
      </x:c>
      <x:c r="I284" t="str">
        <x:v>lower</x:v>
      </x:c>
    </x:row>
    <x:row r="285" ht="15.75" customHeight="1">
      <x:c r="A285" t="str">
        <x:v>RVX-00012</x:v>
      </x:c>
      <x:c r="B285" t="n">
        <x:v>4</x:v>
      </x:c>
      <x:c r="C285" s="15" t="n">
        <x:v>46230</x:v>
      </x:c>
      <x:c r="D285" t="str">
        <x:v>sprint_10m</x:v>
      </x:c>
      <x:c r="E285" t="str">
        <x:v>10m Sprint</x:v>
      </x:c>
      <x:c r="F285" t="str">
        <x:v>Acceleration</x:v>
      </x:c>
      <x:c r="G285" t="n">
        <x:v>1.89</x:v>
      </x:c>
      <x:c r="H285" t="str">
        <x:v>sec</x:v>
      </x:c>
      <x:c r="I285" t="str">
        <x:v>lower</x:v>
      </x:c>
    </x:row>
    <x:row r="286" ht="15.75" customHeight="1">
      <x:c r="A286" t="str">
        <x:v>RVX-00012</x:v>
      </x:c>
      <x:c r="B286" t="n">
        <x:v>4</x:v>
      </x:c>
      <x:c r="C286" s="15" t="n">
        <x:v>46230</x:v>
      </x:c>
      <x:c r="D286" t="str">
        <x:v>pro_agility</x:v>
      </x:c>
      <x:c r="E286" t="str">
        <x:v>5-10-5 Pro Agility</x:v>
      </x:c>
      <x:c r="F286" t="str">
        <x:v>Agility</x:v>
      </x:c>
      <x:c r="G286" t="n">
        <x:v>4.76</x:v>
      </x:c>
      <x:c r="H286" t="str">
        <x:v>sec</x:v>
      </x:c>
      <x:c r="I286" t="str">
        <x:v>lower</x:v>
      </x:c>
    </x:row>
    <x:row r="287" ht="15.75" customHeight="1">
      <x:c r="A287" t="str">
        <x:v>RVX-00012</x:v>
      </x:c>
      <x:c r="B287" t="n">
        <x:v>4</x:v>
      </x:c>
      <x:c r="C287" s="15" t="n">
        <x:v>46230</x:v>
      </x:c>
      <x:c r="D287" t="str">
        <x:v>cmj_depth</x:v>
      </x:c>
      <x:c r="E287" t="str">
        <x:v>Countermovement Depth</x:v>
      </x:c>
      <x:c r="F287" t="str">
        <x:v>Movement</x:v>
      </x:c>
      <x:c r="G287" t="n">
        <x:v>32.1</x:v>
      </x:c>
      <x:c r="H287" t="str">
        <x:v>cm</x:v>
      </x:c>
      <x:c r="I287" t="str">
        <x:v>higher</x:v>
      </x:c>
    </x:row>
    <x:row r="288" ht="15.75" customHeight="1">
      <x:c r="A288" t="str">
        <x:v>RVX-00012</x:v>
      </x:c>
      <x:c r="B288" t="n">
        <x:v>4</x:v>
      </x:c>
      <x:c r="C288" s="15" t="n">
        <x:v>46230</x:v>
      </x:c>
      <x:c r="D288" t="str">
        <x:v>peak_force</x:v>
      </x:c>
      <x:c r="E288" t="str">
        <x:v>Peak Force</x:v>
      </x:c>
      <x:c r="F288" t="str">
        <x:v>Strength &amp; Power</x:v>
      </x:c>
      <x:c r="G288" t="n">
        <x:v>1820</x:v>
      </x:c>
      <x:c r="H288" t="str">
        <x:v>N</x:v>
      </x:c>
      <x:c r="I288" t="str">
        <x:v>higher</x:v>
      </x:c>
    </x:row>
    <x:row r="289" ht="15.75" customHeight="1">
      <x:c r="A289" t="str">
        <x:v>RVX-00012</x:v>
      </x:c>
      <x:c r="B289" t="n">
        <x:v>4</x:v>
      </x:c>
      <x:c r="C289" s="15" t="n">
        <x:v>46230</x:v>
      </x:c>
      <x:c r="D289" t="str">
        <x:v>impulse</x:v>
      </x:c>
      <x:c r="E289" t="str">
        <x:v>Impulse-Momentum</x:v>
      </x:c>
      <x:c r="F289" t="str">
        <x:v>Strength &amp; Power</x:v>
      </x:c>
      <x:c r="G289" t="n">
        <x:v>231.2</x:v>
      </x:c>
      <x:c r="H289" t="str">
        <x:v>Ns</x:v>
      </x:c>
      <x:c r="I289" t="str">
        <x:v>higher</x:v>
      </x:c>
    </x:row>
    <x:row r="290" ht="15.75" customHeight="1">
      <x:c r="A290" t="str">
        <x:v>RVX-00013</x:v>
      </x:c>
      <x:c r="B290" t="n">
        <x:v>1</x:v>
      </x:c>
      <x:c r="C290" s="15" t="n">
        <x:v>46146</x:v>
      </x:c>
      <x:c r="D290" t="str">
        <x:v>sprint_5m</x:v>
      </x:c>
      <x:c r="E290" t="str">
        <x:v>5m Sprint</x:v>
      </x:c>
      <x:c r="F290" t="str">
        <x:v>Acceleration</x:v>
      </x:c>
      <x:c r="G290" t="n">
        <x:v>1.03</x:v>
      </x:c>
      <x:c r="H290" t="str">
        <x:v>sec</x:v>
      </x:c>
      <x:c r="I290" t="str">
        <x:v>lower</x:v>
      </x:c>
    </x:row>
    <x:row r="291" ht="15.75" customHeight="1">
      <x:c r="A291" t="str">
        <x:v>RVX-00013</x:v>
      </x:c>
      <x:c r="B291" t="n">
        <x:v>1</x:v>
      </x:c>
      <x:c r="C291" s="15" t="n">
        <x:v>46146</x:v>
      </x:c>
      <x:c r="D291" t="str">
        <x:v>sprint_10m</x:v>
      </x:c>
      <x:c r="E291" t="str">
        <x:v>10m Sprint</x:v>
      </x:c>
      <x:c r="F291" t="str">
        <x:v>Acceleration</x:v>
      </x:c>
      <x:c r="G291" t="n">
        <x:v>1.69</x:v>
      </x:c>
      <x:c r="H291" t="str">
        <x:v>sec</x:v>
      </x:c>
      <x:c r="I291" t="str">
        <x:v>lower</x:v>
      </x:c>
    </x:row>
    <x:row r="292" ht="15.75" customHeight="1">
      <x:c r="A292" t="str">
        <x:v>RVX-00013</x:v>
      </x:c>
      <x:c r="B292" t="n">
        <x:v>1</x:v>
      </x:c>
      <x:c r="C292" s="15" t="n">
        <x:v>46146</x:v>
      </x:c>
      <x:c r="D292" t="str">
        <x:v>pro_agility</x:v>
      </x:c>
      <x:c r="E292" t="str">
        <x:v>5-10-5 Pro Agility</x:v>
      </x:c>
      <x:c r="F292" t="str">
        <x:v>Agility</x:v>
      </x:c>
      <x:c r="G292" t="n">
        <x:v>4.31</x:v>
      </x:c>
      <x:c r="H292" t="str">
        <x:v>sec</x:v>
      </x:c>
      <x:c r="I292" t="str">
        <x:v>lower</x:v>
      </x:c>
    </x:row>
    <x:row r="293" ht="15.75" customHeight="1">
      <x:c r="A293" t="str">
        <x:v>RVX-00013</x:v>
      </x:c>
      <x:c r="B293" t="n">
        <x:v>1</x:v>
      </x:c>
      <x:c r="C293" s="15" t="n">
        <x:v>46146</x:v>
      </x:c>
      <x:c r="D293" t="str">
        <x:v>cmj_depth</x:v>
      </x:c>
      <x:c r="E293" t="str">
        <x:v>Countermovement Depth</x:v>
      </x:c>
      <x:c r="F293" t="str">
        <x:v>Movement</x:v>
      </x:c>
      <x:c r="G293" t="n">
        <x:v>33</x:v>
      </x:c>
      <x:c r="H293" t="str">
        <x:v>cm</x:v>
      </x:c>
      <x:c r="I293" t="str">
        <x:v>higher</x:v>
      </x:c>
    </x:row>
    <x:row r="294" ht="15.75" customHeight="1">
      <x:c r="A294" t="str">
        <x:v>RVX-00013</x:v>
      </x:c>
      <x:c r="B294" t="n">
        <x:v>1</x:v>
      </x:c>
      <x:c r="C294" s="15" t="n">
        <x:v>46146</x:v>
      </x:c>
      <x:c r="D294" t="str">
        <x:v>peak_force</x:v>
      </x:c>
      <x:c r="E294" t="str">
        <x:v>Peak Force</x:v>
      </x:c>
      <x:c r="F294" t="str">
        <x:v>Strength &amp; Power</x:v>
      </x:c>
      <x:c r="G294" t="n">
        <x:v>1929</x:v>
      </x:c>
      <x:c r="H294" t="str">
        <x:v>N</x:v>
      </x:c>
      <x:c r="I294" t="str">
        <x:v>higher</x:v>
      </x:c>
    </x:row>
    <x:row r="295" ht="15.75" customHeight="1">
      <x:c r="A295" t="str">
        <x:v>RVX-00013</x:v>
      </x:c>
      <x:c r="B295" t="n">
        <x:v>1</x:v>
      </x:c>
      <x:c r="C295" s="15" t="n">
        <x:v>46146</x:v>
      </x:c>
      <x:c r="D295" t="str">
        <x:v>impulse</x:v>
      </x:c>
      <x:c r="E295" t="str">
        <x:v>Impulse-Momentum</x:v>
      </x:c>
      <x:c r="F295" t="str">
        <x:v>Strength &amp; Power</x:v>
      </x:c>
      <x:c r="G295" t="n">
        <x:v>231.4</x:v>
      </x:c>
      <x:c r="H295" t="str">
        <x:v>Ns</x:v>
      </x:c>
      <x:c r="I295" t="str">
        <x:v>higher</x:v>
      </x:c>
    </x:row>
    <x:row r="296" ht="15.75" customHeight="1">
      <x:c r="A296" t="str">
        <x:v>RVX-00013</x:v>
      </x:c>
      <x:c r="B296" t="n">
        <x:v>2</x:v>
      </x:c>
      <x:c r="C296" s="15" t="n">
        <x:v>46174</x:v>
      </x:c>
      <x:c r="D296" t="str">
        <x:v>sprint_5m</x:v>
      </x:c>
      <x:c r="E296" t="str">
        <x:v>5m Sprint</x:v>
      </x:c>
      <x:c r="F296" t="str">
        <x:v>Acceleration</x:v>
      </x:c>
      <x:c r="G296" t="n">
        <x:v>0.97</x:v>
      </x:c>
      <x:c r="H296" t="str">
        <x:v>sec</x:v>
      </x:c>
      <x:c r="I296" t="str">
        <x:v>lower</x:v>
      </x:c>
    </x:row>
    <x:row r="297" ht="15.75" customHeight="1">
      <x:c r="A297" t="str">
        <x:v>RVX-00013</x:v>
      </x:c>
      <x:c r="B297" t="n">
        <x:v>2</x:v>
      </x:c>
      <x:c r="C297" s="15" t="n">
        <x:v>46174</x:v>
      </x:c>
      <x:c r="D297" t="str">
        <x:v>sprint_10m</x:v>
      </x:c>
      <x:c r="E297" t="str">
        <x:v>10m Sprint</x:v>
      </x:c>
      <x:c r="F297" t="str">
        <x:v>Acceleration</x:v>
      </x:c>
      <x:c r="G297" t="n">
        <x:v>1.65</x:v>
      </x:c>
      <x:c r="H297" t="str">
        <x:v>sec</x:v>
      </x:c>
      <x:c r="I297" t="str">
        <x:v>lower</x:v>
      </x:c>
    </x:row>
    <x:row r="298" ht="15.75" customHeight="1">
      <x:c r="A298" t="str">
        <x:v>RVX-00013</x:v>
      </x:c>
      <x:c r="B298" t="n">
        <x:v>2</x:v>
      </x:c>
      <x:c r="C298" s="15" t="n">
        <x:v>46174</x:v>
      </x:c>
      <x:c r="D298" t="str">
        <x:v>pro_agility</x:v>
      </x:c>
      <x:c r="E298" t="str">
        <x:v>5-10-5 Pro Agility</x:v>
      </x:c>
      <x:c r="F298" t="str">
        <x:v>Agility</x:v>
      </x:c>
      <x:c r="G298" t="n">
        <x:v>4.32</x:v>
      </x:c>
      <x:c r="H298" t="str">
        <x:v>sec</x:v>
      </x:c>
      <x:c r="I298" t="str">
        <x:v>lower</x:v>
      </x:c>
    </x:row>
    <x:row r="299" ht="15.75" customHeight="1">
      <x:c r="A299" t="str">
        <x:v>RVX-00013</x:v>
      </x:c>
      <x:c r="B299" t="n">
        <x:v>2</x:v>
      </x:c>
      <x:c r="C299" s="15" t="n">
        <x:v>46174</x:v>
      </x:c>
      <x:c r="D299" t="str">
        <x:v>cmj_depth</x:v>
      </x:c>
      <x:c r="E299" t="str">
        <x:v>Countermovement Depth</x:v>
      </x:c>
      <x:c r="F299" t="str">
        <x:v>Movement</x:v>
      </x:c>
      <x:c r="G299" t="n">
        <x:v>33.9</x:v>
      </x:c>
      <x:c r="H299" t="str">
        <x:v>cm</x:v>
      </x:c>
      <x:c r="I299" t="str">
        <x:v>higher</x:v>
      </x:c>
    </x:row>
    <x:row r="300" ht="15.75" customHeight="1">
      <x:c r="A300" t="str">
        <x:v>RVX-00013</x:v>
      </x:c>
      <x:c r="B300" t="n">
        <x:v>2</x:v>
      </x:c>
      <x:c r="C300" s="15" t="n">
        <x:v>46174</x:v>
      </x:c>
      <x:c r="D300" t="str">
        <x:v>peak_force</x:v>
      </x:c>
      <x:c r="E300" t="str">
        <x:v>Peak Force</x:v>
      </x:c>
      <x:c r="F300" t="str">
        <x:v>Strength &amp; Power</x:v>
      </x:c>
      <x:c r="G300" t="n">
        <x:v>1975</x:v>
      </x:c>
      <x:c r="H300" t="str">
        <x:v>N</x:v>
      </x:c>
      <x:c r="I300" t="str">
        <x:v>higher</x:v>
      </x:c>
    </x:row>
    <x:row r="301" ht="15.75" customHeight="1">
      <x:c r="A301" t="str">
        <x:v>RVX-00013</x:v>
      </x:c>
      <x:c r="B301" t="n">
        <x:v>2</x:v>
      </x:c>
      <x:c r="C301" s="15" t="n">
        <x:v>46174</x:v>
      </x:c>
      <x:c r="D301" t="str">
        <x:v>impulse</x:v>
      </x:c>
      <x:c r="E301" t="str">
        <x:v>Impulse-Momentum</x:v>
      </x:c>
      <x:c r="F301" t="str">
        <x:v>Strength &amp; Power</x:v>
      </x:c>
      <x:c r="G301" t="n">
        <x:v>235.2</x:v>
      </x:c>
      <x:c r="H301" t="str">
        <x:v>Ns</x:v>
      </x:c>
      <x:c r="I301" t="str">
        <x:v>higher</x:v>
      </x:c>
    </x:row>
    <x:row r="302" ht="15.75" customHeight="1">
      <x:c r="A302" t="str">
        <x:v>RVX-00013</x:v>
      </x:c>
      <x:c r="B302" t="n">
        <x:v>3</x:v>
      </x:c>
      <x:c r="C302" s="15" t="n">
        <x:v>46202</x:v>
      </x:c>
      <x:c r="D302" t="str">
        <x:v>sprint_5m</x:v>
      </x:c>
      <x:c r="E302" t="str">
        <x:v>5m Sprint</x:v>
      </x:c>
      <x:c r="F302" t="str">
        <x:v>Acceleration</x:v>
      </x:c>
      <x:c r="G302" t="n">
        <x:v>0.99</x:v>
      </x:c>
      <x:c r="H302" t="str">
        <x:v>sec</x:v>
      </x:c>
      <x:c r="I302" t="str">
        <x:v>lower</x:v>
      </x:c>
    </x:row>
    <x:row r="303" ht="15.75" customHeight="1">
      <x:c r="A303" t="str">
        <x:v>RVX-00013</x:v>
      </x:c>
      <x:c r="B303" t="n">
        <x:v>3</x:v>
      </x:c>
      <x:c r="C303" s="15" t="n">
        <x:v>46202</x:v>
      </x:c>
      <x:c r="D303" t="str">
        <x:v>sprint_10m</x:v>
      </x:c>
      <x:c r="E303" t="str">
        <x:v>10m Sprint</x:v>
      </x:c>
      <x:c r="F303" t="str">
        <x:v>Acceleration</x:v>
      </x:c>
      <x:c r="G303" t="n">
        <x:v>1.64</x:v>
      </x:c>
      <x:c r="H303" t="str">
        <x:v>sec</x:v>
      </x:c>
      <x:c r="I303" t="str">
        <x:v>lower</x:v>
      </x:c>
    </x:row>
    <x:row r="304" ht="15.75" customHeight="1">
      <x:c r="A304" t="str">
        <x:v>RVX-00013</x:v>
      </x:c>
      <x:c r="B304" t="n">
        <x:v>3</x:v>
      </x:c>
      <x:c r="C304" s="15" t="n">
        <x:v>46202</x:v>
      </x:c>
      <x:c r="D304" t="str">
        <x:v>pro_agility</x:v>
      </x:c>
      <x:c r="E304" t="str">
        <x:v>5-10-5 Pro Agility</x:v>
      </x:c>
      <x:c r="F304" t="str">
        <x:v>Agility</x:v>
      </x:c>
      <x:c r="G304" t="n">
        <x:v>4.17</x:v>
      </x:c>
      <x:c r="H304" t="str">
        <x:v>sec</x:v>
      </x:c>
      <x:c r="I304" t="str">
        <x:v>lower</x:v>
      </x:c>
    </x:row>
    <x:row r="305" ht="15.75" customHeight="1">
      <x:c r="A305" t="str">
        <x:v>RVX-00013</x:v>
      </x:c>
      <x:c r="B305" t="n">
        <x:v>3</x:v>
      </x:c>
      <x:c r="C305" s="15" t="n">
        <x:v>46202</x:v>
      </x:c>
      <x:c r="D305" t="str">
        <x:v>cmj_depth</x:v>
      </x:c>
      <x:c r="E305" t="str">
        <x:v>Countermovement Depth</x:v>
      </x:c>
      <x:c r="F305" t="str">
        <x:v>Movement</x:v>
      </x:c>
      <x:c r="G305" t="n">
        <x:v>34.4</x:v>
      </x:c>
      <x:c r="H305" t="str">
        <x:v>cm</x:v>
      </x:c>
      <x:c r="I305" t="str">
        <x:v>higher</x:v>
      </x:c>
    </x:row>
    <x:row r="306" ht="15.75" customHeight="1">
      <x:c r="A306" t="str">
        <x:v>RVX-00013</x:v>
      </x:c>
      <x:c r="B306" t="n">
        <x:v>3</x:v>
      </x:c>
      <x:c r="C306" s="15" t="n">
        <x:v>46202</x:v>
      </x:c>
      <x:c r="D306" t="str">
        <x:v>peak_force</x:v>
      </x:c>
      <x:c r="E306" t="str">
        <x:v>Peak Force</x:v>
      </x:c>
      <x:c r="F306" t="str">
        <x:v>Strength &amp; Power</x:v>
      </x:c>
      <x:c r="G306" t="n">
        <x:v>2003</x:v>
      </x:c>
      <x:c r="H306" t="str">
        <x:v>N</x:v>
      </x:c>
      <x:c r="I306" t="str">
        <x:v>higher</x:v>
      </x:c>
    </x:row>
    <x:row r="307" ht="15.75" customHeight="1">
      <x:c r="A307" t="str">
        <x:v>RVX-00013</x:v>
      </x:c>
      <x:c r="B307" t="n">
        <x:v>3</x:v>
      </x:c>
      <x:c r="C307" s="15" t="n">
        <x:v>46202</x:v>
      </x:c>
      <x:c r="D307" t="str">
        <x:v>impulse</x:v>
      </x:c>
      <x:c r="E307" t="str">
        <x:v>Impulse-Momentum</x:v>
      </x:c>
      <x:c r="F307" t="str">
        <x:v>Strength &amp; Power</x:v>
      </x:c>
      <x:c r="G307" t="n">
        <x:v>248.2</x:v>
      </x:c>
      <x:c r="H307" t="str">
        <x:v>Ns</x:v>
      </x:c>
      <x:c r="I307" t="str">
        <x:v>higher</x:v>
      </x:c>
    </x:row>
    <x:row r="308" ht="15.75" customHeight="1">
      <x:c r="A308" t="str">
        <x:v>RVX-00013</x:v>
      </x:c>
      <x:c r="B308" t="n">
        <x:v>4</x:v>
      </x:c>
      <x:c r="C308" s="15" t="n">
        <x:v>46230</x:v>
      </x:c>
      <x:c r="D308" t="str">
        <x:v>sprint_5m</x:v>
      </x:c>
      <x:c r="E308" t="str">
        <x:v>5m Sprint</x:v>
      </x:c>
      <x:c r="F308" t="str">
        <x:v>Acceleration</x:v>
      </x:c>
      <x:c r="G308" t="n">
        <x:v>0.96</x:v>
      </x:c>
      <x:c r="H308" t="str">
        <x:v>sec</x:v>
      </x:c>
      <x:c r="I308" t="str">
        <x:v>lower</x:v>
      </x:c>
    </x:row>
    <x:row r="309" ht="15.75" customHeight="1">
      <x:c r="A309" t="str">
        <x:v>RVX-00013</x:v>
      </x:c>
      <x:c r="B309" t="n">
        <x:v>4</x:v>
      </x:c>
      <x:c r="C309" s="15" t="n">
        <x:v>46230</x:v>
      </x:c>
      <x:c r="D309" t="str">
        <x:v>sprint_10m</x:v>
      </x:c>
      <x:c r="E309" t="str">
        <x:v>10m Sprint</x:v>
      </x:c>
      <x:c r="F309" t="str">
        <x:v>Acceleration</x:v>
      </x:c>
      <x:c r="G309" t="n">
        <x:v>1.56</x:v>
      </x:c>
      <x:c r="H309" t="str">
        <x:v>sec</x:v>
      </x:c>
      <x:c r="I309" t="str">
        <x:v>lower</x:v>
      </x:c>
    </x:row>
    <x:row r="310" ht="15.75" customHeight="1">
      <x:c r="A310" t="str">
        <x:v>RVX-00013</x:v>
      </x:c>
      <x:c r="B310" t="n">
        <x:v>4</x:v>
      </x:c>
      <x:c r="C310" s="15" t="n">
        <x:v>46230</x:v>
      </x:c>
      <x:c r="D310" t="str">
        <x:v>pro_agility</x:v>
      </x:c>
      <x:c r="E310" t="str">
        <x:v>5-10-5 Pro Agility</x:v>
      </x:c>
      <x:c r="F310" t="str">
        <x:v>Agility</x:v>
      </x:c>
      <x:c r="G310" t="n">
        <x:v>4.02</x:v>
      </x:c>
      <x:c r="H310" t="str">
        <x:v>sec</x:v>
      </x:c>
      <x:c r="I310" t="str">
        <x:v>lower</x:v>
      </x:c>
    </x:row>
    <x:row r="311" ht="15.75" customHeight="1">
      <x:c r="A311" t="str">
        <x:v>RVX-00013</x:v>
      </x:c>
      <x:c r="B311" t="n">
        <x:v>4</x:v>
      </x:c>
      <x:c r="C311" s="15" t="n">
        <x:v>46230</x:v>
      </x:c>
      <x:c r="D311" t="str">
        <x:v>cmj_depth</x:v>
      </x:c>
      <x:c r="E311" t="str">
        <x:v>Countermovement Depth</x:v>
      </x:c>
      <x:c r="F311" t="str">
        <x:v>Movement</x:v>
      </x:c>
      <x:c r="G311" t="n">
        <x:v>35.3</x:v>
      </x:c>
      <x:c r="H311" t="str">
        <x:v>cm</x:v>
      </x:c>
      <x:c r="I311" t="str">
        <x:v>higher</x:v>
      </x:c>
    </x:row>
    <x:row r="312" ht="15.75" customHeight="1">
      <x:c r="A312" t="str">
        <x:v>RVX-00013</x:v>
      </x:c>
      <x:c r="B312" t="n">
        <x:v>4</x:v>
      </x:c>
      <x:c r="C312" s="15" t="n">
        <x:v>46230</x:v>
      </x:c>
      <x:c r="D312" t="str">
        <x:v>peak_force</x:v>
      </x:c>
      <x:c r="E312" t="str">
        <x:v>Peak Force</x:v>
      </x:c>
      <x:c r="F312" t="str">
        <x:v>Strength &amp; Power</x:v>
      </x:c>
      <x:c r="G312" t="n">
        <x:v>1980</x:v>
      </x:c>
      <x:c r="H312" t="str">
        <x:v>N</x:v>
      </x:c>
      <x:c r="I312" t="str">
        <x:v>higher</x:v>
      </x:c>
    </x:row>
    <x:row r="313" ht="15.75" customHeight="1">
      <x:c r="A313" t="str">
        <x:v>RVX-00013</x:v>
      </x:c>
      <x:c r="B313" t="n">
        <x:v>4</x:v>
      </x:c>
      <x:c r="C313" s="15" t="n">
        <x:v>46230</x:v>
      </x:c>
      <x:c r="D313" t="str">
        <x:v>impulse</x:v>
      </x:c>
      <x:c r="E313" t="str">
        <x:v>Impulse-Momentum</x:v>
      </x:c>
      <x:c r="F313" t="str">
        <x:v>Strength &amp; Power</x:v>
      </x:c>
      <x:c r="G313" t="n">
        <x:v>252.3</x:v>
      </x:c>
      <x:c r="H313" t="str">
        <x:v>Ns</x:v>
      </x:c>
      <x:c r="I313" t="str">
        <x:v>higher</x:v>
      </x:c>
    </x:row>
    <x:row r="314" ht="15.75" customHeight="1">
      <x:c r="A314" t="str">
        <x:v>RVX-00014</x:v>
      </x:c>
      <x:c r="B314" t="n">
        <x:v>1</x:v>
      </x:c>
      <x:c r="C314" s="15" t="n">
        <x:v>46146</x:v>
      </x:c>
      <x:c r="D314" t="str">
        <x:v>sprint_5m</x:v>
      </x:c>
      <x:c r="E314" t="str">
        <x:v>5m Sprint</x:v>
      </x:c>
      <x:c r="F314" t="str">
        <x:v>Acceleration</x:v>
      </x:c>
      <x:c r="G314" t="n">
        <x:v>1.1</x:v>
      </x:c>
      <x:c r="H314" t="str">
        <x:v>sec</x:v>
      </x:c>
      <x:c r="I314" t="str">
        <x:v>lower</x:v>
      </x:c>
    </x:row>
    <x:row r="315" ht="15.75" customHeight="1">
      <x:c r="A315" t="str">
        <x:v>RVX-00014</x:v>
      </x:c>
      <x:c r="B315" t="n">
        <x:v>1</x:v>
      </x:c>
      <x:c r="C315" s="15" t="n">
        <x:v>46146</x:v>
      </x:c>
      <x:c r="D315" t="str">
        <x:v>sprint_10m</x:v>
      </x:c>
      <x:c r="E315" t="str">
        <x:v>10m Sprint</x:v>
      </x:c>
      <x:c r="F315" t="str">
        <x:v>Acceleration</x:v>
      </x:c>
      <x:c r="G315" t="n">
        <x:v>1.76</x:v>
      </x:c>
      <x:c r="H315" t="str">
        <x:v>sec</x:v>
      </x:c>
      <x:c r="I315" t="str">
        <x:v>lower</x:v>
      </x:c>
    </x:row>
    <x:row r="316" ht="15.75" customHeight="1">
      <x:c r="A316" t="str">
        <x:v>RVX-00014</x:v>
      </x:c>
      <x:c r="B316" t="n">
        <x:v>1</x:v>
      </x:c>
      <x:c r="C316" s="15" t="n">
        <x:v>46146</x:v>
      </x:c>
      <x:c r="D316" t="str">
        <x:v>pro_agility</x:v>
      </x:c>
      <x:c r="E316" t="str">
        <x:v>5-10-5 Pro Agility</x:v>
      </x:c>
      <x:c r="F316" t="str">
        <x:v>Agility</x:v>
      </x:c>
      <x:c r="G316" t="n">
        <x:v>4.54</x:v>
      </x:c>
      <x:c r="H316" t="str">
        <x:v>sec</x:v>
      </x:c>
      <x:c r="I316" t="str">
        <x:v>lower</x:v>
      </x:c>
    </x:row>
    <x:row r="317" ht="15.75" customHeight="1">
      <x:c r="A317" t="str">
        <x:v>RVX-00014</x:v>
      </x:c>
      <x:c r="B317" t="n">
        <x:v>1</x:v>
      </x:c>
      <x:c r="C317" s="15" t="n">
        <x:v>46146</x:v>
      </x:c>
      <x:c r="D317" t="str">
        <x:v>cmj_depth</x:v>
      </x:c>
      <x:c r="E317" t="str">
        <x:v>Countermovement Depth</x:v>
      </x:c>
      <x:c r="F317" t="str">
        <x:v>Movement</x:v>
      </x:c>
      <x:c r="G317" t="n">
        <x:v>33.8</x:v>
      </x:c>
      <x:c r="H317" t="str">
        <x:v>cm</x:v>
      </x:c>
      <x:c r="I317" t="str">
        <x:v>higher</x:v>
      </x:c>
    </x:row>
    <x:row r="318" ht="15.75" customHeight="1">
      <x:c r="A318" t="str">
        <x:v>RVX-00014</x:v>
      </x:c>
      <x:c r="B318" t="n">
        <x:v>1</x:v>
      </x:c>
      <x:c r="C318" s="15" t="n">
        <x:v>46146</x:v>
      </x:c>
      <x:c r="D318" t="str">
        <x:v>peak_force</x:v>
      </x:c>
      <x:c r="E318" t="str">
        <x:v>Peak Force</x:v>
      </x:c>
      <x:c r="F318" t="str">
        <x:v>Strength &amp; Power</x:v>
      </x:c>
      <x:c r="G318" t="n">
        <x:v>1941</x:v>
      </x:c>
      <x:c r="H318" t="str">
        <x:v>N</x:v>
      </x:c>
      <x:c r="I318" t="str">
        <x:v>higher</x:v>
      </x:c>
    </x:row>
    <x:row r="319" ht="15.75" customHeight="1">
      <x:c r="A319" t="str">
        <x:v>RVX-00014</x:v>
      </x:c>
      <x:c r="B319" t="n">
        <x:v>1</x:v>
      </x:c>
      <x:c r="C319" s="15" t="n">
        <x:v>46146</x:v>
      </x:c>
      <x:c r="D319" t="str">
        <x:v>impulse</x:v>
      </x:c>
      <x:c r="E319" t="str">
        <x:v>Impulse-Momentum</x:v>
      </x:c>
      <x:c r="F319" t="str">
        <x:v>Strength &amp; Power</x:v>
      </x:c>
      <x:c r="G319" t="n">
        <x:v>232.1</x:v>
      </x:c>
      <x:c r="H319" t="str">
        <x:v>Ns</x:v>
      </x:c>
      <x:c r="I319" t="str">
        <x:v>higher</x:v>
      </x:c>
    </x:row>
    <x:row r="320" ht="15.75" customHeight="1">
      <x:c r="A320" t="str">
        <x:v>RVX-00014</x:v>
      </x:c>
      <x:c r="B320" t="n">
        <x:v>2</x:v>
      </x:c>
      <x:c r="C320" s="15" t="n">
        <x:v>46174</x:v>
      </x:c>
      <x:c r="D320" t="str">
        <x:v>sprint_5m</x:v>
      </x:c>
      <x:c r="E320" t="str">
        <x:v>5m Sprint</x:v>
      </x:c>
      <x:c r="F320" t="str">
        <x:v>Acceleration</x:v>
      </x:c>
      <x:c r="G320" t="n">
        <x:v>1.04</x:v>
      </x:c>
      <x:c r="H320" t="str">
        <x:v>sec</x:v>
      </x:c>
      <x:c r="I320" t="str">
        <x:v>lower</x:v>
      </x:c>
    </x:row>
    <x:row r="321" ht="15.75" customHeight="1">
      <x:c r="A321" t="str">
        <x:v>RVX-00014</x:v>
      </x:c>
      <x:c r="B321" t="n">
        <x:v>2</x:v>
      </x:c>
      <x:c r="C321" s="15" t="n">
        <x:v>46174</x:v>
      </x:c>
      <x:c r="D321" t="str">
        <x:v>sprint_10m</x:v>
      </x:c>
      <x:c r="E321" t="str">
        <x:v>10m Sprint</x:v>
      </x:c>
      <x:c r="F321" t="str">
        <x:v>Acceleration</x:v>
      </x:c>
      <x:c r="G321" t="n">
        <x:v>1.81</x:v>
      </x:c>
      <x:c r="H321" t="str">
        <x:v>sec</x:v>
      </x:c>
      <x:c r="I321" t="str">
        <x:v>lower</x:v>
      </x:c>
    </x:row>
    <x:row r="322" ht="15.75" customHeight="1">
      <x:c r="A322" t="str">
        <x:v>RVX-00014</x:v>
      </x:c>
      <x:c r="B322" t="n">
        <x:v>2</x:v>
      </x:c>
      <x:c r="C322" s="15" t="n">
        <x:v>46174</x:v>
      </x:c>
      <x:c r="D322" t="str">
        <x:v>pro_agility</x:v>
      </x:c>
      <x:c r="E322" t="str">
        <x:v>5-10-5 Pro Agility</x:v>
      </x:c>
      <x:c r="F322" t="str">
        <x:v>Agility</x:v>
      </x:c>
      <x:c r="G322" t="n">
        <x:v>4.63</x:v>
      </x:c>
      <x:c r="H322" t="str">
        <x:v>sec</x:v>
      </x:c>
      <x:c r="I322" t="str">
        <x:v>lower</x:v>
      </x:c>
    </x:row>
    <x:row r="323" ht="15.75" customHeight="1">
      <x:c r="A323" t="str">
        <x:v>RVX-00014</x:v>
      </x:c>
      <x:c r="B323" t="n">
        <x:v>2</x:v>
      </x:c>
      <x:c r="C323" s="15" t="n">
        <x:v>46174</x:v>
      </x:c>
      <x:c r="D323" t="str">
        <x:v>cmj_depth</x:v>
      </x:c>
      <x:c r="E323" t="str">
        <x:v>Countermovement Depth</x:v>
      </x:c>
      <x:c r="F323" t="str">
        <x:v>Movement</x:v>
      </x:c>
      <x:c r="G323" t="n">
        <x:v>33.4</x:v>
      </x:c>
      <x:c r="H323" t="str">
        <x:v>cm</x:v>
      </x:c>
      <x:c r="I323" t="str">
        <x:v>higher</x:v>
      </x:c>
    </x:row>
    <x:row r="324" ht="15.75" customHeight="1">
      <x:c r="A324" t="str">
        <x:v>RVX-00014</x:v>
      </x:c>
      <x:c r="B324" t="n">
        <x:v>2</x:v>
      </x:c>
      <x:c r="C324" s="15" t="n">
        <x:v>46174</x:v>
      </x:c>
      <x:c r="D324" t="str">
        <x:v>peak_force</x:v>
      </x:c>
      <x:c r="E324" t="str">
        <x:v>Peak Force</x:v>
      </x:c>
      <x:c r="F324" t="str">
        <x:v>Strength &amp; Power</x:v>
      </x:c>
      <x:c r="G324" t="n">
        <x:v>2000</x:v>
      </x:c>
      <x:c r="H324" t="str">
        <x:v>N</x:v>
      </x:c>
      <x:c r="I324" t="str">
        <x:v>higher</x:v>
      </x:c>
    </x:row>
    <x:row r="325" ht="15.75" customHeight="1">
      <x:c r="A325" t="str">
        <x:v>RVX-00014</x:v>
      </x:c>
      <x:c r="B325" t="n">
        <x:v>2</x:v>
      </x:c>
      <x:c r="C325" s="15" t="n">
        <x:v>46174</x:v>
      </x:c>
      <x:c r="D325" t="str">
        <x:v>impulse</x:v>
      </x:c>
      <x:c r="E325" t="str">
        <x:v>Impulse-Momentum</x:v>
      </x:c>
      <x:c r="F325" t="str">
        <x:v>Strength &amp; Power</x:v>
      </x:c>
      <x:c r="G325" t="n">
        <x:v>235</x:v>
      </x:c>
      <x:c r="H325" t="str">
        <x:v>Ns</x:v>
      </x:c>
      <x:c r="I325" t="str">
        <x:v>higher</x:v>
      </x:c>
    </x:row>
    <x:row r="326" ht="15.75" customHeight="1">
      <x:c r="A326" t="str">
        <x:v>RVX-00014</x:v>
      </x:c>
      <x:c r="B326" t="n">
        <x:v>3</x:v>
      </x:c>
      <x:c r="C326" s="15" t="n">
        <x:v>46202</x:v>
      </x:c>
      <x:c r="D326" t="str">
        <x:v>sprint_5m</x:v>
      </x:c>
      <x:c r="E326" t="str">
        <x:v>5m Sprint</x:v>
      </x:c>
      <x:c r="F326" t="str">
        <x:v>Acceleration</x:v>
      </x:c>
      <x:c r="G326" t="n">
        <x:v>1.02</x:v>
      </x:c>
      <x:c r="H326" t="str">
        <x:v>sec</x:v>
      </x:c>
      <x:c r="I326" t="str">
        <x:v>lower</x:v>
      </x:c>
    </x:row>
    <x:row r="327" ht="15.75" customHeight="1">
      <x:c r="A327" t="str">
        <x:v>RVX-00014</x:v>
      </x:c>
      <x:c r="B327" t="n">
        <x:v>3</x:v>
      </x:c>
      <x:c r="C327" s="15" t="n">
        <x:v>46202</x:v>
      </x:c>
      <x:c r="D327" t="str">
        <x:v>sprint_10m</x:v>
      </x:c>
      <x:c r="E327" t="str">
        <x:v>10m Sprint</x:v>
      </x:c>
      <x:c r="F327" t="str">
        <x:v>Acceleration</x:v>
      </x:c>
      <x:c r="G327" t="n">
        <x:v>1.73</x:v>
      </x:c>
      <x:c r="H327" t="str">
        <x:v>sec</x:v>
      </x:c>
      <x:c r="I327" t="str">
        <x:v>lower</x:v>
      </x:c>
    </x:row>
    <x:row r="328" ht="15.75" customHeight="1">
      <x:c r="A328" t="str">
        <x:v>RVX-00014</x:v>
      </x:c>
      <x:c r="B328" t="n">
        <x:v>3</x:v>
      </x:c>
      <x:c r="C328" s="15" t="n">
        <x:v>46202</x:v>
      </x:c>
      <x:c r="D328" t="str">
        <x:v>pro_agility</x:v>
      </x:c>
      <x:c r="E328" t="str">
        <x:v>5-10-5 Pro Agility</x:v>
      </x:c>
      <x:c r="F328" t="str">
        <x:v>Agility</x:v>
      </x:c>
      <x:c r="G328" t="n">
        <x:v>4.47</x:v>
      </x:c>
      <x:c r="H328" t="str">
        <x:v>sec</x:v>
      </x:c>
      <x:c r="I328" t="str">
        <x:v>lower</x:v>
      </x:c>
    </x:row>
    <x:row r="329" ht="15.75" customHeight="1">
      <x:c r="A329" t="str">
        <x:v>RVX-00014</x:v>
      </x:c>
      <x:c r="B329" t="n">
        <x:v>3</x:v>
      </x:c>
      <x:c r="C329" s="15" t="n">
        <x:v>46202</x:v>
      </x:c>
      <x:c r="D329" t="str">
        <x:v>cmj_depth</x:v>
      </x:c>
      <x:c r="E329" t="str">
        <x:v>Countermovement Depth</x:v>
      </x:c>
      <x:c r="F329" t="str">
        <x:v>Movement</x:v>
      </x:c>
      <x:c r="G329" t="n">
        <x:v>33.7</x:v>
      </x:c>
      <x:c r="H329" t="str">
        <x:v>cm</x:v>
      </x:c>
      <x:c r="I329" t="str">
        <x:v>higher</x:v>
      </x:c>
    </x:row>
    <x:row r="330" ht="15.75" customHeight="1">
      <x:c r="A330" t="str">
        <x:v>RVX-00014</x:v>
      </x:c>
      <x:c r="B330" t="n">
        <x:v>3</x:v>
      </x:c>
      <x:c r="C330" s="15" t="n">
        <x:v>46202</x:v>
      </x:c>
      <x:c r="D330" t="str">
        <x:v>peak_force</x:v>
      </x:c>
      <x:c r="E330" t="str">
        <x:v>Peak Force</x:v>
      </x:c>
      <x:c r="F330" t="str">
        <x:v>Strength &amp; Power</x:v>
      </x:c>
      <x:c r="G330" t="n">
        <x:v>1957</x:v>
      </x:c>
      <x:c r="H330" t="str">
        <x:v>N</x:v>
      </x:c>
      <x:c r="I330" t="str">
        <x:v>higher</x:v>
      </x:c>
    </x:row>
    <x:row r="331" ht="15.75" customHeight="1">
      <x:c r="A331" t="str">
        <x:v>RVX-00014</x:v>
      </x:c>
      <x:c r="B331" t="n">
        <x:v>3</x:v>
      </x:c>
      <x:c r="C331" s="15" t="n">
        <x:v>46202</x:v>
      </x:c>
      <x:c r="D331" t="str">
        <x:v>impulse</x:v>
      </x:c>
      <x:c r="E331" t="str">
        <x:v>Impulse-Momentum</x:v>
      </x:c>
      <x:c r="F331" t="str">
        <x:v>Strength &amp; Power</x:v>
      </x:c>
      <x:c r="G331" t="n">
        <x:v>239.5</x:v>
      </x:c>
      <x:c r="H331" t="str">
        <x:v>Ns</x:v>
      </x:c>
      <x:c r="I331" t="str">
        <x:v>higher</x:v>
      </x:c>
    </x:row>
    <x:row r="332" ht="15.75" customHeight="1">
      <x:c r="A332" t="str">
        <x:v>RVX-00014</x:v>
      </x:c>
      <x:c r="B332" t="n">
        <x:v>4</x:v>
      </x:c>
      <x:c r="C332" s="15" t="n">
        <x:v>46230</x:v>
      </x:c>
      <x:c r="D332" t="str">
        <x:v>sprint_5m</x:v>
      </x:c>
      <x:c r="E332" t="str">
        <x:v>5m Sprint</x:v>
      </x:c>
      <x:c r="F332" t="str">
        <x:v>Acceleration</x:v>
      </x:c>
      <x:c r="G332" t="n">
        <x:v>0.99</x:v>
      </x:c>
      <x:c r="H332" t="str">
        <x:v>sec</x:v>
      </x:c>
      <x:c r="I332" t="str">
        <x:v>lower</x:v>
      </x:c>
    </x:row>
    <x:row r="333" ht="15.75" customHeight="1">
      <x:c r="A333" t="str">
        <x:v>RVX-00014</x:v>
      </x:c>
      <x:c r="B333" t="n">
        <x:v>4</x:v>
      </x:c>
      <x:c r="C333" s="15" t="n">
        <x:v>46230</x:v>
      </x:c>
      <x:c r="D333" t="str">
        <x:v>sprint_10m</x:v>
      </x:c>
      <x:c r="E333" t="str">
        <x:v>10m Sprint</x:v>
      </x:c>
      <x:c r="F333" t="str">
        <x:v>Acceleration</x:v>
      </x:c>
      <x:c r="G333" t="n">
        <x:v>1.69</x:v>
      </x:c>
      <x:c r="H333" t="str">
        <x:v>sec</x:v>
      </x:c>
      <x:c r="I333" t="str">
        <x:v>lower</x:v>
      </x:c>
    </x:row>
    <x:row r="334" ht="15.75" customHeight="1">
      <x:c r="A334" t="str">
        <x:v>RVX-00014</x:v>
      </x:c>
      <x:c r="B334" t="n">
        <x:v>4</x:v>
      </x:c>
      <x:c r="C334" s="15" t="n">
        <x:v>46230</x:v>
      </x:c>
      <x:c r="D334" t="str">
        <x:v>pro_agility</x:v>
      </x:c>
      <x:c r="E334" t="str">
        <x:v>5-10-5 Pro Agility</x:v>
      </x:c>
      <x:c r="F334" t="str">
        <x:v>Agility</x:v>
      </x:c>
      <x:c r="G334" t="n">
        <x:v>4.3</x:v>
      </x:c>
      <x:c r="H334" t="str">
        <x:v>sec</x:v>
      </x:c>
      <x:c r="I334" t="str">
        <x:v>lower</x:v>
      </x:c>
    </x:row>
    <x:row r="335" ht="15.75" customHeight="1">
      <x:c r="A335" t="str">
        <x:v>RVX-00014</x:v>
      </x:c>
      <x:c r="B335" t="n">
        <x:v>4</x:v>
      </x:c>
      <x:c r="C335" s="15" t="n">
        <x:v>46230</x:v>
      </x:c>
      <x:c r="D335" t="str">
        <x:v>cmj_depth</x:v>
      </x:c>
      <x:c r="E335" t="str">
        <x:v>Countermovement Depth</x:v>
      </x:c>
      <x:c r="F335" t="str">
        <x:v>Movement</x:v>
      </x:c>
      <x:c r="G335" t="n">
        <x:v>34.8</x:v>
      </x:c>
      <x:c r="H335" t="str">
        <x:v>cm</x:v>
      </x:c>
      <x:c r="I335" t="str">
        <x:v>higher</x:v>
      </x:c>
    </x:row>
    <x:row r="336" ht="15.75" customHeight="1">
      <x:c r="A336" t="str">
        <x:v>RVX-00014</x:v>
      </x:c>
      <x:c r="B336" t="n">
        <x:v>4</x:v>
      </x:c>
      <x:c r="C336" s="15" t="n">
        <x:v>46230</x:v>
      </x:c>
      <x:c r="D336" t="str">
        <x:v>peak_force</x:v>
      </x:c>
      <x:c r="E336" t="str">
        <x:v>Peak Force</x:v>
      </x:c>
      <x:c r="F336" t="str">
        <x:v>Strength &amp; Power</x:v>
      </x:c>
      <x:c r="G336" t="n">
        <x:v>2066</x:v>
      </x:c>
      <x:c r="H336" t="str">
        <x:v>N</x:v>
      </x:c>
      <x:c r="I336" t="str">
        <x:v>higher</x:v>
      </x:c>
    </x:row>
    <x:row r="337" ht="15.75" customHeight="1">
      <x:c r="A337" t="str">
        <x:v>RVX-00014</x:v>
      </x:c>
      <x:c r="B337" t="n">
        <x:v>4</x:v>
      </x:c>
      <x:c r="C337" s="15" t="n">
        <x:v>46230</x:v>
      </x:c>
      <x:c r="D337" t="str">
        <x:v>impulse</x:v>
      </x:c>
      <x:c r="E337" t="str">
        <x:v>Impulse-Momentum</x:v>
      </x:c>
      <x:c r="F337" t="str">
        <x:v>Strength &amp; Power</x:v>
      </x:c>
      <x:c r="G337" t="n">
        <x:v>250.1</x:v>
      </x:c>
      <x:c r="H337" t="str">
        <x:v>Ns</x:v>
      </x:c>
      <x:c r="I337" t="str">
        <x:v>higher</x:v>
      </x:c>
    </x:row>
    <x:row r="338" ht="15.75" customHeight="1">
      <x:c r="A338" t="str">
        <x:v>RVX-00015</x:v>
      </x:c>
      <x:c r="B338" t="n">
        <x:v>1</x:v>
      </x:c>
      <x:c r="C338" s="15" t="n">
        <x:v>46146</x:v>
      </x:c>
      <x:c r="D338" t="str">
        <x:v>sprint_5m</x:v>
      </x:c>
      <x:c r="E338" t="str">
        <x:v>5m Sprint</x:v>
      </x:c>
      <x:c r="F338" t="str">
        <x:v>Acceleration</x:v>
      </x:c>
      <x:c r="G338" t="n">
        <x:v>1.22</x:v>
      </x:c>
      <x:c r="H338" t="str">
        <x:v>sec</x:v>
      </x:c>
      <x:c r="I338" t="str">
        <x:v>lower</x:v>
      </x:c>
    </x:row>
    <x:row r="339" ht="15.75" customHeight="1">
      <x:c r="A339" t="str">
        <x:v>RVX-00015</x:v>
      </x:c>
      <x:c r="B339" t="n">
        <x:v>1</x:v>
      </x:c>
      <x:c r="C339" s="15" t="n">
        <x:v>46146</x:v>
      </x:c>
      <x:c r="D339" t="str">
        <x:v>sprint_10m</x:v>
      </x:c>
      <x:c r="E339" t="str">
        <x:v>10m Sprint</x:v>
      </x:c>
      <x:c r="F339" t="str">
        <x:v>Acceleration</x:v>
      </x:c>
      <x:c r="G339" t="n">
        <x:v>2.06</x:v>
      </x:c>
      <x:c r="H339" t="str">
        <x:v>sec</x:v>
      </x:c>
      <x:c r="I339" t="str">
        <x:v>lower</x:v>
      </x:c>
    </x:row>
    <x:row r="340" ht="15.75" customHeight="1">
      <x:c r="A340" t="str">
        <x:v>RVX-00015</x:v>
      </x:c>
      <x:c r="B340" t="n">
        <x:v>1</x:v>
      </x:c>
      <x:c r="C340" s="15" t="n">
        <x:v>46146</x:v>
      </x:c>
      <x:c r="D340" t="str">
        <x:v>pro_agility</x:v>
      </x:c>
      <x:c r="E340" t="str">
        <x:v>5-10-5 Pro Agility</x:v>
      </x:c>
      <x:c r="F340" t="str">
        <x:v>Agility</x:v>
      </x:c>
      <x:c r="G340" t="n">
        <x:v>5.26</x:v>
      </x:c>
      <x:c r="H340" t="str">
        <x:v>sec</x:v>
      </x:c>
      <x:c r="I340" t="str">
        <x:v>lower</x:v>
      </x:c>
    </x:row>
    <x:row r="341" ht="15.75" customHeight="1">
      <x:c r="A341" t="str">
        <x:v>RVX-00015</x:v>
      </x:c>
      <x:c r="B341" t="n">
        <x:v>1</x:v>
      </x:c>
      <x:c r="C341" s="15" t="n">
        <x:v>46146</x:v>
      </x:c>
      <x:c r="D341" t="str">
        <x:v>cmj_depth</x:v>
      </x:c>
      <x:c r="E341" t="str">
        <x:v>Countermovement Depth</x:v>
      </x:c>
      <x:c r="F341" t="str">
        <x:v>Movement</x:v>
      </x:c>
      <x:c r="G341" t="n">
        <x:v>27.4</x:v>
      </x:c>
      <x:c r="H341" t="str">
        <x:v>cm</x:v>
      </x:c>
      <x:c r="I341" t="str">
        <x:v>higher</x:v>
      </x:c>
    </x:row>
    <x:row r="342" ht="15.75" customHeight="1">
      <x:c r="A342" t="str">
        <x:v>RVX-00015</x:v>
      </x:c>
      <x:c r="B342" t="n">
        <x:v>1</x:v>
      </x:c>
      <x:c r="C342" s="15" t="n">
        <x:v>46146</x:v>
      </x:c>
      <x:c r="D342" t="str">
        <x:v>peak_force</x:v>
      </x:c>
      <x:c r="E342" t="str">
        <x:v>Peak Force</x:v>
      </x:c>
      <x:c r="F342" t="str">
        <x:v>Strength &amp; Power</x:v>
      </x:c>
      <x:c r="G342" t="n">
        <x:v>1550</x:v>
      </x:c>
      <x:c r="H342" t="str">
        <x:v>N</x:v>
      </x:c>
      <x:c r="I342" t="str">
        <x:v>higher</x:v>
      </x:c>
    </x:row>
    <x:row r="343" ht="15.75" customHeight="1">
      <x:c r="A343" t="str">
        <x:v>RVX-00015</x:v>
      </x:c>
      <x:c r="B343" t="n">
        <x:v>1</x:v>
      </x:c>
      <x:c r="C343" s="15" t="n">
        <x:v>46146</x:v>
      </x:c>
      <x:c r="D343" t="str">
        <x:v>impulse</x:v>
      </x:c>
      <x:c r="E343" t="str">
        <x:v>Impulse-Momentum</x:v>
      </x:c>
      <x:c r="F343" t="str">
        <x:v>Strength &amp; Power</x:v>
      </x:c>
      <x:c r="G343" t="n">
        <x:v>198.1</x:v>
      </x:c>
      <x:c r="H343" t="str">
        <x:v>Ns</x:v>
      </x:c>
      <x:c r="I343" t="str">
        <x:v>higher</x:v>
      </x:c>
    </x:row>
    <x:row r="344" ht="15.75" customHeight="1">
      <x:c r="A344" t="str">
        <x:v>RVX-00015</x:v>
      </x:c>
      <x:c r="B344" t="n">
        <x:v>2</x:v>
      </x:c>
      <x:c r="C344" s="15" t="n">
        <x:v>46174</x:v>
      </x:c>
      <x:c r="D344" t="str">
        <x:v>sprint_5m</x:v>
      </x:c>
      <x:c r="E344" t="str">
        <x:v>5m Sprint</x:v>
      </x:c>
      <x:c r="F344" t="str">
        <x:v>Acceleration</x:v>
      </x:c>
      <x:c r="G344" t="n">
        <x:v>1.22</x:v>
      </x:c>
      <x:c r="H344" t="str">
        <x:v>sec</x:v>
      </x:c>
      <x:c r="I344" t="str">
        <x:v>lower</x:v>
      </x:c>
    </x:row>
    <x:row r="345" ht="15.75" customHeight="1">
      <x:c r="A345" t="str">
        <x:v>RVX-00015</x:v>
      </x:c>
      <x:c r="B345" t="n">
        <x:v>2</x:v>
      </x:c>
      <x:c r="C345" s="15" t="n">
        <x:v>46174</x:v>
      </x:c>
      <x:c r="D345" t="str">
        <x:v>sprint_10m</x:v>
      </x:c>
      <x:c r="E345" t="str">
        <x:v>10m Sprint</x:v>
      </x:c>
      <x:c r="F345" t="str">
        <x:v>Acceleration</x:v>
      </x:c>
      <x:c r="G345" t="n">
        <x:v>2</x:v>
      </x:c>
      <x:c r="H345" t="str">
        <x:v>sec</x:v>
      </x:c>
      <x:c r="I345" t="str">
        <x:v>lower</x:v>
      </x:c>
    </x:row>
    <x:row r="346" ht="15.75" customHeight="1">
      <x:c r="A346" t="str">
        <x:v>RVX-00015</x:v>
      </x:c>
      <x:c r="B346" t="n">
        <x:v>2</x:v>
      </x:c>
      <x:c r="C346" s="15" t="n">
        <x:v>46174</x:v>
      </x:c>
      <x:c r="D346" t="str">
        <x:v>pro_agility</x:v>
      </x:c>
      <x:c r="E346" t="str">
        <x:v>5-10-5 Pro Agility</x:v>
      </x:c>
      <x:c r="F346" t="str">
        <x:v>Agility</x:v>
      </x:c>
      <x:c r="G346" t="n">
        <x:v>5.22</x:v>
      </x:c>
      <x:c r="H346" t="str">
        <x:v>sec</x:v>
      </x:c>
      <x:c r="I346" t="str">
        <x:v>lower</x:v>
      </x:c>
    </x:row>
    <x:row r="347" ht="15.75" customHeight="1">
      <x:c r="A347" t="str">
        <x:v>RVX-00015</x:v>
      </x:c>
      <x:c r="B347" t="n">
        <x:v>2</x:v>
      </x:c>
      <x:c r="C347" s="15" t="n">
        <x:v>46174</x:v>
      </x:c>
      <x:c r="D347" t="str">
        <x:v>cmj_depth</x:v>
      </x:c>
      <x:c r="E347" t="str">
        <x:v>Countermovement Depth</x:v>
      </x:c>
      <x:c r="F347" t="str">
        <x:v>Movement</x:v>
      </x:c>
      <x:c r="G347" t="n">
        <x:v>27.8</x:v>
      </x:c>
      <x:c r="H347" t="str">
        <x:v>cm</x:v>
      </x:c>
      <x:c r="I347" t="str">
        <x:v>higher</x:v>
      </x:c>
    </x:row>
    <x:row r="348" ht="15.75" customHeight="1">
      <x:c r="A348" t="str">
        <x:v>RVX-00015</x:v>
      </x:c>
      <x:c r="B348" t="n">
        <x:v>2</x:v>
      </x:c>
      <x:c r="C348" s="15" t="n">
        <x:v>46174</x:v>
      </x:c>
      <x:c r="D348" t="str">
        <x:v>peak_force</x:v>
      </x:c>
      <x:c r="E348" t="str">
        <x:v>Peak Force</x:v>
      </x:c>
      <x:c r="F348" t="str">
        <x:v>Strength &amp; Power</x:v>
      </x:c>
      <x:c r="G348" t="n">
        <x:v>1592</x:v>
      </x:c>
      <x:c r="H348" t="str">
        <x:v>N</x:v>
      </x:c>
      <x:c r="I348" t="str">
        <x:v>higher</x:v>
      </x:c>
    </x:row>
    <x:row r="349" ht="15.75" customHeight="1">
      <x:c r="A349" t="str">
        <x:v>RVX-00015</x:v>
      </x:c>
      <x:c r="B349" t="n">
        <x:v>2</x:v>
      </x:c>
      <x:c r="C349" s="15" t="n">
        <x:v>46174</x:v>
      </x:c>
      <x:c r="D349" t="str">
        <x:v>impulse</x:v>
      </x:c>
      <x:c r="E349" t="str">
        <x:v>Impulse-Momentum</x:v>
      </x:c>
      <x:c r="F349" t="str">
        <x:v>Strength &amp; Power</x:v>
      </x:c>
      <x:c r="G349" t="n">
        <x:v>196.4</x:v>
      </x:c>
      <x:c r="H349" t="str">
        <x:v>Ns</x:v>
      </x:c>
      <x:c r="I349" t="str">
        <x:v>higher</x:v>
      </x:c>
    </x:row>
    <x:row r="350" ht="15.75" customHeight="1">
      <x:c r="A350" t="str">
        <x:v>RVX-00015</x:v>
      </x:c>
      <x:c r="B350" t="n">
        <x:v>3</x:v>
      </x:c>
      <x:c r="C350" s="15" t="n">
        <x:v>46202</x:v>
      </x:c>
      <x:c r="D350" t="str">
        <x:v>sprint_5m</x:v>
      </x:c>
      <x:c r="E350" t="str">
        <x:v>5m Sprint</x:v>
      </x:c>
      <x:c r="F350" t="str">
        <x:v>Acceleration</x:v>
      </x:c>
      <x:c r="G350" t="n">
        <x:v>1.18</x:v>
      </x:c>
      <x:c r="H350" t="str">
        <x:v>sec</x:v>
      </x:c>
      <x:c r="I350" t="str">
        <x:v>lower</x:v>
      </x:c>
    </x:row>
    <x:row r="351" ht="15.75" customHeight="1">
      <x:c r="A351" t="str">
        <x:v>RVX-00015</x:v>
      </x:c>
      <x:c r="B351" t="n">
        <x:v>3</x:v>
      </x:c>
      <x:c r="C351" s="15" t="n">
        <x:v>46202</x:v>
      </x:c>
      <x:c r="D351" t="str">
        <x:v>sprint_10m</x:v>
      </x:c>
      <x:c r="E351" t="str">
        <x:v>10m Sprint</x:v>
      </x:c>
      <x:c r="F351" t="str">
        <x:v>Acceleration</x:v>
      </x:c>
      <x:c r="G351" t="n">
        <x:v>2.01</x:v>
      </x:c>
      <x:c r="H351" t="str">
        <x:v>sec</x:v>
      </x:c>
      <x:c r="I351" t="str">
        <x:v>lower</x:v>
      </x:c>
    </x:row>
    <x:row r="352" ht="15.75" customHeight="1">
      <x:c r="A352" t="str">
        <x:v>RVX-00015</x:v>
      </x:c>
      <x:c r="B352" t="n">
        <x:v>3</x:v>
      </x:c>
      <x:c r="C352" s="15" t="n">
        <x:v>46202</x:v>
      </x:c>
      <x:c r="D352" t="str">
        <x:v>pro_agility</x:v>
      </x:c>
      <x:c r="E352" t="str">
        <x:v>5-10-5 Pro Agility</x:v>
      </x:c>
      <x:c r="F352" t="str">
        <x:v>Agility</x:v>
      </x:c>
      <x:c r="G352" t="n">
        <x:v>5.13</x:v>
      </x:c>
      <x:c r="H352" t="str">
        <x:v>sec</x:v>
      </x:c>
      <x:c r="I352" t="str">
        <x:v>lower</x:v>
      </x:c>
    </x:row>
    <x:row r="353" ht="15.75" customHeight="1">
      <x:c r="A353" t="str">
        <x:v>RVX-00015</x:v>
      </x:c>
      <x:c r="B353" t="n">
        <x:v>3</x:v>
      </x:c>
      <x:c r="C353" s="15" t="n">
        <x:v>46202</x:v>
      </x:c>
      <x:c r="D353" t="str">
        <x:v>cmj_depth</x:v>
      </x:c>
      <x:c r="E353" t="str">
        <x:v>Countermovement Depth</x:v>
      </x:c>
      <x:c r="F353" t="str">
        <x:v>Movement</x:v>
      </x:c>
      <x:c r="G353" t="n">
        <x:v>28.4</x:v>
      </x:c>
      <x:c r="H353" t="str">
        <x:v>cm</x:v>
      </x:c>
      <x:c r="I353" t="str">
        <x:v>higher</x:v>
      </x:c>
    </x:row>
    <x:row r="354" ht="15.75" customHeight="1">
      <x:c r="A354" t="str">
        <x:v>RVX-00015</x:v>
      </x:c>
      <x:c r="B354" t="n">
        <x:v>3</x:v>
      </x:c>
      <x:c r="C354" s="15" t="n">
        <x:v>46202</x:v>
      </x:c>
      <x:c r="D354" t="str">
        <x:v>peak_force</x:v>
      </x:c>
      <x:c r="E354" t="str">
        <x:v>Peak Force</x:v>
      </x:c>
      <x:c r="F354" t="str">
        <x:v>Strength &amp; Power</x:v>
      </x:c>
      <x:c r="G354" t="n">
        <x:v>1647</x:v>
      </x:c>
      <x:c r="H354" t="str">
        <x:v>N</x:v>
      </x:c>
      <x:c r="I354" t="str">
        <x:v>higher</x:v>
      </x:c>
    </x:row>
    <x:row r="355" ht="15.75" customHeight="1">
      <x:c r="A355" t="str">
        <x:v>RVX-00015</x:v>
      </x:c>
      <x:c r="B355" t="n">
        <x:v>3</x:v>
      </x:c>
      <x:c r="C355" s="15" t="n">
        <x:v>46202</x:v>
      </x:c>
      <x:c r="D355" t="str">
        <x:v>impulse</x:v>
      </x:c>
      <x:c r="E355" t="str">
        <x:v>Impulse-Momentum</x:v>
      </x:c>
      <x:c r="F355" t="str">
        <x:v>Strength &amp; Power</x:v>
      </x:c>
      <x:c r="G355" t="n">
        <x:v>200.4</x:v>
      </x:c>
      <x:c r="H355" t="str">
        <x:v>Ns</x:v>
      </x:c>
      <x:c r="I355" t="str">
        <x:v>higher</x:v>
      </x:c>
    </x:row>
    <x:row r="356" ht="15.75" customHeight="1">
      <x:c r="A356" t="str">
        <x:v>RVX-00015</x:v>
      </x:c>
      <x:c r="B356" t="n">
        <x:v>4</x:v>
      </x:c>
      <x:c r="C356" s="15" t="n">
        <x:v>46230</x:v>
      </x:c>
      <x:c r="D356" t="str">
        <x:v>sprint_5m</x:v>
      </x:c>
      <x:c r="E356" t="str">
        <x:v>5m Sprint</x:v>
      </x:c>
      <x:c r="F356" t="str">
        <x:v>Acceleration</x:v>
      </x:c>
      <x:c r="G356" t="n">
        <x:v>1.2</x:v>
      </x:c>
      <x:c r="H356" t="str">
        <x:v>sec</x:v>
      </x:c>
      <x:c r="I356" t="str">
        <x:v>lower</x:v>
      </x:c>
    </x:row>
    <x:row r="357" ht="15.75" customHeight="1">
      <x:c r="A357" t="str">
        <x:v>RVX-00015</x:v>
      </x:c>
      <x:c r="B357" t="n">
        <x:v>4</x:v>
      </x:c>
      <x:c r="C357" s="15" t="n">
        <x:v>46230</x:v>
      </x:c>
      <x:c r="D357" t="str">
        <x:v>sprint_10m</x:v>
      </x:c>
      <x:c r="E357" t="str">
        <x:v>10m Sprint</x:v>
      </x:c>
      <x:c r="F357" t="str">
        <x:v>Acceleration</x:v>
      </x:c>
      <x:c r="G357" t="n">
        <x:v>1.99</x:v>
      </x:c>
      <x:c r="H357" t="str">
        <x:v>sec</x:v>
      </x:c>
      <x:c r="I357" t="str">
        <x:v>lower</x:v>
      </x:c>
    </x:row>
    <x:row r="358" ht="15.75" customHeight="1">
      <x:c r="A358" t="str">
        <x:v>RVX-00015</x:v>
      </x:c>
      <x:c r="B358" t="n">
        <x:v>4</x:v>
      </x:c>
      <x:c r="C358" s="15" t="n">
        <x:v>46230</x:v>
      </x:c>
      <x:c r="D358" t="str">
        <x:v>pro_agility</x:v>
      </x:c>
      <x:c r="E358" t="str">
        <x:v>5-10-5 Pro Agility</x:v>
      </x:c>
      <x:c r="F358" t="str">
        <x:v>Agility</x:v>
      </x:c>
      <x:c r="G358" t="n">
        <x:v>4.97</x:v>
      </x:c>
      <x:c r="H358" t="str">
        <x:v>sec</x:v>
      </x:c>
      <x:c r="I358" t="str">
        <x:v>lower</x:v>
      </x:c>
    </x:row>
    <x:row r="359" ht="15.75" customHeight="1">
      <x:c r="A359" t="str">
        <x:v>RVX-00015</x:v>
      </x:c>
      <x:c r="B359" t="n">
        <x:v>4</x:v>
      </x:c>
      <x:c r="C359" s="15" t="n">
        <x:v>46230</x:v>
      </x:c>
      <x:c r="D359" t="str">
        <x:v>cmj_depth</x:v>
      </x:c>
      <x:c r="E359" t="str">
        <x:v>Countermovement Depth</x:v>
      </x:c>
      <x:c r="F359" t="str">
        <x:v>Movement</x:v>
      </x:c>
      <x:c r="G359" t="n">
        <x:v>28.4</x:v>
      </x:c>
      <x:c r="H359" t="str">
        <x:v>cm</x:v>
      </x:c>
      <x:c r="I359" t="str">
        <x:v>higher</x:v>
      </x:c>
    </x:row>
    <x:row r="360" ht="15.75" customHeight="1">
      <x:c r="A360" t="str">
        <x:v>RVX-00015</x:v>
      </x:c>
      <x:c r="B360" t="n">
        <x:v>4</x:v>
      </x:c>
      <x:c r="C360" s="15" t="n">
        <x:v>46230</x:v>
      </x:c>
      <x:c r="D360" t="str">
        <x:v>peak_force</x:v>
      </x:c>
      <x:c r="E360" t="str">
        <x:v>Peak Force</x:v>
      </x:c>
      <x:c r="F360" t="str">
        <x:v>Strength &amp; Power</x:v>
      </x:c>
      <x:c r="G360" t="n">
        <x:v>1692</x:v>
      </x:c>
      <x:c r="H360" t="str">
        <x:v>N</x:v>
      </x:c>
      <x:c r="I360" t="str">
        <x:v>higher</x:v>
      </x:c>
    </x:row>
    <x:row r="361" ht="15.75" customHeight="1">
      <x:c r="A361" t="str">
        <x:v>RVX-00015</x:v>
      </x:c>
      <x:c r="B361" t="n">
        <x:v>4</x:v>
      </x:c>
      <x:c r="C361" s="15" t="n">
        <x:v>46230</x:v>
      </x:c>
      <x:c r="D361" t="str">
        <x:v>impulse</x:v>
      </x:c>
      <x:c r="E361" t="str">
        <x:v>Impulse-Momentum</x:v>
      </x:c>
      <x:c r="F361" t="str">
        <x:v>Strength &amp; Power</x:v>
      </x:c>
      <x:c r="G361" t="n">
        <x:v>206.2</x:v>
      </x:c>
      <x:c r="H361" t="str">
        <x:v>Ns</x:v>
      </x:c>
      <x:c r="I361" t="str">
        <x:v>higher</x:v>
      </x:c>
    </x:row>
    <x:row r="362" ht="15.75" customHeight="1">
      <x:c r="A362" t="str">
        <x:v>RVX-00016</x:v>
      </x:c>
      <x:c r="B362" t="n">
        <x:v>1</x:v>
      </x:c>
      <x:c r="C362" s="15" t="n">
        <x:v>46146</x:v>
      </x:c>
      <x:c r="D362" t="str">
        <x:v>sprint_5m</x:v>
      </x:c>
      <x:c r="E362" t="str">
        <x:v>5m Sprint</x:v>
      </x:c>
      <x:c r="F362" t="str">
        <x:v>Acceleration</x:v>
      </x:c>
      <x:c r="G362" t="n">
        <x:v>0.97</x:v>
      </x:c>
      <x:c r="H362" t="str">
        <x:v>sec</x:v>
      </x:c>
      <x:c r="I362" t="str">
        <x:v>lower</x:v>
      </x:c>
    </x:row>
    <x:row r="363" ht="15.75" customHeight="1">
      <x:c r="A363" t="str">
        <x:v>RVX-00016</x:v>
      </x:c>
      <x:c r="B363" t="n">
        <x:v>1</x:v>
      </x:c>
      <x:c r="C363" s="15" t="n">
        <x:v>46146</x:v>
      </x:c>
      <x:c r="D363" t="str">
        <x:v>sprint_10m</x:v>
      </x:c>
      <x:c r="E363" t="str">
        <x:v>10m Sprint</x:v>
      </x:c>
      <x:c r="F363" t="str">
        <x:v>Acceleration</x:v>
      </x:c>
      <x:c r="G363" t="n">
        <x:v>1.58</x:v>
      </x:c>
      <x:c r="H363" t="str">
        <x:v>sec</x:v>
      </x:c>
      <x:c r="I363" t="str">
        <x:v>lower</x:v>
      </x:c>
    </x:row>
    <x:row r="364" ht="15.75" customHeight="1">
      <x:c r="A364" t="str">
        <x:v>RVX-00016</x:v>
      </x:c>
      <x:c r="B364" t="n">
        <x:v>1</x:v>
      </x:c>
      <x:c r="C364" s="15" t="n">
        <x:v>46146</x:v>
      </x:c>
      <x:c r="D364" t="str">
        <x:v>pro_agility</x:v>
      </x:c>
      <x:c r="E364" t="str">
        <x:v>5-10-5 Pro Agility</x:v>
      </x:c>
      <x:c r="F364" t="str">
        <x:v>Agility</x:v>
      </x:c>
      <x:c r="G364" t="n">
        <x:v>4.22</x:v>
      </x:c>
      <x:c r="H364" t="str">
        <x:v>sec</x:v>
      </x:c>
      <x:c r="I364" t="str">
        <x:v>lower</x:v>
      </x:c>
    </x:row>
    <x:row r="365" ht="15.75" customHeight="1">
      <x:c r="A365" t="str">
        <x:v>RVX-00016</x:v>
      </x:c>
      <x:c r="B365" t="n">
        <x:v>1</x:v>
      </x:c>
      <x:c r="C365" s="15" t="n">
        <x:v>46146</x:v>
      </x:c>
      <x:c r="D365" t="str">
        <x:v>cmj_depth</x:v>
      </x:c>
      <x:c r="E365" t="str">
        <x:v>Countermovement Depth</x:v>
      </x:c>
      <x:c r="F365" t="str">
        <x:v>Movement</x:v>
      </x:c>
      <x:c r="G365" t="n">
        <x:v>36.6</x:v>
      </x:c>
      <x:c r="H365" t="str">
        <x:v>cm</x:v>
      </x:c>
      <x:c r="I365" t="str">
        <x:v>higher</x:v>
      </x:c>
    </x:row>
    <x:row r="366" ht="15.75" customHeight="1">
      <x:c r="A366" t="str">
        <x:v>RVX-00016</x:v>
      </x:c>
      <x:c r="B366" t="n">
        <x:v>1</x:v>
      </x:c>
      <x:c r="C366" s="15" t="n">
        <x:v>46146</x:v>
      </x:c>
      <x:c r="D366" t="str">
        <x:v>peak_force</x:v>
      </x:c>
      <x:c r="E366" t="str">
        <x:v>Peak Force</x:v>
      </x:c>
      <x:c r="F366" t="str">
        <x:v>Strength &amp; Power</x:v>
      </x:c>
      <x:c r="G366" t="n">
        <x:v>2152</x:v>
      </x:c>
      <x:c r="H366" t="str">
        <x:v>N</x:v>
      </x:c>
      <x:c r="I366" t="str">
        <x:v>higher</x:v>
      </x:c>
    </x:row>
    <x:row r="367" ht="15.75" customHeight="1">
      <x:c r="A367" t="str">
        <x:v>RVX-00016</x:v>
      </x:c>
      <x:c r="B367" t="n">
        <x:v>1</x:v>
      </x:c>
      <x:c r="C367" s="15" t="n">
        <x:v>46146</x:v>
      </x:c>
      <x:c r="D367" t="str">
        <x:v>impulse</x:v>
      </x:c>
      <x:c r="E367" t="str">
        <x:v>Impulse-Momentum</x:v>
      </x:c>
      <x:c r="F367" t="str">
        <x:v>Strength &amp; Power</x:v>
      </x:c>
      <x:c r="G367" t="n">
        <x:v>255.6</x:v>
      </x:c>
      <x:c r="H367" t="str">
        <x:v>Ns</x:v>
      </x:c>
      <x:c r="I367" t="str">
        <x:v>higher</x:v>
      </x:c>
    </x:row>
    <x:row r="368" ht="15.75" customHeight="1">
      <x:c r="A368" t="str">
        <x:v>RVX-00016</x:v>
      </x:c>
      <x:c r="B368" t="n">
        <x:v>2</x:v>
      </x:c>
      <x:c r="C368" s="15" t="n">
        <x:v>46174</x:v>
      </x:c>
      <x:c r="D368" t="str">
        <x:v>sprint_5m</x:v>
      </x:c>
      <x:c r="E368" t="str">
        <x:v>5m Sprint</x:v>
      </x:c>
      <x:c r="F368" t="str">
        <x:v>Acceleration</x:v>
      </x:c>
      <x:c r="G368" t="n">
        <x:v>0.96</x:v>
      </x:c>
      <x:c r="H368" t="str">
        <x:v>sec</x:v>
      </x:c>
      <x:c r="I368" t="str">
        <x:v>lower</x:v>
      </x:c>
    </x:row>
    <x:row r="369" ht="15.75" customHeight="1">
      <x:c r="A369" t="str">
        <x:v>RVX-00016</x:v>
      </x:c>
      <x:c r="B369" t="n">
        <x:v>2</x:v>
      </x:c>
      <x:c r="C369" s="15" t="n">
        <x:v>46174</x:v>
      </x:c>
      <x:c r="D369" t="str">
        <x:v>sprint_10m</x:v>
      </x:c>
      <x:c r="E369" t="str">
        <x:v>10m Sprint</x:v>
      </x:c>
      <x:c r="F369" t="str">
        <x:v>Acceleration</x:v>
      </x:c>
      <x:c r="G369" t="n">
        <x:v>1.6</x:v>
      </x:c>
      <x:c r="H369" t="str">
        <x:v>sec</x:v>
      </x:c>
      <x:c r="I369" t="str">
        <x:v>lower</x:v>
      </x:c>
    </x:row>
    <x:row r="370" ht="15.75" customHeight="1">
      <x:c r="A370" t="str">
        <x:v>RVX-00016</x:v>
      </x:c>
      <x:c r="B370" t="n">
        <x:v>2</x:v>
      </x:c>
      <x:c r="C370" s="15" t="n">
        <x:v>46174</x:v>
      </x:c>
      <x:c r="D370" t="str">
        <x:v>pro_agility</x:v>
      </x:c>
      <x:c r="E370" t="str">
        <x:v>5-10-5 Pro Agility</x:v>
      </x:c>
      <x:c r="F370" t="str">
        <x:v>Agility</x:v>
      </x:c>
      <x:c r="G370" t="n">
        <x:v>4.14</x:v>
      </x:c>
      <x:c r="H370" t="str">
        <x:v>sec</x:v>
      </x:c>
      <x:c r="I370" t="str">
        <x:v>lower</x:v>
      </x:c>
    </x:row>
    <x:row r="371" ht="15.75" customHeight="1">
      <x:c r="A371" t="str">
        <x:v>RVX-00016</x:v>
      </x:c>
      <x:c r="B371" t="n">
        <x:v>2</x:v>
      </x:c>
      <x:c r="C371" s="15" t="n">
        <x:v>46174</x:v>
      </x:c>
      <x:c r="D371" t="str">
        <x:v>cmj_depth</x:v>
      </x:c>
      <x:c r="E371" t="str">
        <x:v>Countermovement Depth</x:v>
      </x:c>
      <x:c r="F371" t="str">
        <x:v>Movement</x:v>
      </x:c>
      <x:c r="G371" t="n">
        <x:v>36.7</x:v>
      </x:c>
      <x:c r="H371" t="str">
        <x:v>cm</x:v>
      </x:c>
      <x:c r="I371" t="str">
        <x:v>higher</x:v>
      </x:c>
    </x:row>
    <x:row r="372" ht="15.75" customHeight="1">
      <x:c r="A372" t="str">
        <x:v>RVX-00016</x:v>
      </x:c>
      <x:c r="B372" t="n">
        <x:v>2</x:v>
      </x:c>
      <x:c r="C372" s="15" t="n">
        <x:v>46174</x:v>
      </x:c>
      <x:c r="D372" t="str">
        <x:v>peak_force</x:v>
      </x:c>
      <x:c r="E372" t="str">
        <x:v>Peak Force</x:v>
      </x:c>
      <x:c r="F372" t="str">
        <x:v>Strength &amp; Power</x:v>
      </x:c>
      <x:c r="G372" t="n">
        <x:v>2122</x:v>
      </x:c>
      <x:c r="H372" t="str">
        <x:v>N</x:v>
      </x:c>
      <x:c r="I372" t="str">
        <x:v>higher</x:v>
      </x:c>
    </x:row>
    <x:row r="373" ht="15.75" customHeight="1">
      <x:c r="A373" t="str">
        <x:v>RVX-00016</x:v>
      </x:c>
      <x:c r="B373" t="n">
        <x:v>2</x:v>
      </x:c>
      <x:c r="C373" s="15" t="n">
        <x:v>46174</x:v>
      </x:c>
      <x:c r="D373" t="str">
        <x:v>impulse</x:v>
      </x:c>
      <x:c r="E373" t="str">
        <x:v>Impulse-Momentum</x:v>
      </x:c>
      <x:c r="F373" t="str">
        <x:v>Strength &amp; Power</x:v>
      </x:c>
      <x:c r="G373" t="n">
        <x:v>268.3</x:v>
      </x:c>
      <x:c r="H373" t="str">
        <x:v>Ns</x:v>
      </x:c>
      <x:c r="I373" t="str">
        <x:v>higher</x:v>
      </x:c>
    </x:row>
    <x:row r="374" ht="15.75" customHeight="1">
      <x:c r="A374" t="str">
        <x:v>RVX-00016</x:v>
      </x:c>
      <x:c r="B374" t="n">
        <x:v>3</x:v>
      </x:c>
      <x:c r="C374" s="15" t="n">
        <x:v>46202</x:v>
      </x:c>
      <x:c r="D374" t="str">
        <x:v>sprint_5m</x:v>
      </x:c>
      <x:c r="E374" t="str">
        <x:v>5m Sprint</x:v>
      </x:c>
      <x:c r="F374" t="str">
        <x:v>Acceleration</x:v>
      </x:c>
      <x:c r="G374" t="n">
        <x:v>0.92</x:v>
      </x:c>
      <x:c r="H374" t="str">
        <x:v>sec</x:v>
      </x:c>
      <x:c r="I374" t="str">
        <x:v>lower</x:v>
      </x:c>
    </x:row>
    <x:row r="375" ht="15.75" customHeight="1">
      <x:c r="A375" t="str">
        <x:v>RVX-00016</x:v>
      </x:c>
      <x:c r="B375" t="n">
        <x:v>3</x:v>
      </x:c>
      <x:c r="C375" s="15" t="n">
        <x:v>46202</x:v>
      </x:c>
      <x:c r="D375" t="str">
        <x:v>sprint_10m</x:v>
      </x:c>
      <x:c r="E375" t="str">
        <x:v>10m Sprint</x:v>
      </x:c>
      <x:c r="F375" t="str">
        <x:v>Acceleration</x:v>
      </x:c>
      <x:c r="G375" t="n">
        <x:v>1.58</x:v>
      </x:c>
      <x:c r="H375" t="str">
        <x:v>sec</x:v>
      </x:c>
      <x:c r="I375" t="str">
        <x:v>lower</x:v>
      </x:c>
    </x:row>
    <x:row r="376" ht="15.75" customHeight="1">
      <x:c r="A376" t="str">
        <x:v>RVX-00016</x:v>
      </x:c>
      <x:c r="B376" t="n">
        <x:v>3</x:v>
      </x:c>
      <x:c r="C376" s="15" t="n">
        <x:v>46202</x:v>
      </x:c>
      <x:c r="D376" t="str">
        <x:v>pro_agility</x:v>
      </x:c>
      <x:c r="E376" t="str">
        <x:v>5-10-5 Pro Agility</x:v>
      </x:c>
      <x:c r="F376" t="str">
        <x:v>Agility</x:v>
      </x:c>
      <x:c r="G376" t="n">
        <x:v>3.9</x:v>
      </x:c>
      <x:c r="H376" t="str">
        <x:v>sec</x:v>
      </x:c>
      <x:c r="I376" t="str">
        <x:v>lower</x:v>
      </x:c>
    </x:row>
    <x:row r="377" ht="15.75" customHeight="1">
      <x:c r="A377" t="str">
        <x:v>RVX-00016</x:v>
      </x:c>
      <x:c r="B377" t="n">
        <x:v>3</x:v>
      </x:c>
      <x:c r="C377" s="15" t="n">
        <x:v>46202</x:v>
      </x:c>
      <x:c r="D377" t="str">
        <x:v>cmj_depth</x:v>
      </x:c>
      <x:c r="E377" t="str">
        <x:v>Countermovement Depth</x:v>
      </x:c>
      <x:c r="F377" t="str">
        <x:v>Movement</x:v>
      </x:c>
      <x:c r="G377" t="n">
        <x:v>37.9</x:v>
      </x:c>
      <x:c r="H377" t="str">
        <x:v>cm</x:v>
      </x:c>
      <x:c r="I377" t="str">
        <x:v>higher</x:v>
      </x:c>
    </x:row>
    <x:row r="378" ht="15.75" customHeight="1">
      <x:c r="A378" t="str">
        <x:v>RVX-00016</x:v>
      </x:c>
      <x:c r="B378" t="n">
        <x:v>3</x:v>
      </x:c>
      <x:c r="C378" s="15" t="n">
        <x:v>46202</x:v>
      </x:c>
      <x:c r="D378" t="str">
        <x:v>peak_force</x:v>
      </x:c>
      <x:c r="E378" t="str">
        <x:v>Peak Force</x:v>
      </x:c>
      <x:c r="F378" t="str">
        <x:v>Strength &amp; Power</x:v>
      </x:c>
      <x:c r="G378" t="n">
        <x:v>2186</x:v>
      </x:c>
      <x:c r="H378" t="str">
        <x:v>N</x:v>
      </x:c>
      <x:c r="I378" t="str">
        <x:v>higher</x:v>
      </x:c>
    </x:row>
    <x:row r="379" ht="15.75" customHeight="1">
      <x:c r="A379" t="str">
        <x:v>RVX-00016</x:v>
      </x:c>
      <x:c r="B379" t="n">
        <x:v>3</x:v>
      </x:c>
      <x:c r="C379" s="15" t="n">
        <x:v>46202</x:v>
      </x:c>
      <x:c r="D379" t="str">
        <x:v>impulse</x:v>
      </x:c>
      <x:c r="E379" t="str">
        <x:v>Impulse-Momentum</x:v>
      </x:c>
      <x:c r="F379" t="str">
        <x:v>Strength &amp; Power</x:v>
      </x:c>
      <x:c r="G379" t="n">
        <x:v>262.8</x:v>
      </x:c>
      <x:c r="H379" t="str">
        <x:v>Ns</x:v>
      </x:c>
      <x:c r="I379" t="str">
        <x:v>higher</x:v>
      </x:c>
    </x:row>
    <x:row r="380" ht="15.75" customHeight="1">
      <x:c r="A380" t="str">
        <x:v>RVX-00016</x:v>
      </x:c>
      <x:c r="B380" t="n">
        <x:v>4</x:v>
      </x:c>
      <x:c r="C380" s="15" t="n">
        <x:v>46230</x:v>
      </x:c>
      <x:c r="D380" t="str">
        <x:v>sprint_5m</x:v>
      </x:c>
      <x:c r="E380" t="str">
        <x:v>5m Sprint</x:v>
      </x:c>
      <x:c r="F380" t="str">
        <x:v>Acceleration</x:v>
      </x:c>
      <x:c r="G380" t="n">
        <x:v>0.93</x:v>
      </x:c>
      <x:c r="H380" t="str">
        <x:v>sec</x:v>
      </x:c>
      <x:c r="I380" t="str">
        <x:v>lower</x:v>
      </x:c>
    </x:row>
    <x:row r="381" ht="15.75" customHeight="1">
      <x:c r="A381" t="str">
        <x:v>RVX-00016</x:v>
      </x:c>
      <x:c r="B381" t="n">
        <x:v>4</x:v>
      </x:c>
      <x:c r="C381" s="15" t="n">
        <x:v>46230</x:v>
      </x:c>
      <x:c r="D381" t="str">
        <x:v>sprint_10m</x:v>
      </x:c>
      <x:c r="E381" t="str">
        <x:v>10m Sprint</x:v>
      </x:c>
      <x:c r="F381" t="str">
        <x:v>Acceleration</x:v>
      </x:c>
      <x:c r="G381" t="n">
        <x:v>1.5</x:v>
      </x:c>
      <x:c r="H381" t="str">
        <x:v>sec</x:v>
      </x:c>
      <x:c r="I381" t="str">
        <x:v>lower</x:v>
      </x:c>
    </x:row>
    <x:row r="382" ht="15.75" customHeight="1">
      <x:c r="A382" t="str">
        <x:v>RVX-00016</x:v>
      </x:c>
      <x:c r="B382" t="n">
        <x:v>4</x:v>
      </x:c>
      <x:c r="C382" s="15" t="n">
        <x:v>46230</x:v>
      </x:c>
      <x:c r="D382" t="str">
        <x:v>pro_agility</x:v>
      </x:c>
      <x:c r="E382" t="str">
        <x:v>5-10-5 Pro Agility</x:v>
      </x:c>
      <x:c r="F382" t="str">
        <x:v>Agility</x:v>
      </x:c>
      <x:c r="G382" t="n">
        <x:v>4.02</x:v>
      </x:c>
      <x:c r="H382" t="str">
        <x:v>sec</x:v>
      </x:c>
      <x:c r="I382" t="str">
        <x:v>lower</x:v>
      </x:c>
    </x:row>
    <x:row r="383" ht="15.75" customHeight="1">
      <x:c r="A383" t="str">
        <x:v>RVX-00016</x:v>
      </x:c>
      <x:c r="B383" t="n">
        <x:v>4</x:v>
      </x:c>
      <x:c r="C383" s="15" t="n">
        <x:v>46230</x:v>
      </x:c>
      <x:c r="D383" t="str">
        <x:v>cmj_depth</x:v>
      </x:c>
      <x:c r="E383" t="str">
        <x:v>Countermovement Depth</x:v>
      </x:c>
      <x:c r="F383" t="str">
        <x:v>Movement</x:v>
      </x:c>
      <x:c r="G383" t="n">
        <x:v>38</x:v>
      </x:c>
      <x:c r="H383" t="str">
        <x:v>cm</x:v>
      </x:c>
      <x:c r="I383" t="str">
        <x:v>higher</x:v>
      </x:c>
    </x:row>
    <x:row r="384" ht="15.75" customHeight="1">
      <x:c r="A384" t="str">
        <x:v>RVX-00016</x:v>
      </x:c>
      <x:c r="B384" t="n">
        <x:v>4</x:v>
      </x:c>
      <x:c r="C384" s="15" t="n">
        <x:v>46230</x:v>
      </x:c>
      <x:c r="D384" t="str">
        <x:v>peak_force</x:v>
      </x:c>
      <x:c r="E384" t="str">
        <x:v>Peak Force</x:v>
      </x:c>
      <x:c r="F384" t="str">
        <x:v>Strength &amp; Power</x:v>
      </x:c>
      <x:c r="G384" t="n">
        <x:v>2221</x:v>
      </x:c>
      <x:c r="H384" t="str">
        <x:v>N</x:v>
      </x:c>
      <x:c r="I384" t="str">
        <x:v>higher</x:v>
      </x:c>
    </x:row>
    <x:row r="385" ht="15.75" customHeight="1">
      <x:c r="A385" t="str">
        <x:v>RVX-00016</x:v>
      </x:c>
      <x:c r="B385" t="n">
        <x:v>4</x:v>
      </x:c>
      <x:c r="C385" s="15" t="n">
        <x:v>46230</x:v>
      </x:c>
      <x:c r="D385" t="str">
        <x:v>impulse</x:v>
      </x:c>
      <x:c r="E385" t="str">
        <x:v>Impulse-Momentum</x:v>
      </x:c>
      <x:c r="F385" t="str">
        <x:v>Strength &amp; Power</x:v>
      </x:c>
      <x:c r="G385" t="n">
        <x:v>274.3</x:v>
      </x:c>
      <x:c r="H385" t="str">
        <x:v>Ns</x:v>
      </x:c>
      <x:c r="I385" t="str">
        <x:v>higher</x:v>
      </x:c>
    </x:row>
    <x:row r="386" ht="15.75" customHeight="1">
      <x:c r="A386" t="str">
        <x:v>RVX-00017</x:v>
      </x:c>
      <x:c r="B386" t="n">
        <x:v>1</x:v>
      </x:c>
      <x:c r="C386" s="15" t="n">
        <x:v>46146</x:v>
      </x:c>
      <x:c r="D386" t="str">
        <x:v>sprint_5m</x:v>
      </x:c>
      <x:c r="E386" t="str">
        <x:v>5m Sprint</x:v>
      </x:c>
      <x:c r="F386" t="str">
        <x:v>Acceleration</x:v>
      </x:c>
      <x:c r="G386" t="n">
        <x:v>1.12</x:v>
      </x:c>
      <x:c r="H386" t="str">
        <x:v>sec</x:v>
      </x:c>
      <x:c r="I386" t="str">
        <x:v>lower</x:v>
      </x:c>
    </x:row>
    <x:row r="387" ht="15.75" customHeight="1">
      <x:c r="A387" t="str">
        <x:v>RVX-00017</x:v>
      </x:c>
      <x:c r="B387" t="n">
        <x:v>1</x:v>
      </x:c>
      <x:c r="C387" s="15" t="n">
        <x:v>46146</x:v>
      </x:c>
      <x:c r="D387" t="str">
        <x:v>sprint_10m</x:v>
      </x:c>
      <x:c r="E387" t="str">
        <x:v>10m Sprint</x:v>
      </x:c>
      <x:c r="F387" t="str">
        <x:v>Acceleration</x:v>
      </x:c>
      <x:c r="G387" t="n">
        <x:v>1.86</x:v>
      </x:c>
      <x:c r="H387" t="str">
        <x:v>sec</x:v>
      </x:c>
      <x:c r="I387" t="str">
        <x:v>lower</x:v>
      </x:c>
    </x:row>
    <x:row r="388" ht="15.75" customHeight="1">
      <x:c r="A388" t="str">
        <x:v>RVX-00017</x:v>
      </x:c>
      <x:c r="B388" t="n">
        <x:v>1</x:v>
      </x:c>
      <x:c r="C388" s="15" t="n">
        <x:v>46146</x:v>
      </x:c>
      <x:c r="D388" t="str">
        <x:v>pro_agility</x:v>
      </x:c>
      <x:c r="E388" t="str">
        <x:v>5-10-5 Pro Agility</x:v>
      </x:c>
      <x:c r="F388" t="str">
        <x:v>Agility</x:v>
      </x:c>
      <x:c r="G388" t="n">
        <x:v>4.71</x:v>
      </x:c>
      <x:c r="H388" t="str">
        <x:v>sec</x:v>
      </x:c>
      <x:c r="I388" t="str">
        <x:v>lower</x:v>
      </x:c>
    </x:row>
    <x:row r="389" ht="15.75" customHeight="1">
      <x:c r="A389" t="str">
        <x:v>RVX-00017</x:v>
      </x:c>
      <x:c r="B389" t="n">
        <x:v>1</x:v>
      </x:c>
      <x:c r="C389" s="15" t="n">
        <x:v>46146</x:v>
      </x:c>
      <x:c r="D389" t="str">
        <x:v>cmj_depth</x:v>
      </x:c>
      <x:c r="E389" t="str">
        <x:v>Countermovement Depth</x:v>
      </x:c>
      <x:c r="F389" t="str">
        <x:v>Movement</x:v>
      </x:c>
      <x:c r="G389" t="n">
        <x:v>29.4</x:v>
      </x:c>
      <x:c r="H389" t="str">
        <x:v>cm</x:v>
      </x:c>
      <x:c r="I389" t="str">
        <x:v>higher</x:v>
      </x:c>
    </x:row>
    <x:row r="390" ht="15.75" customHeight="1">
      <x:c r="A390" t="str">
        <x:v>RVX-00017</x:v>
      </x:c>
      <x:c r="B390" t="n">
        <x:v>1</x:v>
      </x:c>
      <x:c r="C390" s="15" t="n">
        <x:v>46146</x:v>
      </x:c>
      <x:c r="D390" t="str">
        <x:v>peak_force</x:v>
      </x:c>
      <x:c r="E390" t="str">
        <x:v>Peak Force</x:v>
      </x:c>
      <x:c r="F390" t="str">
        <x:v>Strength &amp; Power</x:v>
      </x:c>
      <x:c r="G390" t="n">
        <x:v>1747</x:v>
      </x:c>
      <x:c r="H390" t="str">
        <x:v>N</x:v>
      </x:c>
      <x:c r="I390" t="str">
        <x:v>higher</x:v>
      </x:c>
    </x:row>
    <x:row r="391" ht="15.75" customHeight="1">
      <x:c r="A391" t="str">
        <x:v>RVX-00017</x:v>
      </x:c>
      <x:c r="B391" t="n">
        <x:v>1</x:v>
      </x:c>
      <x:c r="C391" s="15" t="n">
        <x:v>46146</x:v>
      </x:c>
      <x:c r="D391" t="str">
        <x:v>impulse</x:v>
      </x:c>
      <x:c r="E391" t="str">
        <x:v>Impulse-Momentum</x:v>
      </x:c>
      <x:c r="F391" t="str">
        <x:v>Strength &amp; Power</x:v>
      </x:c>
      <x:c r="G391" t="n">
        <x:v>216.7</x:v>
      </x:c>
      <x:c r="H391" t="str">
        <x:v>Ns</x:v>
      </x:c>
      <x:c r="I391" t="str">
        <x:v>higher</x:v>
      </x:c>
    </x:row>
    <x:row r="392" ht="15.75" customHeight="1">
      <x:c r="A392" t="str">
        <x:v>RVX-00017</x:v>
      </x:c>
      <x:c r="B392" t="n">
        <x:v>2</x:v>
      </x:c>
      <x:c r="C392" s="15" t="n">
        <x:v>46174</x:v>
      </x:c>
      <x:c r="D392" t="str">
        <x:v>sprint_5m</x:v>
      </x:c>
      <x:c r="E392" t="str">
        <x:v>5m Sprint</x:v>
      </x:c>
      <x:c r="F392" t="str">
        <x:v>Acceleration</x:v>
      </x:c>
      <x:c r="G392" t="n">
        <x:v>1.11</x:v>
      </x:c>
      <x:c r="H392" t="str">
        <x:v>sec</x:v>
      </x:c>
      <x:c r="I392" t="str">
        <x:v>lower</x:v>
      </x:c>
    </x:row>
    <x:row r="393" ht="15.75" customHeight="1">
      <x:c r="A393" t="str">
        <x:v>RVX-00017</x:v>
      </x:c>
      <x:c r="B393" t="n">
        <x:v>2</x:v>
      </x:c>
      <x:c r="C393" s="15" t="n">
        <x:v>46174</x:v>
      </x:c>
      <x:c r="D393" t="str">
        <x:v>sprint_10m</x:v>
      </x:c>
      <x:c r="E393" t="str">
        <x:v>10m Sprint</x:v>
      </x:c>
      <x:c r="F393" t="str">
        <x:v>Acceleration</x:v>
      </x:c>
      <x:c r="G393" t="n">
        <x:v>1.83</x:v>
      </x:c>
      <x:c r="H393" t="str">
        <x:v>sec</x:v>
      </x:c>
      <x:c r="I393" t="str">
        <x:v>lower</x:v>
      </x:c>
    </x:row>
    <x:row r="394" ht="15.75" customHeight="1">
      <x:c r="A394" t="str">
        <x:v>RVX-00017</x:v>
      </x:c>
      <x:c r="B394" t="n">
        <x:v>2</x:v>
      </x:c>
      <x:c r="C394" s="15" t="n">
        <x:v>46174</x:v>
      </x:c>
      <x:c r="D394" t="str">
        <x:v>pro_agility</x:v>
      </x:c>
      <x:c r="E394" t="str">
        <x:v>5-10-5 Pro Agility</x:v>
      </x:c>
      <x:c r="F394" t="str">
        <x:v>Agility</x:v>
      </x:c>
      <x:c r="G394" t="n">
        <x:v>4.82</x:v>
      </x:c>
      <x:c r="H394" t="str">
        <x:v>sec</x:v>
      </x:c>
      <x:c r="I394" t="str">
        <x:v>lower</x:v>
      </x:c>
    </x:row>
    <x:row r="395" ht="15.75" customHeight="1">
      <x:c r="A395" t="str">
        <x:v>RVX-00017</x:v>
      </x:c>
      <x:c r="B395" t="n">
        <x:v>2</x:v>
      </x:c>
      <x:c r="C395" s="15" t="n">
        <x:v>46174</x:v>
      </x:c>
      <x:c r="D395" t="str">
        <x:v>cmj_depth</x:v>
      </x:c>
      <x:c r="E395" t="str">
        <x:v>Countermovement Depth</x:v>
      </x:c>
      <x:c r="F395" t="str">
        <x:v>Movement</x:v>
      </x:c>
      <x:c r="G395" t="n">
        <x:v>31.1</x:v>
      </x:c>
      <x:c r="H395" t="str">
        <x:v>cm</x:v>
      </x:c>
      <x:c r="I395" t="str">
        <x:v>higher</x:v>
      </x:c>
    </x:row>
    <x:row r="396" ht="15.75" customHeight="1">
      <x:c r="A396" t="str">
        <x:v>RVX-00017</x:v>
      </x:c>
      <x:c r="B396" t="n">
        <x:v>2</x:v>
      </x:c>
      <x:c r="C396" s="15" t="n">
        <x:v>46174</x:v>
      </x:c>
      <x:c r="D396" t="str">
        <x:v>peak_force</x:v>
      </x:c>
      <x:c r="E396" t="str">
        <x:v>Peak Force</x:v>
      </x:c>
      <x:c r="F396" t="str">
        <x:v>Strength &amp; Power</x:v>
      </x:c>
      <x:c r="G396" t="n">
        <x:v>1752</x:v>
      </x:c>
      <x:c r="H396" t="str">
        <x:v>N</x:v>
      </x:c>
      <x:c r="I396" t="str">
        <x:v>higher</x:v>
      </x:c>
    </x:row>
    <x:row r="397" ht="15.75" customHeight="1">
      <x:c r="A397" t="str">
        <x:v>RVX-00017</x:v>
      </x:c>
      <x:c r="B397" t="n">
        <x:v>2</x:v>
      </x:c>
      <x:c r="C397" s="15" t="n">
        <x:v>46174</x:v>
      </x:c>
      <x:c r="D397" t="str">
        <x:v>impulse</x:v>
      </x:c>
      <x:c r="E397" t="str">
        <x:v>Impulse-Momentum</x:v>
      </x:c>
      <x:c r="F397" t="str">
        <x:v>Strength &amp; Power</x:v>
      </x:c>
      <x:c r="G397" t="n">
        <x:v>216.6</x:v>
      </x:c>
      <x:c r="H397" t="str">
        <x:v>Ns</x:v>
      </x:c>
      <x:c r="I397" t="str">
        <x:v>higher</x:v>
      </x:c>
    </x:row>
    <x:row r="398" ht="15.75" customHeight="1">
      <x:c r="A398" t="str">
        <x:v>RVX-00017</x:v>
      </x:c>
      <x:c r="B398" t="n">
        <x:v>3</x:v>
      </x:c>
      <x:c r="C398" s="15" t="n">
        <x:v>46202</x:v>
      </x:c>
      <x:c r="D398" t="str">
        <x:v>sprint_5m</x:v>
      </x:c>
      <x:c r="E398" t="str">
        <x:v>5m Sprint</x:v>
      </x:c>
      <x:c r="F398" t="str">
        <x:v>Acceleration</x:v>
      </x:c>
      <x:c r="G398" t="n">
        <x:v>1.1</x:v>
      </x:c>
      <x:c r="H398" t="str">
        <x:v>sec</x:v>
      </x:c>
      <x:c r="I398" t="str">
        <x:v>lower</x:v>
      </x:c>
    </x:row>
    <x:row r="399" ht="15.75" customHeight="1">
      <x:c r="A399" t="str">
        <x:v>RVX-00017</x:v>
      </x:c>
      <x:c r="B399" t="n">
        <x:v>3</x:v>
      </x:c>
      <x:c r="C399" s="15" t="n">
        <x:v>46202</x:v>
      </x:c>
      <x:c r="D399" t="str">
        <x:v>sprint_10m</x:v>
      </x:c>
      <x:c r="E399" t="str">
        <x:v>10m Sprint</x:v>
      </x:c>
      <x:c r="F399" t="str">
        <x:v>Acceleration</x:v>
      </x:c>
      <x:c r="G399" t="n">
        <x:v>1.78</x:v>
      </x:c>
      <x:c r="H399" t="str">
        <x:v>sec</x:v>
      </x:c>
      <x:c r="I399" t="str">
        <x:v>lower</x:v>
      </x:c>
    </x:row>
    <x:row r="400" ht="15.75" customHeight="1">
      <x:c r="A400" t="str">
        <x:v>RVX-00017</x:v>
      </x:c>
      <x:c r="B400" t="n">
        <x:v>3</x:v>
      </x:c>
      <x:c r="C400" s="15" t="n">
        <x:v>46202</x:v>
      </x:c>
      <x:c r="D400" t="str">
        <x:v>pro_agility</x:v>
      </x:c>
      <x:c r="E400" t="str">
        <x:v>5-10-5 Pro Agility</x:v>
      </x:c>
      <x:c r="F400" t="str">
        <x:v>Agility</x:v>
      </x:c>
      <x:c r="G400" t="n">
        <x:v>4.68</x:v>
      </x:c>
      <x:c r="H400" t="str">
        <x:v>sec</x:v>
      </x:c>
      <x:c r="I400" t="str">
        <x:v>lower</x:v>
      </x:c>
    </x:row>
    <x:row r="401" ht="15.75" customHeight="1">
      <x:c r="A401" t="str">
        <x:v>RVX-00017</x:v>
      </x:c>
      <x:c r="B401" t="n">
        <x:v>3</x:v>
      </x:c>
      <x:c r="C401" s="15" t="n">
        <x:v>46202</x:v>
      </x:c>
      <x:c r="D401" t="str">
        <x:v>cmj_depth</x:v>
      </x:c>
      <x:c r="E401" t="str">
        <x:v>Countermovement Depth</x:v>
      </x:c>
      <x:c r="F401" t="str">
        <x:v>Movement</x:v>
      </x:c>
      <x:c r="G401" t="n">
        <x:v>30.9</x:v>
      </x:c>
      <x:c r="H401" t="str">
        <x:v>cm</x:v>
      </x:c>
      <x:c r="I401" t="str">
        <x:v>higher</x:v>
      </x:c>
    </x:row>
    <x:row r="402" ht="15.75" customHeight="1">
      <x:c r="A402" t="str">
        <x:v>RVX-00017</x:v>
      </x:c>
      <x:c r="B402" t="n">
        <x:v>3</x:v>
      </x:c>
      <x:c r="C402" s="15" t="n">
        <x:v>46202</x:v>
      </x:c>
      <x:c r="D402" t="str">
        <x:v>peak_force</x:v>
      </x:c>
      <x:c r="E402" t="str">
        <x:v>Peak Force</x:v>
      </x:c>
      <x:c r="F402" t="str">
        <x:v>Strength &amp; Power</x:v>
      </x:c>
      <x:c r="G402" t="n">
        <x:v>1790</x:v>
      </x:c>
      <x:c r="H402" t="str">
        <x:v>N</x:v>
      </x:c>
      <x:c r="I402" t="str">
        <x:v>higher</x:v>
      </x:c>
    </x:row>
    <x:row r="403" ht="15.75" customHeight="1">
      <x:c r="A403" t="str">
        <x:v>RVX-00017</x:v>
      </x:c>
      <x:c r="B403" t="n">
        <x:v>3</x:v>
      </x:c>
      <x:c r="C403" s="15" t="n">
        <x:v>46202</x:v>
      </x:c>
      <x:c r="D403" t="str">
        <x:v>impulse</x:v>
      </x:c>
      <x:c r="E403" t="str">
        <x:v>Impulse-Momentum</x:v>
      </x:c>
      <x:c r="F403" t="str">
        <x:v>Strength &amp; Power</x:v>
      </x:c>
      <x:c r="G403" t="n">
        <x:v>227.7</x:v>
      </x:c>
      <x:c r="H403" t="str">
        <x:v>Ns</x:v>
      </x:c>
      <x:c r="I403" t="str">
        <x:v>higher</x:v>
      </x:c>
    </x:row>
    <x:row r="404" ht="15.75" customHeight="1">
      <x:c r="A404" t="str">
        <x:v>RVX-00017</x:v>
      </x:c>
      <x:c r="B404" t="n">
        <x:v>4</x:v>
      </x:c>
      <x:c r="C404" s="15" t="n">
        <x:v>46230</x:v>
      </x:c>
      <x:c r="D404" t="str">
        <x:v>sprint_5m</x:v>
      </x:c>
      <x:c r="E404" t="str">
        <x:v>5m Sprint</x:v>
      </x:c>
      <x:c r="F404" t="str">
        <x:v>Acceleration</x:v>
      </x:c>
      <x:c r="G404" t="n">
        <x:v>1.05</x:v>
      </x:c>
      <x:c r="H404" t="str">
        <x:v>sec</x:v>
      </x:c>
      <x:c r="I404" t="str">
        <x:v>lower</x:v>
      </x:c>
    </x:row>
    <x:row r="405" ht="15.75" customHeight="1">
      <x:c r="A405" t="str">
        <x:v>RVX-00017</x:v>
      </x:c>
      <x:c r="B405" t="n">
        <x:v>4</x:v>
      </x:c>
      <x:c r="C405" s="15" t="n">
        <x:v>46230</x:v>
      </x:c>
      <x:c r="D405" t="str">
        <x:v>sprint_10m</x:v>
      </x:c>
      <x:c r="E405" t="str">
        <x:v>10m Sprint</x:v>
      </x:c>
      <x:c r="F405" t="str">
        <x:v>Acceleration</x:v>
      </x:c>
      <x:c r="G405" t="n">
        <x:v>1.76</x:v>
      </x:c>
      <x:c r="H405" t="str">
        <x:v>sec</x:v>
      </x:c>
      <x:c r="I405" t="str">
        <x:v>lower</x:v>
      </x:c>
    </x:row>
    <x:row r="406" ht="15.75" customHeight="1">
      <x:c r="A406" t="str">
        <x:v>RVX-00017</x:v>
      </x:c>
      <x:c r="B406" t="n">
        <x:v>4</x:v>
      </x:c>
      <x:c r="C406" s="15" t="n">
        <x:v>46230</x:v>
      </x:c>
      <x:c r="D406" t="str">
        <x:v>pro_agility</x:v>
      </x:c>
      <x:c r="E406" t="str">
        <x:v>5-10-5 Pro Agility</x:v>
      </x:c>
      <x:c r="F406" t="str">
        <x:v>Agility</x:v>
      </x:c>
      <x:c r="G406" t="n">
        <x:v>4.55</x:v>
      </x:c>
      <x:c r="H406" t="str">
        <x:v>sec</x:v>
      </x:c>
      <x:c r="I406" t="str">
        <x:v>lower</x:v>
      </x:c>
    </x:row>
    <x:row r="407" ht="15.75" customHeight="1">
      <x:c r="A407" t="str">
        <x:v>RVX-00017</x:v>
      </x:c>
      <x:c r="B407" t="n">
        <x:v>4</x:v>
      </x:c>
      <x:c r="C407" s="15" t="n">
        <x:v>46230</x:v>
      </x:c>
      <x:c r="D407" t="str">
        <x:v>cmj_depth</x:v>
      </x:c>
      <x:c r="E407" t="str">
        <x:v>Countermovement Depth</x:v>
      </x:c>
      <x:c r="F407" t="str">
        <x:v>Movement</x:v>
      </x:c>
      <x:c r="G407" t="n">
        <x:v>31.8</x:v>
      </x:c>
      <x:c r="H407" t="str">
        <x:v>cm</x:v>
      </x:c>
      <x:c r="I407" t="str">
        <x:v>higher</x:v>
      </x:c>
    </x:row>
    <x:row r="408" ht="15.75" customHeight="1">
      <x:c r="A408" t="str">
        <x:v>RVX-00017</x:v>
      </x:c>
      <x:c r="B408" t="n">
        <x:v>4</x:v>
      </x:c>
      <x:c r="C408" s="15" t="n">
        <x:v>46230</x:v>
      </x:c>
      <x:c r="D408" t="str">
        <x:v>peak_force</x:v>
      </x:c>
      <x:c r="E408" t="str">
        <x:v>Peak Force</x:v>
      </x:c>
      <x:c r="F408" t="str">
        <x:v>Strength &amp; Power</x:v>
      </x:c>
      <x:c r="G408" t="n">
        <x:v>1845</x:v>
      </x:c>
      <x:c r="H408" t="str">
        <x:v>N</x:v>
      </x:c>
      <x:c r="I408" t="str">
        <x:v>higher</x:v>
      </x:c>
    </x:row>
    <x:row r="409" ht="15.75" customHeight="1">
      <x:c r="A409" t="str">
        <x:v>RVX-00017</x:v>
      </x:c>
      <x:c r="B409" t="n">
        <x:v>4</x:v>
      </x:c>
      <x:c r="C409" s="15" t="n">
        <x:v>46230</x:v>
      </x:c>
      <x:c r="D409" t="str">
        <x:v>impulse</x:v>
      </x:c>
      <x:c r="E409" t="str">
        <x:v>Impulse-Momentum</x:v>
      </x:c>
      <x:c r="F409" t="str">
        <x:v>Strength &amp; Power</x:v>
      </x:c>
      <x:c r="G409" t="n">
        <x:v>229.7</x:v>
      </x:c>
      <x:c r="H409" t="str">
        <x:v>Ns</x:v>
      </x:c>
      <x:c r="I409" t="str">
        <x:v>higher</x:v>
      </x:c>
    </x:row>
    <x:row r="410" ht="15.75" customHeight="1">
      <x:c r="A410" t="str">
        <x:v>RVX-00018</x:v>
      </x:c>
      <x:c r="B410" t="n">
        <x:v>1</x:v>
      </x:c>
      <x:c r="C410" s="15" t="n">
        <x:v>46146</x:v>
      </x:c>
      <x:c r="D410" t="str">
        <x:v>sprint_5m</x:v>
      </x:c>
      <x:c r="E410" t="str">
        <x:v>5m Sprint</x:v>
      </x:c>
      <x:c r="F410" t="str">
        <x:v>Acceleration</x:v>
      </x:c>
      <x:c r="G410" t="n">
        <x:v>1.18</x:v>
      </x:c>
      <x:c r="H410" t="str">
        <x:v>sec</x:v>
      </x:c>
      <x:c r="I410" t="str">
        <x:v>lower</x:v>
      </x:c>
    </x:row>
    <x:row r="411" ht="15.75" customHeight="1">
      <x:c r="A411" t="str">
        <x:v>RVX-00018</x:v>
      </x:c>
      <x:c r="B411" t="n">
        <x:v>1</x:v>
      </x:c>
      <x:c r="C411" s="15" t="n">
        <x:v>46146</x:v>
      </x:c>
      <x:c r="D411" t="str">
        <x:v>sprint_10m</x:v>
      </x:c>
      <x:c r="E411" t="str">
        <x:v>10m Sprint</x:v>
      </x:c>
      <x:c r="F411" t="str">
        <x:v>Acceleration</x:v>
      </x:c>
      <x:c r="G411" t="n">
        <x:v>2.02</x:v>
      </x:c>
      <x:c r="H411" t="str">
        <x:v>sec</x:v>
      </x:c>
      <x:c r="I411" t="str">
        <x:v>lower</x:v>
      </x:c>
    </x:row>
    <x:row r="412" ht="15.75" customHeight="1">
      <x:c r="A412" t="str">
        <x:v>RVX-00018</x:v>
      </x:c>
      <x:c r="B412" t="n">
        <x:v>1</x:v>
      </x:c>
      <x:c r="C412" s="15" t="n">
        <x:v>46146</x:v>
      </x:c>
      <x:c r="D412" t="str">
        <x:v>pro_agility</x:v>
      </x:c>
      <x:c r="E412" t="str">
        <x:v>5-10-5 Pro Agility</x:v>
      </x:c>
      <x:c r="F412" t="str">
        <x:v>Agility</x:v>
      </x:c>
      <x:c r="G412" t="n">
        <x:v>4.98</x:v>
      </x:c>
      <x:c r="H412" t="str">
        <x:v>sec</x:v>
      </x:c>
      <x:c r="I412" t="str">
        <x:v>lower</x:v>
      </x:c>
    </x:row>
    <x:row r="413" ht="15.75" customHeight="1">
      <x:c r="A413" t="str">
        <x:v>RVX-00018</x:v>
      </x:c>
      <x:c r="B413" t="n">
        <x:v>1</x:v>
      </x:c>
      <x:c r="C413" s="15" t="n">
        <x:v>46146</x:v>
      </x:c>
      <x:c r="D413" t="str">
        <x:v>cmj_depth</x:v>
      </x:c>
      <x:c r="E413" t="str">
        <x:v>Countermovement Depth</x:v>
      </x:c>
      <x:c r="F413" t="str">
        <x:v>Movement</x:v>
      </x:c>
      <x:c r="G413" t="n">
        <x:v>29.5</x:v>
      </x:c>
      <x:c r="H413" t="str">
        <x:v>cm</x:v>
      </x:c>
      <x:c r="I413" t="str">
        <x:v>higher</x:v>
      </x:c>
    </x:row>
    <x:row r="414" ht="15.75" customHeight="1">
      <x:c r="A414" t="str">
        <x:v>RVX-00018</x:v>
      </x:c>
      <x:c r="B414" t="n">
        <x:v>1</x:v>
      </x:c>
      <x:c r="C414" s="15" t="n">
        <x:v>46146</x:v>
      </x:c>
      <x:c r="D414" t="str">
        <x:v>peak_force</x:v>
      </x:c>
      <x:c r="E414" t="str">
        <x:v>Peak Force</x:v>
      </x:c>
      <x:c r="F414" t="str">
        <x:v>Strength &amp; Power</x:v>
      </x:c>
      <x:c r="G414" t="n">
        <x:v>1689</x:v>
      </x:c>
      <x:c r="H414" t="str">
        <x:v>N</x:v>
      </x:c>
      <x:c r="I414" t="str">
        <x:v>higher</x:v>
      </x:c>
    </x:row>
    <x:row r="415" ht="15.75" customHeight="1">
      <x:c r="A415" t="str">
        <x:v>RVX-00018</x:v>
      </x:c>
      <x:c r="B415" t="n">
        <x:v>1</x:v>
      </x:c>
      <x:c r="C415" s="15" t="n">
        <x:v>46146</x:v>
      </x:c>
      <x:c r="D415" t="str">
        <x:v>impulse</x:v>
      </x:c>
      <x:c r="E415" t="str">
        <x:v>Impulse-Momentum</x:v>
      </x:c>
      <x:c r="F415" t="str">
        <x:v>Strength &amp; Power</x:v>
      </x:c>
      <x:c r="G415" t="n">
        <x:v>211.5</x:v>
      </x:c>
      <x:c r="H415" t="str">
        <x:v>Ns</x:v>
      </x:c>
      <x:c r="I415" t="str">
        <x:v>higher</x:v>
      </x:c>
    </x:row>
    <x:row r="416" ht="15.75" customHeight="1">
      <x:c r="A416" t="str">
        <x:v>RVX-00018</x:v>
      </x:c>
      <x:c r="B416" t="n">
        <x:v>2</x:v>
      </x:c>
      <x:c r="C416" s="15" t="n">
        <x:v>46174</x:v>
      </x:c>
      <x:c r="D416" t="str">
        <x:v>sprint_5m</x:v>
      </x:c>
      <x:c r="E416" t="str">
        <x:v>5m Sprint</x:v>
      </x:c>
      <x:c r="F416" t="str">
        <x:v>Acceleration</x:v>
      </x:c>
      <x:c r="G416" t="n">
        <x:v>1.17</x:v>
      </x:c>
      <x:c r="H416" t="str">
        <x:v>sec</x:v>
      </x:c>
      <x:c r="I416" t="str">
        <x:v>lower</x:v>
      </x:c>
    </x:row>
    <x:row r="417" ht="15.75" customHeight="1">
      <x:c r="A417" t="str">
        <x:v>RVX-00018</x:v>
      </x:c>
      <x:c r="B417" t="n">
        <x:v>2</x:v>
      </x:c>
      <x:c r="C417" s="15" t="n">
        <x:v>46174</x:v>
      </x:c>
      <x:c r="D417" t="str">
        <x:v>sprint_10m</x:v>
      </x:c>
      <x:c r="E417" t="str">
        <x:v>10m Sprint</x:v>
      </x:c>
      <x:c r="F417" t="str">
        <x:v>Acceleration</x:v>
      </x:c>
      <x:c r="G417" t="n">
        <x:v>1.98</x:v>
      </x:c>
      <x:c r="H417" t="str">
        <x:v>sec</x:v>
      </x:c>
      <x:c r="I417" t="str">
        <x:v>lower</x:v>
      </x:c>
    </x:row>
    <x:row r="418" ht="15.75" customHeight="1">
      <x:c r="A418" t="str">
        <x:v>RVX-00018</x:v>
      </x:c>
      <x:c r="B418" t="n">
        <x:v>2</x:v>
      </x:c>
      <x:c r="C418" s="15" t="n">
        <x:v>46174</x:v>
      </x:c>
      <x:c r="D418" t="str">
        <x:v>pro_agility</x:v>
      </x:c>
      <x:c r="E418" t="str">
        <x:v>5-10-5 Pro Agility</x:v>
      </x:c>
      <x:c r="F418" t="str">
        <x:v>Agility</x:v>
      </x:c>
      <x:c r="G418" t="n">
        <x:v>5.05</x:v>
      </x:c>
      <x:c r="H418" t="str">
        <x:v>sec</x:v>
      </x:c>
      <x:c r="I418" t="str">
        <x:v>lower</x:v>
      </x:c>
    </x:row>
    <x:row r="419" ht="15.75" customHeight="1">
      <x:c r="A419" t="str">
        <x:v>RVX-00018</x:v>
      </x:c>
      <x:c r="B419" t="n">
        <x:v>2</x:v>
      </x:c>
      <x:c r="C419" s="15" t="n">
        <x:v>46174</x:v>
      </x:c>
      <x:c r="D419" t="str">
        <x:v>cmj_depth</x:v>
      </x:c>
      <x:c r="E419" t="str">
        <x:v>Countermovement Depth</x:v>
      </x:c>
      <x:c r="F419" t="str">
        <x:v>Movement</x:v>
      </x:c>
      <x:c r="G419" t="n">
        <x:v>30.9</x:v>
      </x:c>
      <x:c r="H419" t="str">
        <x:v>cm</x:v>
      </x:c>
      <x:c r="I419" t="str">
        <x:v>higher</x:v>
      </x:c>
    </x:row>
    <x:row r="420" ht="15.75" customHeight="1">
      <x:c r="A420" t="str">
        <x:v>RVX-00018</x:v>
      </x:c>
      <x:c r="B420" t="n">
        <x:v>2</x:v>
      </x:c>
      <x:c r="C420" s="15" t="n">
        <x:v>46174</x:v>
      </x:c>
      <x:c r="D420" t="str">
        <x:v>peak_force</x:v>
      </x:c>
      <x:c r="E420" t="str">
        <x:v>Peak Force</x:v>
      </x:c>
      <x:c r="F420" t="str">
        <x:v>Strength &amp; Power</x:v>
      </x:c>
      <x:c r="G420" t="n">
        <x:v>1748</x:v>
      </x:c>
      <x:c r="H420" t="str">
        <x:v>N</x:v>
      </x:c>
      <x:c r="I420" t="str">
        <x:v>higher</x:v>
      </x:c>
    </x:row>
    <x:row r="421" ht="15.75" customHeight="1">
      <x:c r="A421" t="str">
        <x:v>RVX-00018</x:v>
      </x:c>
      <x:c r="B421" t="n">
        <x:v>2</x:v>
      </x:c>
      <x:c r="C421" s="15" t="n">
        <x:v>46174</x:v>
      </x:c>
      <x:c r="D421" t="str">
        <x:v>impulse</x:v>
      </x:c>
      <x:c r="E421" t="str">
        <x:v>Impulse-Momentum</x:v>
      </x:c>
      <x:c r="F421" t="str">
        <x:v>Strength &amp; Power</x:v>
      </x:c>
      <x:c r="G421" t="n">
        <x:v>220.5</x:v>
      </x:c>
      <x:c r="H421" t="str">
        <x:v>Ns</x:v>
      </x:c>
      <x:c r="I421" t="str">
        <x:v>higher</x:v>
      </x:c>
    </x:row>
    <x:row r="422" ht="15.75" customHeight="1">
      <x:c r="A422" t="str">
        <x:v>RVX-00018</x:v>
      </x:c>
      <x:c r="B422" t="n">
        <x:v>3</x:v>
      </x:c>
      <x:c r="C422" s="15" t="n">
        <x:v>46202</x:v>
      </x:c>
      <x:c r="D422" t="str">
        <x:v>sprint_5m</x:v>
      </x:c>
      <x:c r="E422" t="str">
        <x:v>5m Sprint</x:v>
      </x:c>
      <x:c r="F422" t="str">
        <x:v>Acceleration</x:v>
      </x:c>
      <x:c r="G422" t="n">
        <x:v>1.17</x:v>
      </x:c>
      <x:c r="H422" t="str">
        <x:v>sec</x:v>
      </x:c>
      <x:c r="I422" t="str">
        <x:v>lower</x:v>
      </x:c>
    </x:row>
    <x:row r="423" ht="15.75" customHeight="1">
      <x:c r="A423" t="str">
        <x:v>RVX-00018</x:v>
      </x:c>
      <x:c r="B423" t="n">
        <x:v>3</x:v>
      </x:c>
      <x:c r="C423" s="15" t="n">
        <x:v>46202</x:v>
      </x:c>
      <x:c r="D423" t="str">
        <x:v>sprint_10m</x:v>
      </x:c>
      <x:c r="E423" t="str">
        <x:v>10m Sprint</x:v>
      </x:c>
      <x:c r="F423" t="str">
        <x:v>Acceleration</x:v>
      </x:c>
      <x:c r="G423" t="n">
        <x:v>1.94</x:v>
      </x:c>
      <x:c r="H423" t="str">
        <x:v>sec</x:v>
      </x:c>
      <x:c r="I423" t="str">
        <x:v>lower</x:v>
      </x:c>
    </x:row>
    <x:row r="424" ht="15.75" customHeight="1">
      <x:c r="A424" t="str">
        <x:v>RVX-00018</x:v>
      </x:c>
      <x:c r="B424" t="n">
        <x:v>3</x:v>
      </x:c>
      <x:c r="C424" s="15" t="n">
        <x:v>46202</x:v>
      </x:c>
      <x:c r="D424" t="str">
        <x:v>pro_agility</x:v>
      </x:c>
      <x:c r="E424" t="str">
        <x:v>5-10-5 Pro Agility</x:v>
      </x:c>
      <x:c r="F424" t="str">
        <x:v>Agility</x:v>
      </x:c>
      <x:c r="G424" t="n">
        <x:v>4.82</x:v>
      </x:c>
      <x:c r="H424" t="str">
        <x:v>sec</x:v>
      </x:c>
      <x:c r="I424" t="str">
        <x:v>lower</x:v>
      </x:c>
    </x:row>
    <x:row r="425" ht="15.75" customHeight="1">
      <x:c r="A425" t="str">
        <x:v>RVX-00018</x:v>
      </x:c>
      <x:c r="B425" t="n">
        <x:v>3</x:v>
      </x:c>
      <x:c r="C425" s="15" t="n">
        <x:v>46202</x:v>
      </x:c>
      <x:c r="D425" t="str">
        <x:v>cmj_depth</x:v>
      </x:c>
      <x:c r="E425" t="str">
        <x:v>Countermovement Depth</x:v>
      </x:c>
      <x:c r="F425" t="str">
        <x:v>Movement</x:v>
      </x:c>
      <x:c r="G425" t="n">
        <x:v>30.5</x:v>
      </x:c>
      <x:c r="H425" t="str">
        <x:v>cm</x:v>
      </x:c>
      <x:c r="I425" t="str">
        <x:v>higher</x:v>
      </x:c>
    </x:row>
    <x:row r="426" ht="15.75" customHeight="1">
      <x:c r="A426" t="str">
        <x:v>RVX-00018</x:v>
      </x:c>
      <x:c r="B426" t="n">
        <x:v>3</x:v>
      </x:c>
      <x:c r="C426" s="15" t="n">
        <x:v>46202</x:v>
      </x:c>
      <x:c r="D426" t="str">
        <x:v>peak_force</x:v>
      </x:c>
      <x:c r="E426" t="str">
        <x:v>Peak Force</x:v>
      </x:c>
      <x:c r="F426" t="str">
        <x:v>Strength &amp; Power</x:v>
      </x:c>
      <x:c r="G426" t="n">
        <x:v>1786</x:v>
      </x:c>
      <x:c r="H426" t="str">
        <x:v>N</x:v>
      </x:c>
      <x:c r="I426" t="str">
        <x:v>higher</x:v>
      </x:c>
    </x:row>
    <x:row r="427" ht="15.75" customHeight="1">
      <x:c r="A427" t="str">
        <x:v>RVX-00018</x:v>
      </x:c>
      <x:c r="B427" t="n">
        <x:v>3</x:v>
      </x:c>
      <x:c r="C427" s="15" t="n">
        <x:v>46202</x:v>
      </x:c>
      <x:c r="D427" t="str">
        <x:v>impulse</x:v>
      </x:c>
      <x:c r="E427" t="str">
        <x:v>Impulse-Momentum</x:v>
      </x:c>
      <x:c r="F427" t="str">
        <x:v>Strength &amp; Power</x:v>
      </x:c>
      <x:c r="G427" t="n">
        <x:v>218.7</x:v>
      </x:c>
      <x:c r="H427" t="str">
        <x:v>Ns</x:v>
      </x:c>
      <x:c r="I427" t="str">
        <x:v>higher</x:v>
      </x:c>
    </x:row>
    <x:row r="428" ht="15.75" customHeight="1">
      <x:c r="A428" t="str">
        <x:v>RVX-00018</x:v>
      </x:c>
      <x:c r="B428" t="n">
        <x:v>4</x:v>
      </x:c>
      <x:c r="C428" s="15" t="n">
        <x:v>46230</x:v>
      </x:c>
      <x:c r="D428" t="str">
        <x:v>sprint_5m</x:v>
      </x:c>
      <x:c r="E428" t="str">
        <x:v>5m Sprint</x:v>
      </x:c>
      <x:c r="F428" t="str">
        <x:v>Acceleration</x:v>
      </x:c>
      <x:c r="G428" t="n">
        <x:v>1.12</x:v>
      </x:c>
      <x:c r="H428" t="str">
        <x:v>sec</x:v>
      </x:c>
      <x:c r="I428" t="str">
        <x:v>lower</x:v>
      </x:c>
    </x:row>
    <x:row r="429" ht="15.75" customHeight="1">
      <x:c r="A429" t="str">
        <x:v>RVX-00018</x:v>
      </x:c>
      <x:c r="B429" t="n">
        <x:v>4</x:v>
      </x:c>
      <x:c r="C429" s="15" t="n">
        <x:v>46230</x:v>
      </x:c>
      <x:c r="D429" t="str">
        <x:v>sprint_10m</x:v>
      </x:c>
      <x:c r="E429" t="str">
        <x:v>10m Sprint</x:v>
      </x:c>
      <x:c r="F429" t="str">
        <x:v>Acceleration</x:v>
      </x:c>
      <x:c r="G429" t="n">
        <x:v>1.86</x:v>
      </x:c>
      <x:c r="H429" t="str">
        <x:v>sec</x:v>
      </x:c>
      <x:c r="I429" t="str">
        <x:v>lower</x:v>
      </x:c>
    </x:row>
    <x:row r="430" ht="15.75" customHeight="1">
      <x:c r="A430" t="str">
        <x:v>RVX-00018</x:v>
      </x:c>
      <x:c r="B430" t="n">
        <x:v>4</x:v>
      </x:c>
      <x:c r="C430" s="15" t="n">
        <x:v>46230</x:v>
      </x:c>
      <x:c r="D430" t="str">
        <x:v>pro_agility</x:v>
      </x:c>
      <x:c r="E430" t="str">
        <x:v>5-10-5 Pro Agility</x:v>
      </x:c>
      <x:c r="F430" t="str">
        <x:v>Agility</x:v>
      </x:c>
      <x:c r="G430" t="n">
        <x:v>4.73</x:v>
      </x:c>
      <x:c r="H430" t="str">
        <x:v>sec</x:v>
      </x:c>
      <x:c r="I430" t="str">
        <x:v>lower</x:v>
      </x:c>
    </x:row>
    <x:row r="431" ht="15.75" customHeight="1">
      <x:c r="A431" t="str">
        <x:v>RVX-00018</x:v>
      </x:c>
      <x:c r="B431" t="n">
        <x:v>4</x:v>
      </x:c>
      <x:c r="C431" s="15" t="n">
        <x:v>46230</x:v>
      </x:c>
      <x:c r="D431" t="str">
        <x:v>cmj_depth</x:v>
      </x:c>
      <x:c r="E431" t="str">
        <x:v>Countermovement Depth</x:v>
      </x:c>
      <x:c r="F431" t="str">
        <x:v>Movement</x:v>
      </x:c>
      <x:c r="G431" t="n">
        <x:v>31.6</x:v>
      </x:c>
      <x:c r="H431" t="str">
        <x:v>cm</x:v>
      </x:c>
      <x:c r="I431" t="str">
        <x:v>higher</x:v>
      </x:c>
    </x:row>
    <x:row r="432" ht="15.75" customHeight="1">
      <x:c r="A432" t="str">
        <x:v>RVX-00018</x:v>
      </x:c>
      <x:c r="B432" t="n">
        <x:v>4</x:v>
      </x:c>
      <x:c r="C432" s="15" t="n">
        <x:v>46230</x:v>
      </x:c>
      <x:c r="D432" t="str">
        <x:v>peak_force</x:v>
      </x:c>
      <x:c r="E432" t="str">
        <x:v>Peak Force</x:v>
      </x:c>
      <x:c r="F432" t="str">
        <x:v>Strength &amp; Power</x:v>
      </x:c>
      <x:c r="G432" t="n">
        <x:v>1811</x:v>
      </x:c>
      <x:c r="H432" t="str">
        <x:v>N</x:v>
      </x:c>
      <x:c r="I432" t="str">
        <x:v>higher</x:v>
      </x:c>
    </x:row>
    <x:row r="433" ht="15.75" customHeight="1">
      <x:c r="A433" t="str">
        <x:v>RVX-00018</x:v>
      </x:c>
      <x:c r="B433" t="n">
        <x:v>4</x:v>
      </x:c>
      <x:c r="C433" s="15" t="n">
        <x:v>46230</x:v>
      </x:c>
      <x:c r="D433" t="str">
        <x:v>impulse</x:v>
      </x:c>
      <x:c r="E433" t="str">
        <x:v>Impulse-Momentum</x:v>
      </x:c>
      <x:c r="F433" t="str">
        <x:v>Strength &amp; Power</x:v>
      </x:c>
      <x:c r="G433" t="n">
        <x:v>228</x:v>
      </x:c>
      <x:c r="H433" t="str">
        <x:v>Ns</x:v>
      </x:c>
      <x:c r="I433" t="str">
        <x:v>higher</x:v>
      </x:c>
    </x:row>
    <x:row r="434" ht="15.75" customHeight="1">
      <x:c r="A434" t="str">
        <x:v>RVX-00019</x:v>
      </x:c>
      <x:c r="B434" t="n">
        <x:v>1</x:v>
      </x:c>
      <x:c r="C434" s="15" t="n">
        <x:v>46146</x:v>
      </x:c>
      <x:c r="D434" t="str">
        <x:v>sprint_5m</x:v>
      </x:c>
      <x:c r="E434" t="str">
        <x:v>5m Sprint</x:v>
      </x:c>
      <x:c r="F434" t="str">
        <x:v>Acceleration</x:v>
      </x:c>
      <x:c r="G434" t="n">
        <x:v>1.01</x:v>
      </x:c>
      <x:c r="H434" t="str">
        <x:v>sec</x:v>
      </x:c>
      <x:c r="I434" t="str">
        <x:v>lower</x:v>
      </x:c>
    </x:row>
    <x:row r="435" ht="15.75" customHeight="1">
      <x:c r="A435" t="str">
        <x:v>RVX-00019</x:v>
      </x:c>
      <x:c r="B435" t="n">
        <x:v>1</x:v>
      </x:c>
      <x:c r="C435" s="15" t="n">
        <x:v>46146</x:v>
      </x:c>
      <x:c r="D435" t="str">
        <x:v>sprint_10m</x:v>
      </x:c>
      <x:c r="E435" t="str">
        <x:v>10m Sprint</x:v>
      </x:c>
      <x:c r="F435" t="str">
        <x:v>Acceleration</x:v>
      </x:c>
      <x:c r="G435" t="n">
        <x:v>1.69</x:v>
      </x:c>
      <x:c r="H435" t="str">
        <x:v>sec</x:v>
      </x:c>
      <x:c r="I435" t="str">
        <x:v>lower</x:v>
      </x:c>
    </x:row>
    <x:row r="436" ht="15.75" customHeight="1">
      <x:c r="A436" t="str">
        <x:v>RVX-00019</x:v>
      </x:c>
      <x:c r="B436" t="n">
        <x:v>1</x:v>
      </x:c>
      <x:c r="C436" s="15" t="n">
        <x:v>46146</x:v>
      </x:c>
      <x:c r="D436" t="str">
        <x:v>pro_agility</x:v>
      </x:c>
      <x:c r="E436" t="str">
        <x:v>5-10-5 Pro Agility</x:v>
      </x:c>
      <x:c r="F436" t="str">
        <x:v>Agility</x:v>
      </x:c>
      <x:c r="G436" t="n">
        <x:v>4.39</x:v>
      </x:c>
      <x:c r="H436" t="str">
        <x:v>sec</x:v>
      </x:c>
      <x:c r="I436" t="str">
        <x:v>lower</x:v>
      </x:c>
    </x:row>
    <x:row r="437" ht="15.75" customHeight="1">
      <x:c r="A437" t="str">
        <x:v>RVX-00019</x:v>
      </x:c>
      <x:c r="B437" t="n">
        <x:v>1</x:v>
      </x:c>
      <x:c r="C437" s="15" t="n">
        <x:v>46146</x:v>
      </x:c>
      <x:c r="D437" t="str">
        <x:v>cmj_depth</x:v>
      </x:c>
      <x:c r="E437" t="str">
        <x:v>Countermovement Depth</x:v>
      </x:c>
      <x:c r="F437" t="str">
        <x:v>Movement</x:v>
      </x:c>
      <x:c r="G437" t="n">
        <x:v>33.5</x:v>
      </x:c>
      <x:c r="H437" t="str">
        <x:v>cm</x:v>
      </x:c>
      <x:c r="I437" t="str">
        <x:v>higher</x:v>
      </x:c>
    </x:row>
    <x:row r="438" ht="15.75" customHeight="1">
      <x:c r="A438" t="str">
        <x:v>RVX-00019</x:v>
      </x:c>
      <x:c r="B438" t="n">
        <x:v>1</x:v>
      </x:c>
      <x:c r="C438" s="15" t="n">
        <x:v>46146</x:v>
      </x:c>
      <x:c r="D438" t="str">
        <x:v>peak_force</x:v>
      </x:c>
      <x:c r="E438" t="str">
        <x:v>Peak Force</x:v>
      </x:c>
      <x:c r="F438" t="str">
        <x:v>Strength &amp; Power</x:v>
      </x:c>
      <x:c r="G438" t="n">
        <x:v>1952</x:v>
      </x:c>
      <x:c r="H438" t="str">
        <x:v>N</x:v>
      </x:c>
      <x:c r="I438" t="str">
        <x:v>higher</x:v>
      </x:c>
    </x:row>
    <x:row r="439" ht="15.75" customHeight="1">
      <x:c r="A439" t="str">
        <x:v>RVX-00019</x:v>
      </x:c>
      <x:c r="B439" t="n">
        <x:v>1</x:v>
      </x:c>
      <x:c r="C439" s="15" t="n">
        <x:v>46146</x:v>
      </x:c>
      <x:c r="D439" t="str">
        <x:v>impulse</x:v>
      </x:c>
      <x:c r="E439" t="str">
        <x:v>Impulse-Momentum</x:v>
      </x:c>
      <x:c r="F439" t="str">
        <x:v>Strength &amp; Power</x:v>
      </x:c>
      <x:c r="G439" t="n">
        <x:v>233.7</x:v>
      </x:c>
      <x:c r="H439" t="str">
        <x:v>Ns</x:v>
      </x:c>
      <x:c r="I439" t="str">
        <x:v>higher</x:v>
      </x:c>
    </x:row>
    <x:row r="440" ht="15.75" customHeight="1">
      <x:c r="A440" t="str">
        <x:v>RVX-00019</x:v>
      </x:c>
      <x:c r="B440" t="n">
        <x:v>2</x:v>
      </x:c>
      <x:c r="C440" s="15" t="n">
        <x:v>46174</x:v>
      </x:c>
      <x:c r="D440" t="str">
        <x:v>sprint_5m</x:v>
      </x:c>
      <x:c r="E440" t="str">
        <x:v>5m Sprint</x:v>
      </x:c>
      <x:c r="F440" t="str">
        <x:v>Acceleration</x:v>
      </x:c>
      <x:c r="G440" t="n">
        <x:v>0.97</x:v>
      </x:c>
      <x:c r="H440" t="str">
        <x:v>sec</x:v>
      </x:c>
      <x:c r="I440" t="str">
        <x:v>lower</x:v>
      </x:c>
    </x:row>
    <x:row r="441" ht="15.75" customHeight="1">
      <x:c r="A441" t="str">
        <x:v>RVX-00019</x:v>
      </x:c>
      <x:c r="B441" t="n">
        <x:v>2</x:v>
      </x:c>
      <x:c r="C441" s="15" t="n">
        <x:v>46174</x:v>
      </x:c>
      <x:c r="D441" t="str">
        <x:v>sprint_10m</x:v>
      </x:c>
      <x:c r="E441" t="str">
        <x:v>10m Sprint</x:v>
      </x:c>
      <x:c r="F441" t="str">
        <x:v>Acceleration</x:v>
      </x:c>
      <x:c r="G441" t="n">
        <x:v>1.66</x:v>
      </x:c>
      <x:c r="H441" t="str">
        <x:v>sec</x:v>
      </x:c>
      <x:c r="I441" t="str">
        <x:v>lower</x:v>
      </x:c>
    </x:row>
    <x:row r="442" ht="15.75" customHeight="1">
      <x:c r="A442" t="str">
        <x:v>RVX-00019</x:v>
      </x:c>
      <x:c r="B442" t="n">
        <x:v>2</x:v>
      </x:c>
      <x:c r="C442" s="15" t="n">
        <x:v>46174</x:v>
      </x:c>
      <x:c r="D442" t="str">
        <x:v>pro_agility</x:v>
      </x:c>
      <x:c r="E442" t="str">
        <x:v>5-10-5 Pro Agility</x:v>
      </x:c>
      <x:c r="F442" t="str">
        <x:v>Agility</x:v>
      </x:c>
      <x:c r="G442" t="n">
        <x:v>4.21</x:v>
      </x:c>
      <x:c r="H442" t="str">
        <x:v>sec</x:v>
      </x:c>
      <x:c r="I442" t="str">
        <x:v>lower</x:v>
      </x:c>
    </x:row>
    <x:row r="443" ht="15.75" customHeight="1">
      <x:c r="A443" t="str">
        <x:v>RVX-00019</x:v>
      </x:c>
      <x:c r="B443" t="n">
        <x:v>2</x:v>
      </x:c>
      <x:c r="C443" s="15" t="n">
        <x:v>46174</x:v>
      </x:c>
      <x:c r="D443" t="str">
        <x:v>cmj_depth</x:v>
      </x:c>
      <x:c r="E443" t="str">
        <x:v>Countermovement Depth</x:v>
      </x:c>
      <x:c r="F443" t="str">
        <x:v>Movement</x:v>
      </x:c>
      <x:c r="G443" t="n">
        <x:v>33.7</x:v>
      </x:c>
      <x:c r="H443" t="str">
        <x:v>cm</x:v>
      </x:c>
      <x:c r="I443" t="str">
        <x:v>higher</x:v>
      </x:c>
    </x:row>
    <x:row r="444" ht="15.75" customHeight="1">
      <x:c r="A444" t="str">
        <x:v>RVX-00019</x:v>
      </x:c>
      <x:c r="B444" t="n">
        <x:v>2</x:v>
      </x:c>
      <x:c r="C444" s="15" t="n">
        <x:v>46174</x:v>
      </x:c>
      <x:c r="D444" t="str">
        <x:v>peak_force</x:v>
      </x:c>
      <x:c r="E444" t="str">
        <x:v>Peak Force</x:v>
      </x:c>
      <x:c r="F444" t="str">
        <x:v>Strength &amp; Power</x:v>
      </x:c>
      <x:c r="G444" t="n">
        <x:v>1961</x:v>
      </x:c>
      <x:c r="H444" t="str">
        <x:v>N</x:v>
      </x:c>
      <x:c r="I444" t="str">
        <x:v>higher</x:v>
      </x:c>
    </x:row>
    <x:row r="445" ht="15.75" customHeight="1">
      <x:c r="A445" t="str">
        <x:v>RVX-00019</x:v>
      </x:c>
      <x:c r="B445" t="n">
        <x:v>2</x:v>
      </x:c>
      <x:c r="C445" s="15" t="n">
        <x:v>46174</x:v>
      </x:c>
      <x:c r="D445" t="str">
        <x:v>impulse</x:v>
      </x:c>
      <x:c r="E445" t="str">
        <x:v>Impulse-Momentum</x:v>
      </x:c>
      <x:c r="F445" t="str">
        <x:v>Strength &amp; Power</x:v>
      </x:c>
      <x:c r="G445" t="n">
        <x:v>235.5</x:v>
      </x:c>
      <x:c r="H445" t="str">
        <x:v>Ns</x:v>
      </x:c>
      <x:c r="I445" t="str">
        <x:v>higher</x:v>
      </x:c>
    </x:row>
    <x:row r="446" ht="15.75" customHeight="1">
      <x:c r="A446" t="str">
        <x:v>RVX-00019</x:v>
      </x:c>
      <x:c r="B446" t="n">
        <x:v>3</x:v>
      </x:c>
      <x:c r="C446" s="15" t="n">
        <x:v>46202</x:v>
      </x:c>
      <x:c r="D446" t="str">
        <x:v>sprint_5m</x:v>
      </x:c>
      <x:c r="E446" t="str">
        <x:v>5m Sprint</x:v>
      </x:c>
      <x:c r="F446" t="str">
        <x:v>Acceleration</x:v>
      </x:c>
      <x:c r="G446" t="n">
        <x:v>0.98</x:v>
      </x:c>
      <x:c r="H446" t="str">
        <x:v>sec</x:v>
      </x:c>
      <x:c r="I446" t="str">
        <x:v>lower</x:v>
      </x:c>
    </x:row>
    <x:row r="447" ht="15.75" customHeight="1">
      <x:c r="A447" t="str">
        <x:v>RVX-00019</x:v>
      </x:c>
      <x:c r="B447" t="n">
        <x:v>3</x:v>
      </x:c>
      <x:c r="C447" s="15" t="n">
        <x:v>46202</x:v>
      </x:c>
      <x:c r="D447" t="str">
        <x:v>sprint_10m</x:v>
      </x:c>
      <x:c r="E447" t="str">
        <x:v>10m Sprint</x:v>
      </x:c>
      <x:c r="F447" t="str">
        <x:v>Acceleration</x:v>
      </x:c>
      <x:c r="G447" t="n">
        <x:v>1.66</x:v>
      </x:c>
      <x:c r="H447" t="str">
        <x:v>sec</x:v>
      </x:c>
      <x:c r="I447" t="str">
        <x:v>lower</x:v>
      </x:c>
    </x:row>
    <x:row r="448" ht="15.75" customHeight="1">
      <x:c r="A448" t="str">
        <x:v>RVX-00019</x:v>
      </x:c>
      <x:c r="B448" t="n">
        <x:v>3</x:v>
      </x:c>
      <x:c r="C448" s="15" t="n">
        <x:v>46202</x:v>
      </x:c>
      <x:c r="D448" t="str">
        <x:v>pro_agility</x:v>
      </x:c>
      <x:c r="E448" t="str">
        <x:v>5-10-5 Pro Agility</x:v>
      </x:c>
      <x:c r="F448" t="str">
        <x:v>Agility</x:v>
      </x:c>
      <x:c r="G448" t="n">
        <x:v>4.05</x:v>
      </x:c>
      <x:c r="H448" t="str">
        <x:v>sec</x:v>
      </x:c>
      <x:c r="I448" t="str">
        <x:v>lower</x:v>
      </x:c>
    </x:row>
    <x:row r="449" ht="15.75" customHeight="1">
      <x:c r="A449" t="str">
        <x:v>RVX-00019</x:v>
      </x:c>
      <x:c r="B449" t="n">
        <x:v>3</x:v>
      </x:c>
      <x:c r="C449" s="15" t="n">
        <x:v>46202</x:v>
      </x:c>
      <x:c r="D449" t="str">
        <x:v>cmj_depth</x:v>
      </x:c>
      <x:c r="E449" t="str">
        <x:v>Countermovement Depth</x:v>
      </x:c>
      <x:c r="F449" t="str">
        <x:v>Movement</x:v>
      </x:c>
      <x:c r="G449" t="n">
        <x:v>33.8</x:v>
      </x:c>
      <x:c r="H449" t="str">
        <x:v>cm</x:v>
      </x:c>
      <x:c r="I449" t="str">
        <x:v>higher</x:v>
      </x:c>
    </x:row>
    <x:row r="450" ht="15.75" customHeight="1">
      <x:c r="A450" t="str">
        <x:v>RVX-00019</x:v>
      </x:c>
      <x:c r="B450" t="n">
        <x:v>3</x:v>
      </x:c>
      <x:c r="C450" s="15" t="n">
        <x:v>46202</x:v>
      </x:c>
      <x:c r="D450" t="str">
        <x:v>peak_force</x:v>
      </x:c>
      <x:c r="E450" t="str">
        <x:v>Peak Force</x:v>
      </x:c>
      <x:c r="F450" t="str">
        <x:v>Strength &amp; Power</x:v>
      </x:c>
      <x:c r="G450" t="n">
        <x:v>1967</x:v>
      </x:c>
      <x:c r="H450" t="str">
        <x:v>N</x:v>
      </x:c>
      <x:c r="I450" t="str">
        <x:v>higher</x:v>
      </x:c>
    </x:row>
    <x:row r="451" ht="15.75" customHeight="1">
      <x:c r="A451" t="str">
        <x:v>RVX-00019</x:v>
      </x:c>
      <x:c r="B451" t="n">
        <x:v>3</x:v>
      </x:c>
      <x:c r="C451" s="15" t="n">
        <x:v>46202</x:v>
      </x:c>
      <x:c r="D451" t="str">
        <x:v>impulse</x:v>
      </x:c>
      <x:c r="E451" t="str">
        <x:v>Impulse-Momentum</x:v>
      </x:c>
      <x:c r="F451" t="str">
        <x:v>Strength &amp; Power</x:v>
      </x:c>
      <x:c r="G451" t="n">
        <x:v>244.1</x:v>
      </x:c>
      <x:c r="H451" t="str">
        <x:v>Ns</x:v>
      </x:c>
      <x:c r="I451" t="str">
        <x:v>higher</x:v>
      </x:c>
    </x:row>
    <x:row r="452" ht="15.75" customHeight="1">
      <x:c r="A452" t="str">
        <x:v>RVX-00019</x:v>
      </x:c>
      <x:c r="B452" t="n">
        <x:v>4</x:v>
      </x:c>
      <x:c r="C452" s="15" t="n">
        <x:v>46230</x:v>
      </x:c>
      <x:c r="D452" t="str">
        <x:v>sprint_5m</x:v>
      </x:c>
      <x:c r="E452" t="str">
        <x:v>5m Sprint</x:v>
      </x:c>
      <x:c r="F452" t="str">
        <x:v>Acceleration</x:v>
      </x:c>
      <x:c r="G452" t="n">
        <x:v>0.94</x:v>
      </x:c>
      <x:c r="H452" t="str">
        <x:v>sec</x:v>
      </x:c>
      <x:c r="I452" t="str">
        <x:v>lower</x:v>
      </x:c>
    </x:row>
    <x:row r="453" ht="15.75" customHeight="1">
      <x:c r="A453" t="str">
        <x:v>RVX-00019</x:v>
      </x:c>
      <x:c r="B453" t="n">
        <x:v>4</x:v>
      </x:c>
      <x:c r="C453" s="15" t="n">
        <x:v>46230</x:v>
      </x:c>
      <x:c r="D453" t="str">
        <x:v>sprint_10m</x:v>
      </x:c>
      <x:c r="E453" t="str">
        <x:v>10m Sprint</x:v>
      </x:c>
      <x:c r="F453" t="str">
        <x:v>Acceleration</x:v>
      </x:c>
      <x:c r="G453" t="n">
        <x:v>1.57</x:v>
      </x:c>
      <x:c r="H453" t="str">
        <x:v>sec</x:v>
      </x:c>
      <x:c r="I453" t="str">
        <x:v>lower</x:v>
      </x:c>
    </x:row>
    <x:row r="454" ht="15.75" customHeight="1">
      <x:c r="A454" t="str">
        <x:v>RVX-00019</x:v>
      </x:c>
      <x:c r="B454" t="n">
        <x:v>4</x:v>
      </x:c>
      <x:c r="C454" s="15" t="n">
        <x:v>46230</x:v>
      </x:c>
      <x:c r="D454" t="str">
        <x:v>pro_agility</x:v>
      </x:c>
      <x:c r="E454" t="str">
        <x:v>5-10-5 Pro Agility</x:v>
      </x:c>
      <x:c r="F454" t="str">
        <x:v>Agility</x:v>
      </x:c>
      <x:c r="G454" t="n">
        <x:v>4.07</x:v>
      </x:c>
      <x:c r="H454" t="str">
        <x:v>sec</x:v>
      </x:c>
      <x:c r="I454" t="str">
        <x:v>lower</x:v>
      </x:c>
    </x:row>
    <x:row r="455" ht="15.75" customHeight="1">
      <x:c r="A455" t="str">
        <x:v>RVX-00019</x:v>
      </x:c>
      <x:c r="B455" t="n">
        <x:v>4</x:v>
      </x:c>
      <x:c r="C455" s="15" t="n">
        <x:v>46230</x:v>
      </x:c>
      <x:c r="D455" t="str">
        <x:v>cmj_depth</x:v>
      </x:c>
      <x:c r="E455" t="str">
        <x:v>Countermovement Depth</x:v>
      </x:c>
      <x:c r="F455" t="str">
        <x:v>Movement</x:v>
      </x:c>
      <x:c r="G455" t="n">
        <x:v>34.8</x:v>
      </x:c>
      <x:c r="H455" t="str">
        <x:v>cm</x:v>
      </x:c>
      <x:c r="I455" t="str">
        <x:v>higher</x:v>
      </x:c>
    </x:row>
    <x:row r="456" ht="15.75" customHeight="1">
      <x:c r="A456" t="str">
        <x:v>RVX-00019</x:v>
      </x:c>
      <x:c r="B456" t="n">
        <x:v>4</x:v>
      </x:c>
      <x:c r="C456" s="15" t="n">
        <x:v>46230</x:v>
      </x:c>
      <x:c r="D456" t="str">
        <x:v>peak_force</x:v>
      </x:c>
      <x:c r="E456" t="str">
        <x:v>Peak Force</x:v>
      </x:c>
      <x:c r="F456" t="str">
        <x:v>Strength &amp; Power</x:v>
      </x:c>
      <x:c r="G456" t="n">
        <x:v>2048</x:v>
      </x:c>
      <x:c r="H456" t="str">
        <x:v>N</x:v>
      </x:c>
      <x:c r="I456" t="str">
        <x:v>higher</x:v>
      </x:c>
    </x:row>
    <x:row r="457" ht="15.75" customHeight="1">
      <x:c r="A457" t="str">
        <x:v>RVX-00019</x:v>
      </x:c>
      <x:c r="B457" t="n">
        <x:v>4</x:v>
      </x:c>
      <x:c r="C457" s="15" t="n">
        <x:v>46230</x:v>
      </x:c>
      <x:c r="D457" t="str">
        <x:v>impulse</x:v>
      </x:c>
      <x:c r="E457" t="str">
        <x:v>Impulse-Momentum</x:v>
      </x:c>
      <x:c r="F457" t="str">
        <x:v>Strength &amp; Power</x:v>
      </x:c>
      <x:c r="G457" t="n">
        <x:v>253.4</x:v>
      </x:c>
      <x:c r="H457" t="str">
        <x:v>Ns</x:v>
      </x:c>
      <x:c r="I457" t="str">
        <x:v>higher</x:v>
      </x:c>
    </x:row>
    <x:row r="458" ht="15.75" customHeight="1">
      <x:c r="A458" t="str">
        <x:v>RVX-00020</x:v>
      </x:c>
      <x:c r="B458" t="n">
        <x:v>1</x:v>
      </x:c>
      <x:c r="C458" s="15" t="n">
        <x:v>46146</x:v>
      </x:c>
      <x:c r="D458" t="str">
        <x:v>sprint_5m</x:v>
      </x:c>
      <x:c r="E458" t="str">
        <x:v>5m Sprint</x:v>
      </x:c>
      <x:c r="F458" t="str">
        <x:v>Acceleration</x:v>
      </x:c>
      <x:c r="G458" t="n">
        <x:v>1.06</x:v>
      </x:c>
      <x:c r="H458" t="str">
        <x:v>sec</x:v>
      </x:c>
      <x:c r="I458" t="str">
        <x:v>lower</x:v>
      </x:c>
    </x:row>
    <x:row r="459" ht="15.75" customHeight="1">
      <x:c r="A459" t="str">
        <x:v>RVX-00020</x:v>
      </x:c>
      <x:c r="B459" t="n">
        <x:v>1</x:v>
      </x:c>
      <x:c r="C459" s="15" t="n">
        <x:v>46146</x:v>
      </x:c>
      <x:c r="D459" t="str">
        <x:v>sprint_10m</x:v>
      </x:c>
      <x:c r="E459" t="str">
        <x:v>10m Sprint</x:v>
      </x:c>
      <x:c r="F459" t="str">
        <x:v>Acceleration</x:v>
      </x:c>
      <x:c r="G459" t="n">
        <x:v>1.79</x:v>
      </x:c>
      <x:c r="H459" t="str">
        <x:v>sec</x:v>
      </x:c>
      <x:c r="I459" t="str">
        <x:v>lower</x:v>
      </x:c>
    </x:row>
    <x:row r="460" ht="15.75" customHeight="1">
      <x:c r="A460" t="str">
        <x:v>RVX-00020</x:v>
      </x:c>
      <x:c r="B460" t="n">
        <x:v>1</x:v>
      </x:c>
      <x:c r="C460" s="15" t="n">
        <x:v>46146</x:v>
      </x:c>
      <x:c r="D460" t="str">
        <x:v>pro_agility</x:v>
      </x:c>
      <x:c r="E460" t="str">
        <x:v>5-10-5 Pro Agility</x:v>
      </x:c>
      <x:c r="F460" t="str">
        <x:v>Agility</x:v>
      </x:c>
      <x:c r="G460" t="n">
        <x:v>4.72</x:v>
      </x:c>
      <x:c r="H460" t="str">
        <x:v>sec</x:v>
      </x:c>
      <x:c r="I460" t="str">
        <x:v>lower</x:v>
      </x:c>
    </x:row>
    <x:row r="461" ht="15.75" customHeight="1">
      <x:c r="A461" t="str">
        <x:v>RVX-00020</x:v>
      </x:c>
      <x:c r="B461" t="n">
        <x:v>1</x:v>
      </x:c>
      <x:c r="C461" s="15" t="n">
        <x:v>46146</x:v>
      </x:c>
      <x:c r="D461" t="str">
        <x:v>cmj_depth</x:v>
      </x:c>
      <x:c r="E461" t="str">
        <x:v>Countermovement Depth</x:v>
      </x:c>
      <x:c r="F461" t="str">
        <x:v>Movement</x:v>
      </x:c>
      <x:c r="G461" t="n">
        <x:v>33.4</x:v>
      </x:c>
      <x:c r="H461" t="str">
        <x:v>cm</x:v>
      </x:c>
      <x:c r="I461" t="str">
        <x:v>higher</x:v>
      </x:c>
    </x:row>
    <x:row r="462" ht="15.75" customHeight="1">
      <x:c r="A462" t="str">
        <x:v>RVX-00020</x:v>
      </x:c>
      <x:c r="B462" t="n">
        <x:v>1</x:v>
      </x:c>
      <x:c r="C462" s="15" t="n">
        <x:v>46146</x:v>
      </x:c>
      <x:c r="D462" t="str">
        <x:v>peak_force</x:v>
      </x:c>
      <x:c r="E462" t="str">
        <x:v>Peak Force</x:v>
      </x:c>
      <x:c r="F462" t="str">
        <x:v>Strength &amp; Power</x:v>
      </x:c>
      <x:c r="G462" t="n">
        <x:v>1943</x:v>
      </x:c>
      <x:c r="H462" t="str">
        <x:v>N</x:v>
      </x:c>
      <x:c r="I462" t="str">
        <x:v>higher</x:v>
      </x:c>
    </x:row>
    <x:row r="463" ht="15.75" customHeight="1">
      <x:c r="A463" t="str">
        <x:v>RVX-00020</x:v>
      </x:c>
      <x:c r="B463" t="n">
        <x:v>1</x:v>
      </x:c>
      <x:c r="C463" s="15" t="n">
        <x:v>46146</x:v>
      </x:c>
      <x:c r="D463" t="str">
        <x:v>impulse</x:v>
      </x:c>
      <x:c r="E463" t="str">
        <x:v>Impulse-Momentum</x:v>
      </x:c>
      <x:c r="F463" t="str">
        <x:v>Strength &amp; Power</x:v>
      </x:c>
      <x:c r="G463" t="n">
        <x:v>234</x:v>
      </x:c>
      <x:c r="H463" t="str">
        <x:v>Ns</x:v>
      </x:c>
      <x:c r="I463" t="str">
        <x:v>higher</x:v>
      </x:c>
    </x:row>
    <x:row r="464" ht="15.75" customHeight="1">
      <x:c r="A464" t="str">
        <x:v>RVX-00020</x:v>
      </x:c>
      <x:c r="B464" t="n">
        <x:v>2</x:v>
      </x:c>
      <x:c r="C464" s="15" t="n">
        <x:v>46174</x:v>
      </x:c>
      <x:c r="D464" t="str">
        <x:v>sprint_5m</x:v>
      </x:c>
      <x:c r="E464" t="str">
        <x:v>5m Sprint</x:v>
      </x:c>
      <x:c r="F464" t="str">
        <x:v>Acceleration</x:v>
      </x:c>
      <x:c r="G464" t="n">
        <x:v>1.05</x:v>
      </x:c>
      <x:c r="H464" t="str">
        <x:v>sec</x:v>
      </x:c>
      <x:c r="I464" t="str">
        <x:v>lower</x:v>
      </x:c>
    </x:row>
    <x:row r="465" ht="15.75" customHeight="1">
      <x:c r="A465" t="str">
        <x:v>RVX-00020</x:v>
      </x:c>
      <x:c r="B465" t="n">
        <x:v>2</x:v>
      </x:c>
      <x:c r="C465" s="15" t="n">
        <x:v>46174</x:v>
      </x:c>
      <x:c r="D465" t="str">
        <x:v>sprint_10m</x:v>
      </x:c>
      <x:c r="E465" t="str">
        <x:v>10m Sprint</x:v>
      </x:c>
      <x:c r="F465" t="str">
        <x:v>Acceleration</x:v>
      </x:c>
      <x:c r="G465" t="n">
        <x:v>1.79</x:v>
      </x:c>
      <x:c r="H465" t="str">
        <x:v>sec</x:v>
      </x:c>
      <x:c r="I465" t="str">
        <x:v>lower</x:v>
      </x:c>
    </x:row>
    <x:row r="466" ht="15.75" customHeight="1">
      <x:c r="A466" t="str">
        <x:v>RVX-00020</x:v>
      </x:c>
      <x:c r="B466" t="n">
        <x:v>2</x:v>
      </x:c>
      <x:c r="C466" s="15" t="n">
        <x:v>46174</x:v>
      </x:c>
      <x:c r="D466" t="str">
        <x:v>pro_agility</x:v>
      </x:c>
      <x:c r="E466" t="str">
        <x:v>5-10-5 Pro Agility</x:v>
      </x:c>
      <x:c r="F466" t="str">
        <x:v>Agility</x:v>
      </x:c>
      <x:c r="G466" t="n">
        <x:v>4.48</x:v>
      </x:c>
      <x:c r="H466" t="str">
        <x:v>sec</x:v>
      </x:c>
      <x:c r="I466" t="str">
        <x:v>lower</x:v>
      </x:c>
    </x:row>
    <x:row r="467" ht="15.75" customHeight="1">
      <x:c r="A467" t="str">
        <x:v>RVX-00020</x:v>
      </x:c>
      <x:c r="B467" t="n">
        <x:v>2</x:v>
      </x:c>
      <x:c r="C467" s="15" t="n">
        <x:v>46174</x:v>
      </x:c>
      <x:c r="D467" t="str">
        <x:v>cmj_depth</x:v>
      </x:c>
      <x:c r="E467" t="str">
        <x:v>Countermovement Depth</x:v>
      </x:c>
      <x:c r="F467" t="str">
        <x:v>Movement</x:v>
      </x:c>
      <x:c r="G467" t="n">
        <x:v>34</x:v>
      </x:c>
      <x:c r="H467" t="str">
        <x:v>cm</x:v>
      </x:c>
      <x:c r="I467" t="str">
        <x:v>higher</x:v>
      </x:c>
    </x:row>
    <x:row r="468" ht="15.75" customHeight="1">
      <x:c r="A468" t="str">
        <x:v>RVX-00020</x:v>
      </x:c>
      <x:c r="B468" t="n">
        <x:v>2</x:v>
      </x:c>
      <x:c r="C468" s="15" t="n">
        <x:v>46174</x:v>
      </x:c>
      <x:c r="D468" t="str">
        <x:v>peak_force</x:v>
      </x:c>
      <x:c r="E468" t="str">
        <x:v>Peak Force</x:v>
      </x:c>
      <x:c r="F468" t="str">
        <x:v>Strength &amp; Power</x:v>
      </x:c>
      <x:c r="G468" t="n">
        <x:v>1988</x:v>
      </x:c>
      <x:c r="H468" t="str">
        <x:v>N</x:v>
      </x:c>
      <x:c r="I468" t="str">
        <x:v>higher</x:v>
      </x:c>
    </x:row>
    <x:row r="469" ht="15.75" customHeight="1">
      <x:c r="A469" t="str">
        <x:v>RVX-00020</x:v>
      </x:c>
      <x:c r="B469" t="n">
        <x:v>2</x:v>
      </x:c>
      <x:c r="C469" s="15" t="n">
        <x:v>46174</x:v>
      </x:c>
      <x:c r="D469" t="str">
        <x:v>impulse</x:v>
      </x:c>
      <x:c r="E469" t="str">
        <x:v>Impulse-Momentum</x:v>
      </x:c>
      <x:c r="F469" t="str">
        <x:v>Strength &amp; Power</x:v>
      </x:c>
      <x:c r="G469" t="n">
        <x:v>246.2</x:v>
      </x:c>
      <x:c r="H469" t="str">
        <x:v>Ns</x:v>
      </x:c>
      <x:c r="I469" t="str">
        <x:v>higher</x:v>
      </x:c>
    </x:row>
    <x:row r="470" ht="15.75" customHeight="1">
      <x:c r="A470" t="str">
        <x:v>RVX-00020</x:v>
      </x:c>
      <x:c r="B470" t="n">
        <x:v>3</x:v>
      </x:c>
      <x:c r="C470" s="15" t="n">
        <x:v>46202</x:v>
      </x:c>
      <x:c r="D470" t="str">
        <x:v>sprint_5m</x:v>
      </x:c>
      <x:c r="E470" t="str">
        <x:v>5m Sprint</x:v>
      </x:c>
      <x:c r="F470" t="str">
        <x:v>Acceleration</x:v>
      </x:c>
      <x:c r="G470" t="n">
        <x:v>1.02</x:v>
      </x:c>
      <x:c r="H470" t="str">
        <x:v>sec</x:v>
      </x:c>
      <x:c r="I470" t="str">
        <x:v>lower</x:v>
      </x:c>
    </x:row>
    <x:row r="471" ht="15.75" customHeight="1">
      <x:c r="A471" t="str">
        <x:v>RVX-00020</x:v>
      </x:c>
      <x:c r="B471" t="n">
        <x:v>3</x:v>
      </x:c>
      <x:c r="C471" s="15" t="n">
        <x:v>46202</x:v>
      </x:c>
      <x:c r="D471" t="str">
        <x:v>sprint_10m</x:v>
      </x:c>
      <x:c r="E471" t="str">
        <x:v>10m Sprint</x:v>
      </x:c>
      <x:c r="F471" t="str">
        <x:v>Acceleration</x:v>
      </x:c>
      <x:c r="G471" t="n">
        <x:v>1.76</x:v>
      </x:c>
      <x:c r="H471" t="str">
        <x:v>sec</x:v>
      </x:c>
      <x:c r="I471" t="str">
        <x:v>lower</x:v>
      </x:c>
    </x:row>
    <x:row r="472" ht="15.75" customHeight="1">
      <x:c r="A472" t="str">
        <x:v>RVX-00020</x:v>
      </x:c>
      <x:c r="B472" t="n">
        <x:v>3</x:v>
      </x:c>
      <x:c r="C472" s="15" t="n">
        <x:v>46202</x:v>
      </x:c>
      <x:c r="D472" t="str">
        <x:v>pro_agility</x:v>
      </x:c>
      <x:c r="E472" t="str">
        <x:v>5-10-5 Pro Agility</x:v>
      </x:c>
      <x:c r="F472" t="str">
        <x:v>Agility</x:v>
      </x:c>
      <x:c r="G472" t="n">
        <x:v>4.53</x:v>
      </x:c>
      <x:c r="H472" t="str">
        <x:v>sec</x:v>
      </x:c>
      <x:c r="I472" t="str">
        <x:v>lower</x:v>
      </x:c>
    </x:row>
    <x:row r="473" ht="15.75" customHeight="1">
      <x:c r="A473" t="str">
        <x:v>RVX-00020</x:v>
      </x:c>
      <x:c r="B473" t="n">
        <x:v>3</x:v>
      </x:c>
      <x:c r="C473" s="15" t="n">
        <x:v>46202</x:v>
      </x:c>
      <x:c r="D473" t="str">
        <x:v>cmj_depth</x:v>
      </x:c>
      <x:c r="E473" t="str">
        <x:v>Countermovement Depth</x:v>
      </x:c>
      <x:c r="F473" t="str">
        <x:v>Movement</x:v>
      </x:c>
      <x:c r="G473" t="n">
        <x:v>34.9</x:v>
      </x:c>
      <x:c r="H473" t="str">
        <x:v>cm</x:v>
      </x:c>
      <x:c r="I473" t="str">
        <x:v>higher</x:v>
      </x:c>
    </x:row>
    <x:row r="474" ht="15.75" customHeight="1">
      <x:c r="A474" t="str">
        <x:v>RVX-00020</x:v>
      </x:c>
      <x:c r="B474" t="n">
        <x:v>3</x:v>
      </x:c>
      <x:c r="C474" s="15" t="n">
        <x:v>46202</x:v>
      </x:c>
      <x:c r="D474" t="str">
        <x:v>peak_force</x:v>
      </x:c>
      <x:c r="E474" t="str">
        <x:v>Peak Force</x:v>
      </x:c>
      <x:c r="F474" t="str">
        <x:v>Strength &amp; Power</x:v>
      </x:c>
      <x:c r="G474" t="n">
        <x:v>2015</x:v>
      </x:c>
      <x:c r="H474" t="str">
        <x:v>N</x:v>
      </x:c>
      <x:c r="I474" t="str">
        <x:v>higher</x:v>
      </x:c>
    </x:row>
    <x:row r="475" ht="15.75" customHeight="1">
      <x:c r="A475" t="str">
        <x:v>RVX-00020</x:v>
      </x:c>
      <x:c r="B475" t="n">
        <x:v>3</x:v>
      </x:c>
      <x:c r="C475" s="15" t="n">
        <x:v>46202</x:v>
      </x:c>
      <x:c r="D475" t="str">
        <x:v>impulse</x:v>
      </x:c>
      <x:c r="E475" t="str">
        <x:v>Impulse-Momentum</x:v>
      </x:c>
      <x:c r="F475" t="str">
        <x:v>Strength &amp; Power</x:v>
      </x:c>
      <x:c r="G475" t="n">
        <x:v>243.4</x:v>
      </x:c>
      <x:c r="H475" t="str">
        <x:v>Ns</x:v>
      </x:c>
      <x:c r="I475" t="str">
        <x:v>higher</x:v>
      </x:c>
    </x:row>
    <x:row r="476" ht="15.75" customHeight="1">
      <x:c r="A476" t="str">
        <x:v>RVX-00020</x:v>
      </x:c>
      <x:c r="B476" t="n">
        <x:v>4</x:v>
      </x:c>
      <x:c r="C476" s="15" t="n">
        <x:v>46230</x:v>
      </x:c>
      <x:c r="D476" t="str">
        <x:v>sprint_5m</x:v>
      </x:c>
      <x:c r="E476" t="str">
        <x:v>5m Sprint</x:v>
      </x:c>
      <x:c r="F476" t="str">
        <x:v>Acceleration</x:v>
      </x:c>
      <x:c r="G476" t="n">
        <x:v>1.03</x:v>
      </x:c>
      <x:c r="H476" t="str">
        <x:v>sec</x:v>
      </x:c>
      <x:c r="I476" t="str">
        <x:v>lower</x:v>
      </x:c>
    </x:row>
    <x:row r="477" ht="15.75" customHeight="1">
      <x:c r="A477" t="str">
        <x:v>RVX-00020</x:v>
      </x:c>
      <x:c r="B477" t="n">
        <x:v>4</x:v>
      </x:c>
      <x:c r="C477" s="15" t="n">
        <x:v>46230</x:v>
      </x:c>
      <x:c r="D477" t="str">
        <x:v>sprint_10m</x:v>
      </x:c>
      <x:c r="E477" t="str">
        <x:v>10m Sprint</x:v>
      </x:c>
      <x:c r="F477" t="str">
        <x:v>Acceleration</x:v>
      </x:c>
      <x:c r="G477" t="n">
        <x:v>1.75</x:v>
      </x:c>
      <x:c r="H477" t="str">
        <x:v>sec</x:v>
      </x:c>
      <x:c r="I477" t="str">
        <x:v>lower</x:v>
      </x:c>
    </x:row>
    <x:row r="478" ht="15.75" customHeight="1">
      <x:c r="A478" t="str">
        <x:v>RVX-00020</x:v>
      </x:c>
      <x:c r="B478" t="n">
        <x:v>4</x:v>
      </x:c>
      <x:c r="C478" s="15" t="n">
        <x:v>46230</x:v>
      </x:c>
      <x:c r="D478" t="str">
        <x:v>pro_agility</x:v>
      </x:c>
      <x:c r="E478" t="str">
        <x:v>5-10-5 Pro Agility</x:v>
      </x:c>
      <x:c r="F478" t="str">
        <x:v>Agility</x:v>
      </x:c>
      <x:c r="G478" t="n">
        <x:v>4.27</x:v>
      </x:c>
      <x:c r="H478" t="str">
        <x:v>sec</x:v>
      </x:c>
      <x:c r="I478" t="str">
        <x:v>lower</x:v>
      </x:c>
    </x:row>
    <x:row r="479" ht="15.75" customHeight="1">
      <x:c r="A479" t="str">
        <x:v>RVX-00020</x:v>
      </x:c>
      <x:c r="B479" t="n">
        <x:v>4</x:v>
      </x:c>
      <x:c r="C479" s="15" t="n">
        <x:v>46230</x:v>
      </x:c>
      <x:c r="D479" t="str">
        <x:v>cmj_depth</x:v>
      </x:c>
      <x:c r="E479" t="str">
        <x:v>Countermovement Depth</x:v>
      </x:c>
      <x:c r="F479" t="str">
        <x:v>Movement</x:v>
      </x:c>
      <x:c r="G479" t="n">
        <x:v>35.5</x:v>
      </x:c>
      <x:c r="H479" t="str">
        <x:v>cm</x:v>
      </x:c>
      <x:c r="I479" t="str">
        <x:v>higher</x:v>
      </x:c>
    </x:row>
    <x:row r="480" ht="15.75" customHeight="1">
      <x:c r="A480" t="str">
        <x:v>RVX-00020</x:v>
      </x:c>
      <x:c r="B480" t="n">
        <x:v>4</x:v>
      </x:c>
      <x:c r="C480" s="15" t="n">
        <x:v>46230</x:v>
      </x:c>
      <x:c r="D480" t="str">
        <x:v>peak_force</x:v>
      </x:c>
      <x:c r="E480" t="str">
        <x:v>Peak Force</x:v>
      </x:c>
      <x:c r="F480" t="str">
        <x:v>Strength &amp; Power</x:v>
      </x:c>
      <x:c r="G480" t="n">
        <x:v>2047</x:v>
      </x:c>
      <x:c r="H480" t="str">
        <x:v>N</x:v>
      </x:c>
      <x:c r="I480" t="str">
        <x:v>higher</x:v>
      </x:c>
    </x:row>
    <x:row r="481" ht="15.75" customHeight="1">
      <x:c r="A481" t="str">
        <x:v>RVX-00020</x:v>
      </x:c>
      <x:c r="B481" t="n">
        <x:v>4</x:v>
      </x:c>
      <x:c r="C481" s="15" t="n">
        <x:v>46230</x:v>
      </x:c>
      <x:c r="D481" t="str">
        <x:v>impulse</x:v>
      </x:c>
      <x:c r="E481" t="str">
        <x:v>Impulse-Momentum</x:v>
      </x:c>
      <x:c r="F481" t="str">
        <x:v>Strength &amp; Power</x:v>
      </x:c>
      <x:c r="G481" t="n">
        <x:v>249.9</x:v>
      </x:c>
      <x:c r="H481" t="str">
        <x:v>Ns</x:v>
      </x:c>
      <x:c r="I481" t="str">
        <x:v>higher</x:v>
      </x:c>
    </x:row>
    <x:row r="482" ht="15.75" customHeight="1">
      <x:c r="A482" t="str">
        <x:v>RVX-00021</x:v>
      </x:c>
      <x:c r="B482" t="n">
        <x:v>1</x:v>
      </x:c>
      <x:c r="C482" s="15" t="n">
        <x:v>46146</x:v>
      </x:c>
      <x:c r="D482" t="str">
        <x:v>sprint_5m</x:v>
      </x:c>
      <x:c r="E482" t="str">
        <x:v>5m Sprint</x:v>
      </x:c>
      <x:c r="F482" t="str">
        <x:v>Acceleration</x:v>
      </x:c>
      <x:c r="G482" t="n">
        <x:v>1.24</x:v>
      </x:c>
      <x:c r="H482" t="str">
        <x:v>sec</x:v>
      </x:c>
      <x:c r="I482" t="str">
        <x:v>lower</x:v>
      </x:c>
    </x:row>
    <x:row r="483" ht="15.75" customHeight="1">
      <x:c r="A483" t="str">
        <x:v>RVX-00021</x:v>
      </x:c>
      <x:c r="B483" t="n">
        <x:v>1</x:v>
      </x:c>
      <x:c r="C483" s="15" t="n">
        <x:v>46146</x:v>
      </x:c>
      <x:c r="D483" t="str">
        <x:v>sprint_10m</x:v>
      </x:c>
      <x:c r="E483" t="str">
        <x:v>10m Sprint</x:v>
      </x:c>
      <x:c r="F483" t="str">
        <x:v>Acceleration</x:v>
      </x:c>
      <x:c r="G483" t="n">
        <x:v>2.11</x:v>
      </x:c>
      <x:c r="H483" t="str">
        <x:v>sec</x:v>
      </x:c>
      <x:c r="I483" t="str">
        <x:v>lower</x:v>
      </x:c>
    </x:row>
    <x:row r="484" ht="15.75" customHeight="1">
      <x:c r="A484" t="str">
        <x:v>RVX-00021</x:v>
      </x:c>
      <x:c r="B484" t="n">
        <x:v>1</x:v>
      </x:c>
      <x:c r="C484" s="15" t="n">
        <x:v>46146</x:v>
      </x:c>
      <x:c r="D484" t="str">
        <x:v>pro_agility</x:v>
      </x:c>
      <x:c r="E484" t="str">
        <x:v>5-10-5 Pro Agility</x:v>
      </x:c>
      <x:c r="F484" t="str">
        <x:v>Agility</x:v>
      </x:c>
      <x:c r="G484" t="n">
        <x:v>5.28</x:v>
      </x:c>
      <x:c r="H484" t="str">
        <x:v>sec</x:v>
      </x:c>
      <x:c r="I484" t="str">
        <x:v>lower</x:v>
      </x:c>
    </x:row>
    <x:row r="485" ht="15.75" customHeight="1">
      <x:c r="A485" t="str">
        <x:v>RVX-00021</x:v>
      </x:c>
      <x:c r="B485" t="n">
        <x:v>1</x:v>
      </x:c>
      <x:c r="C485" s="15" t="n">
        <x:v>46146</x:v>
      </x:c>
      <x:c r="D485" t="str">
        <x:v>cmj_depth</x:v>
      </x:c>
      <x:c r="E485" t="str">
        <x:v>Countermovement Depth</x:v>
      </x:c>
      <x:c r="F485" t="str">
        <x:v>Movement</x:v>
      </x:c>
      <x:c r="G485" t="n">
        <x:v>26.3</x:v>
      </x:c>
      <x:c r="H485" t="str">
        <x:v>cm</x:v>
      </x:c>
      <x:c r="I485" t="str">
        <x:v>higher</x:v>
      </x:c>
    </x:row>
    <x:row r="486" ht="15.75" customHeight="1">
      <x:c r="A486" t="str">
        <x:v>RVX-00021</x:v>
      </x:c>
      <x:c r="B486" t="n">
        <x:v>1</x:v>
      </x:c>
      <x:c r="C486" s="15" t="n">
        <x:v>46146</x:v>
      </x:c>
      <x:c r="D486" t="str">
        <x:v>peak_force</x:v>
      </x:c>
      <x:c r="E486" t="str">
        <x:v>Peak Force</x:v>
      </x:c>
      <x:c r="F486" t="str">
        <x:v>Strength &amp; Power</x:v>
      </x:c>
      <x:c r="G486" t="n">
        <x:v>1603</x:v>
      </x:c>
      <x:c r="H486" t="str">
        <x:v>N</x:v>
      </x:c>
      <x:c r="I486" t="str">
        <x:v>higher</x:v>
      </x:c>
    </x:row>
    <x:row r="487" ht="15.75" customHeight="1">
      <x:c r="A487" t="str">
        <x:v>RVX-00021</x:v>
      </x:c>
      <x:c r="B487" t="n">
        <x:v>1</x:v>
      </x:c>
      <x:c r="C487" s="15" t="n">
        <x:v>46146</x:v>
      </x:c>
      <x:c r="D487" t="str">
        <x:v>impulse</x:v>
      </x:c>
      <x:c r="E487" t="str">
        <x:v>Impulse-Momentum</x:v>
      </x:c>
      <x:c r="F487" t="str">
        <x:v>Strength &amp; Power</x:v>
      </x:c>
      <x:c r="G487" t="n">
        <x:v>196.4</x:v>
      </x:c>
      <x:c r="H487" t="str">
        <x:v>Ns</x:v>
      </x:c>
      <x:c r="I487" t="str">
        <x:v>higher</x:v>
      </x:c>
    </x:row>
    <x:row r="488" ht="15.75" customHeight="1">
      <x:c r="A488" t="str">
        <x:v>RVX-00021</x:v>
      </x:c>
      <x:c r="B488" t="n">
        <x:v>2</x:v>
      </x:c>
      <x:c r="C488" s="15" t="n">
        <x:v>46174</x:v>
      </x:c>
      <x:c r="D488" t="str">
        <x:v>sprint_5m</x:v>
      </x:c>
      <x:c r="E488" t="str">
        <x:v>5m Sprint</x:v>
      </x:c>
      <x:c r="F488" t="str">
        <x:v>Acceleration</x:v>
      </x:c>
      <x:c r="G488" t="n">
        <x:v>1.23</x:v>
      </x:c>
      <x:c r="H488" t="str">
        <x:v>sec</x:v>
      </x:c>
      <x:c r="I488" t="str">
        <x:v>lower</x:v>
      </x:c>
    </x:row>
    <x:row r="489" ht="15.75" customHeight="1">
      <x:c r="A489" t="str">
        <x:v>RVX-00021</x:v>
      </x:c>
      <x:c r="B489" t="n">
        <x:v>2</x:v>
      </x:c>
      <x:c r="C489" s="15" t="n">
        <x:v>46174</x:v>
      </x:c>
      <x:c r="D489" t="str">
        <x:v>sprint_10m</x:v>
      </x:c>
      <x:c r="E489" t="str">
        <x:v>10m Sprint</x:v>
      </x:c>
      <x:c r="F489" t="str">
        <x:v>Acceleration</x:v>
      </x:c>
      <x:c r="G489" t="n">
        <x:v>2.08</x:v>
      </x:c>
      <x:c r="H489" t="str">
        <x:v>sec</x:v>
      </x:c>
      <x:c r="I489" t="str">
        <x:v>lower</x:v>
      </x:c>
    </x:row>
    <x:row r="490" ht="15.75" customHeight="1">
      <x:c r="A490" t="str">
        <x:v>RVX-00021</x:v>
      </x:c>
      <x:c r="B490" t="n">
        <x:v>2</x:v>
      </x:c>
      <x:c r="C490" s="15" t="n">
        <x:v>46174</x:v>
      </x:c>
      <x:c r="D490" t="str">
        <x:v>pro_agility</x:v>
      </x:c>
      <x:c r="E490" t="str">
        <x:v>5-10-5 Pro Agility</x:v>
      </x:c>
      <x:c r="F490" t="str">
        <x:v>Agility</x:v>
      </x:c>
      <x:c r="G490" t="n">
        <x:v>5.11</x:v>
      </x:c>
      <x:c r="H490" t="str">
        <x:v>sec</x:v>
      </x:c>
      <x:c r="I490" t="str">
        <x:v>lower</x:v>
      </x:c>
    </x:row>
    <x:row r="491" ht="15.75" customHeight="1">
      <x:c r="A491" t="str">
        <x:v>RVX-00021</x:v>
      </x:c>
      <x:c r="B491" t="n">
        <x:v>2</x:v>
      </x:c>
      <x:c r="C491" s="15" t="n">
        <x:v>46174</x:v>
      </x:c>
      <x:c r="D491" t="str">
        <x:v>cmj_depth</x:v>
      </x:c>
      <x:c r="E491" t="str">
        <x:v>Countermovement Depth</x:v>
      </x:c>
      <x:c r="F491" t="str">
        <x:v>Movement</x:v>
      </x:c>
      <x:c r="G491" t="n">
        <x:v>27.5</x:v>
      </x:c>
      <x:c r="H491" t="str">
        <x:v>cm</x:v>
      </x:c>
      <x:c r="I491" t="str">
        <x:v>higher</x:v>
      </x:c>
    </x:row>
    <x:row r="492" ht="15.75" customHeight="1">
      <x:c r="A492" t="str">
        <x:v>RVX-00021</x:v>
      </x:c>
      <x:c r="B492" t="n">
        <x:v>2</x:v>
      </x:c>
      <x:c r="C492" s="15" t="n">
        <x:v>46174</x:v>
      </x:c>
      <x:c r="D492" t="str">
        <x:v>peak_force</x:v>
      </x:c>
      <x:c r="E492" t="str">
        <x:v>Peak Force</x:v>
      </x:c>
      <x:c r="F492" t="str">
        <x:v>Strength &amp; Power</x:v>
      </x:c>
      <x:c r="G492" t="n">
        <x:v>1572</x:v>
      </x:c>
      <x:c r="H492" t="str">
        <x:v>N</x:v>
      </x:c>
      <x:c r="I492" t="str">
        <x:v>higher</x:v>
      </x:c>
    </x:row>
    <x:row r="493" ht="15.75" customHeight="1">
      <x:c r="A493" t="str">
        <x:v>RVX-00021</x:v>
      </x:c>
      <x:c r="B493" t="n">
        <x:v>2</x:v>
      </x:c>
      <x:c r="C493" s="15" t="n">
        <x:v>46174</x:v>
      </x:c>
      <x:c r="D493" t="str">
        <x:v>impulse</x:v>
      </x:c>
      <x:c r="E493" t="str">
        <x:v>Impulse-Momentum</x:v>
      </x:c>
      <x:c r="F493" t="str">
        <x:v>Strength &amp; Power</x:v>
      </x:c>
      <x:c r="G493" t="n">
        <x:v>202.2</x:v>
      </x:c>
      <x:c r="H493" t="str">
        <x:v>Ns</x:v>
      </x:c>
      <x:c r="I493" t="str">
        <x:v>higher</x:v>
      </x:c>
    </x:row>
    <x:row r="494" ht="15.75" customHeight="1">
      <x:c r="A494" t="str">
        <x:v>RVX-00021</x:v>
      </x:c>
      <x:c r="B494" t="n">
        <x:v>3</x:v>
      </x:c>
      <x:c r="C494" s="15" t="n">
        <x:v>46202</x:v>
      </x:c>
      <x:c r="D494" t="str">
        <x:v>sprint_5m</x:v>
      </x:c>
      <x:c r="E494" t="str">
        <x:v>5m Sprint</x:v>
      </x:c>
      <x:c r="F494" t="str">
        <x:v>Acceleration</x:v>
      </x:c>
      <x:c r="G494" t="n">
        <x:v>1.17</x:v>
      </x:c>
      <x:c r="H494" t="str">
        <x:v>sec</x:v>
      </x:c>
      <x:c r="I494" t="str">
        <x:v>lower</x:v>
      </x:c>
    </x:row>
    <x:row r="495" ht="15.75" customHeight="1">
      <x:c r="A495" t="str">
        <x:v>RVX-00021</x:v>
      </x:c>
      <x:c r="B495" t="n">
        <x:v>3</x:v>
      </x:c>
      <x:c r="C495" s="15" t="n">
        <x:v>46202</x:v>
      </x:c>
      <x:c r="D495" t="str">
        <x:v>sprint_10m</x:v>
      </x:c>
      <x:c r="E495" t="str">
        <x:v>10m Sprint</x:v>
      </x:c>
      <x:c r="F495" t="str">
        <x:v>Acceleration</x:v>
      </x:c>
      <x:c r="G495" t="n">
        <x:v>2.03</x:v>
      </x:c>
      <x:c r="H495" t="str">
        <x:v>sec</x:v>
      </x:c>
      <x:c r="I495" t="str">
        <x:v>lower</x:v>
      </x:c>
    </x:row>
    <x:row r="496" ht="15.75" customHeight="1">
      <x:c r="A496" t="str">
        <x:v>RVX-00021</x:v>
      </x:c>
      <x:c r="B496" t="n">
        <x:v>3</x:v>
      </x:c>
      <x:c r="C496" s="15" t="n">
        <x:v>46202</x:v>
      </x:c>
      <x:c r="D496" t="str">
        <x:v>pro_agility</x:v>
      </x:c>
      <x:c r="E496" t="str">
        <x:v>5-10-5 Pro Agility</x:v>
      </x:c>
      <x:c r="F496" t="str">
        <x:v>Agility</x:v>
      </x:c>
      <x:c r="G496" t="n">
        <x:v>5.2</x:v>
      </x:c>
      <x:c r="H496" t="str">
        <x:v>sec</x:v>
      </x:c>
      <x:c r="I496" t="str">
        <x:v>lower</x:v>
      </x:c>
    </x:row>
    <x:row r="497" ht="15.75" customHeight="1">
      <x:c r="A497" t="str">
        <x:v>RVX-00021</x:v>
      </x:c>
      <x:c r="B497" t="n">
        <x:v>3</x:v>
      </x:c>
      <x:c r="C497" s="15" t="n">
        <x:v>46202</x:v>
      </x:c>
      <x:c r="D497" t="str">
        <x:v>cmj_depth</x:v>
      </x:c>
      <x:c r="E497" t="str">
        <x:v>Countermovement Depth</x:v>
      </x:c>
      <x:c r="F497" t="str">
        <x:v>Movement</x:v>
      </x:c>
      <x:c r="G497" t="n">
        <x:v>28.6</x:v>
      </x:c>
      <x:c r="H497" t="str">
        <x:v>cm</x:v>
      </x:c>
      <x:c r="I497" t="str">
        <x:v>higher</x:v>
      </x:c>
    </x:row>
    <x:row r="498" ht="15.75" customHeight="1">
      <x:c r="A498" t="str">
        <x:v>RVX-00021</x:v>
      </x:c>
      <x:c r="B498" t="n">
        <x:v>3</x:v>
      </x:c>
      <x:c r="C498" s="15" t="n">
        <x:v>46202</x:v>
      </x:c>
      <x:c r="D498" t="str">
        <x:v>peak_force</x:v>
      </x:c>
      <x:c r="E498" t="str">
        <x:v>Peak Force</x:v>
      </x:c>
      <x:c r="F498" t="str">
        <x:v>Strength &amp; Power</x:v>
      </x:c>
      <x:c r="G498" t="n">
        <x:v>1602</x:v>
      </x:c>
      <x:c r="H498" t="str">
        <x:v>N</x:v>
      </x:c>
      <x:c r="I498" t="str">
        <x:v>higher</x:v>
      </x:c>
    </x:row>
    <x:row r="499" ht="15.75" customHeight="1">
      <x:c r="A499" t="str">
        <x:v>RVX-00021</x:v>
      </x:c>
      <x:c r="B499" t="n">
        <x:v>3</x:v>
      </x:c>
      <x:c r="C499" s="15" t="n">
        <x:v>46202</x:v>
      </x:c>
      <x:c r="D499" t="str">
        <x:v>impulse</x:v>
      </x:c>
      <x:c r="E499" t="str">
        <x:v>Impulse-Momentum</x:v>
      </x:c>
      <x:c r="F499" t="str">
        <x:v>Strength &amp; Power</x:v>
      </x:c>
      <x:c r="G499" t="n">
        <x:v>204.2</x:v>
      </x:c>
      <x:c r="H499" t="str">
        <x:v>Ns</x:v>
      </x:c>
      <x:c r="I499" t="str">
        <x:v>higher</x:v>
      </x:c>
    </x:row>
    <x:row r="500" ht="15.75" customHeight="1">
      <x:c r="A500" t="str">
        <x:v>RVX-00021</x:v>
      </x:c>
      <x:c r="B500" t="n">
        <x:v>4</x:v>
      </x:c>
      <x:c r="C500" s="15" t="n">
        <x:v>46230</x:v>
      </x:c>
      <x:c r="D500" t="str">
        <x:v>sprint_5m</x:v>
      </x:c>
      <x:c r="E500" t="str">
        <x:v>5m Sprint</x:v>
      </x:c>
      <x:c r="F500" t="str">
        <x:v>Acceleration</x:v>
      </x:c>
      <x:c r="G500" t="n">
        <x:v>1.14</x:v>
      </x:c>
      <x:c r="H500" t="str">
        <x:v>sec</x:v>
      </x:c>
      <x:c r="I500" t="str">
        <x:v>lower</x:v>
      </x:c>
    </x:row>
    <x:row r="501" ht="15.75" customHeight="1">
      <x:c r="A501" t="str">
        <x:v>RVX-00021</x:v>
      </x:c>
      <x:c r="B501" t="n">
        <x:v>4</x:v>
      </x:c>
      <x:c r="C501" s="15" t="n">
        <x:v>46230</x:v>
      </x:c>
      <x:c r="D501" t="str">
        <x:v>sprint_10m</x:v>
      </x:c>
      <x:c r="E501" t="str">
        <x:v>10m Sprint</x:v>
      </x:c>
      <x:c r="F501" t="str">
        <x:v>Acceleration</x:v>
      </x:c>
      <x:c r="G501" t="n">
        <x:v>1.95</x:v>
      </x:c>
      <x:c r="H501" t="str">
        <x:v>sec</x:v>
      </x:c>
      <x:c r="I501" t="str">
        <x:v>lower</x:v>
      </x:c>
    </x:row>
    <x:row r="502" ht="15.75" customHeight="1">
      <x:c r="A502" t="str">
        <x:v>RVX-00021</x:v>
      </x:c>
      <x:c r="B502" t="n">
        <x:v>4</x:v>
      </x:c>
      <x:c r="C502" s="15" t="n">
        <x:v>46230</x:v>
      </x:c>
      <x:c r="D502" t="str">
        <x:v>pro_agility</x:v>
      </x:c>
      <x:c r="E502" t="str">
        <x:v>5-10-5 Pro Agility</x:v>
      </x:c>
      <x:c r="F502" t="str">
        <x:v>Agility</x:v>
      </x:c>
      <x:c r="G502" t="n">
        <x:v>4.98</x:v>
      </x:c>
      <x:c r="H502" t="str">
        <x:v>sec</x:v>
      </x:c>
      <x:c r="I502" t="str">
        <x:v>lower</x:v>
      </x:c>
    </x:row>
    <x:row r="503" ht="15.75" customHeight="1">
      <x:c r="A503" t="str">
        <x:v>RVX-00021</x:v>
      </x:c>
      <x:c r="B503" t="n">
        <x:v>4</x:v>
      </x:c>
      <x:c r="C503" s="15" t="n">
        <x:v>46230</x:v>
      </x:c>
      <x:c r="D503" t="str">
        <x:v>cmj_depth</x:v>
      </x:c>
      <x:c r="E503" t="str">
        <x:v>Countermovement Depth</x:v>
      </x:c>
      <x:c r="F503" t="str">
        <x:v>Movement</x:v>
      </x:c>
      <x:c r="G503" t="n">
        <x:v>28.9</x:v>
      </x:c>
      <x:c r="H503" t="str">
        <x:v>cm</x:v>
      </x:c>
      <x:c r="I503" t="str">
        <x:v>higher</x:v>
      </x:c>
    </x:row>
    <x:row r="504" ht="15.75" customHeight="1">
      <x:c r="A504" t="str">
        <x:v>RVX-00021</x:v>
      </x:c>
      <x:c r="B504" t="n">
        <x:v>4</x:v>
      </x:c>
      <x:c r="C504" s="15" t="n">
        <x:v>46230</x:v>
      </x:c>
      <x:c r="D504" t="str">
        <x:v>peak_force</x:v>
      </x:c>
      <x:c r="E504" t="str">
        <x:v>Peak Force</x:v>
      </x:c>
      <x:c r="F504" t="str">
        <x:v>Strength &amp; Power</x:v>
      </x:c>
      <x:c r="G504" t="n">
        <x:v>1650</x:v>
      </x:c>
      <x:c r="H504" t="str">
        <x:v>N</x:v>
      </x:c>
      <x:c r="I504" t="str">
        <x:v>higher</x:v>
      </x:c>
    </x:row>
    <x:row r="505" ht="15.75" customHeight="1">
      <x:c r="A505" t="str">
        <x:v>RVX-00021</x:v>
      </x:c>
      <x:c r="B505" t="n">
        <x:v>4</x:v>
      </x:c>
      <x:c r="C505" s="15" t="n">
        <x:v>46230</x:v>
      </x:c>
      <x:c r="D505" t="str">
        <x:v>impulse</x:v>
      </x:c>
      <x:c r="E505" t="str">
        <x:v>Impulse-Momentum</x:v>
      </x:c>
      <x:c r="F505" t="str">
        <x:v>Strength &amp; Power</x:v>
      </x:c>
      <x:c r="G505" t="n">
        <x:v>205.7</x:v>
      </x:c>
      <x:c r="H505" t="str">
        <x:v>Ns</x:v>
      </x:c>
      <x:c r="I505" t="str">
        <x:v>higher</x:v>
      </x:c>
    </x:row>
    <x:row r="506" ht="15.75" customHeight="1">
      <x:c r="A506" t="str">
        <x:v>RVX-00022</x:v>
      </x:c>
      <x:c r="B506" t="n">
        <x:v>1</x:v>
      </x:c>
      <x:c r="C506" s="15" t="n">
        <x:v>46146</x:v>
      </x:c>
      <x:c r="D506" t="str">
        <x:v>sprint_5m</x:v>
      </x:c>
      <x:c r="E506" t="str">
        <x:v>5m Sprint</x:v>
      </x:c>
      <x:c r="F506" t="str">
        <x:v>Acceleration</x:v>
      </x:c>
      <x:c r="G506" t="n">
        <x:v>0.98</x:v>
      </x:c>
      <x:c r="H506" t="str">
        <x:v>sec</x:v>
      </x:c>
      <x:c r="I506" t="str">
        <x:v>lower</x:v>
      </x:c>
    </x:row>
    <x:row r="507" ht="15.75" customHeight="1">
      <x:c r="A507" t="str">
        <x:v>RVX-00022</x:v>
      </x:c>
      <x:c r="B507" t="n">
        <x:v>1</x:v>
      </x:c>
      <x:c r="C507" s="15" t="n">
        <x:v>46146</x:v>
      </x:c>
      <x:c r="D507" t="str">
        <x:v>sprint_10m</x:v>
      </x:c>
      <x:c r="E507" t="str">
        <x:v>10m Sprint</x:v>
      </x:c>
      <x:c r="F507" t="str">
        <x:v>Acceleration</x:v>
      </x:c>
      <x:c r="G507" t="n">
        <x:v>1.63</x:v>
      </x:c>
      <x:c r="H507" t="str">
        <x:v>sec</x:v>
      </x:c>
      <x:c r="I507" t="str">
        <x:v>lower</x:v>
      </x:c>
    </x:row>
    <x:row r="508" ht="15.75" customHeight="1">
      <x:c r="A508" t="str">
        <x:v>RVX-00022</x:v>
      </x:c>
      <x:c r="B508" t="n">
        <x:v>1</x:v>
      </x:c>
      <x:c r="C508" s="15" t="n">
        <x:v>46146</x:v>
      </x:c>
      <x:c r="D508" t="str">
        <x:v>pro_agility</x:v>
      </x:c>
      <x:c r="E508" t="str">
        <x:v>5-10-5 Pro Agility</x:v>
      </x:c>
      <x:c r="F508" t="str">
        <x:v>Agility</x:v>
      </x:c>
      <x:c r="G508" t="n">
        <x:v>4.27</x:v>
      </x:c>
      <x:c r="H508" t="str">
        <x:v>sec</x:v>
      </x:c>
      <x:c r="I508" t="str">
        <x:v>lower</x:v>
      </x:c>
    </x:row>
    <x:row r="509" ht="15.75" customHeight="1">
      <x:c r="A509" t="str">
        <x:v>RVX-00022</x:v>
      </x:c>
      <x:c r="B509" t="n">
        <x:v>1</x:v>
      </x:c>
      <x:c r="C509" s="15" t="n">
        <x:v>46146</x:v>
      </x:c>
      <x:c r="D509" t="str">
        <x:v>cmj_depth</x:v>
      </x:c>
      <x:c r="E509" t="str">
        <x:v>Countermovement Depth</x:v>
      </x:c>
      <x:c r="F509" t="str">
        <x:v>Movement</x:v>
      </x:c>
      <x:c r="G509" t="n">
        <x:v>36.2</x:v>
      </x:c>
      <x:c r="H509" t="str">
        <x:v>cm</x:v>
      </x:c>
      <x:c r="I509" t="str">
        <x:v>higher</x:v>
      </x:c>
    </x:row>
    <x:row r="510" ht="15.75" customHeight="1">
      <x:c r="A510" t="str">
        <x:v>RVX-00022</x:v>
      </x:c>
      <x:c r="B510" t="n">
        <x:v>1</x:v>
      </x:c>
      <x:c r="C510" s="15" t="n">
        <x:v>46146</x:v>
      </x:c>
      <x:c r="D510" t="str">
        <x:v>peak_force</x:v>
      </x:c>
      <x:c r="E510" t="str">
        <x:v>Peak Force</x:v>
      </x:c>
      <x:c r="F510" t="str">
        <x:v>Strength &amp; Power</x:v>
      </x:c>
      <x:c r="G510" t="n">
        <x:v>2141</x:v>
      </x:c>
      <x:c r="H510" t="str">
        <x:v>N</x:v>
      </x:c>
      <x:c r="I510" t="str">
        <x:v>higher</x:v>
      </x:c>
    </x:row>
    <x:row r="511" ht="15.75" customHeight="1">
      <x:c r="A511" t="str">
        <x:v>RVX-00022</x:v>
      </x:c>
      <x:c r="B511" t="n">
        <x:v>1</x:v>
      </x:c>
      <x:c r="C511" s="15" t="n">
        <x:v>46146</x:v>
      </x:c>
      <x:c r="D511" t="str">
        <x:v>impulse</x:v>
      </x:c>
      <x:c r="E511" t="str">
        <x:v>Impulse-Momentum</x:v>
      </x:c>
      <x:c r="F511" t="str">
        <x:v>Strength &amp; Power</x:v>
      </x:c>
      <x:c r="G511" t="n">
        <x:v>260.6</x:v>
      </x:c>
      <x:c r="H511" t="str">
        <x:v>Ns</x:v>
      </x:c>
      <x:c r="I511" t="str">
        <x:v>higher</x:v>
      </x:c>
    </x:row>
    <x:row r="512" ht="15.75" customHeight="1">
      <x:c r="A512" t="str">
        <x:v>RVX-00022</x:v>
      </x:c>
      <x:c r="B512" t="n">
        <x:v>2</x:v>
      </x:c>
      <x:c r="C512" s="15" t="n">
        <x:v>46174</x:v>
      </x:c>
      <x:c r="D512" t="str">
        <x:v>sprint_5m</x:v>
      </x:c>
      <x:c r="E512" t="str">
        <x:v>5m Sprint</x:v>
      </x:c>
      <x:c r="F512" t="str">
        <x:v>Acceleration</x:v>
      </x:c>
      <x:c r="G512" t="n">
        <x:v>0.96</x:v>
      </x:c>
      <x:c r="H512" t="str">
        <x:v>sec</x:v>
      </x:c>
      <x:c r="I512" t="str">
        <x:v>lower</x:v>
      </x:c>
    </x:row>
    <x:row r="513" ht="15.75" customHeight="1">
      <x:c r="A513" t="str">
        <x:v>RVX-00022</x:v>
      </x:c>
      <x:c r="B513" t="n">
        <x:v>2</x:v>
      </x:c>
      <x:c r="C513" s="15" t="n">
        <x:v>46174</x:v>
      </x:c>
      <x:c r="D513" t="str">
        <x:v>sprint_10m</x:v>
      </x:c>
      <x:c r="E513" t="str">
        <x:v>10m Sprint</x:v>
      </x:c>
      <x:c r="F513" t="str">
        <x:v>Acceleration</x:v>
      </x:c>
      <x:c r="G513" t="n">
        <x:v>1.63</x:v>
      </x:c>
      <x:c r="H513" t="str">
        <x:v>sec</x:v>
      </x:c>
      <x:c r="I513" t="str">
        <x:v>lower</x:v>
      </x:c>
    </x:row>
    <x:row r="514" ht="15.75" customHeight="1">
      <x:c r="A514" t="str">
        <x:v>RVX-00022</x:v>
      </x:c>
      <x:c r="B514" t="n">
        <x:v>2</x:v>
      </x:c>
      <x:c r="C514" s="15" t="n">
        <x:v>46174</x:v>
      </x:c>
      <x:c r="D514" t="str">
        <x:v>pro_agility</x:v>
      </x:c>
      <x:c r="E514" t="str">
        <x:v>5-10-5 Pro Agility</x:v>
      </x:c>
      <x:c r="F514" t="str">
        <x:v>Agility</x:v>
      </x:c>
      <x:c r="G514" t="n">
        <x:v>4.09</x:v>
      </x:c>
      <x:c r="H514" t="str">
        <x:v>sec</x:v>
      </x:c>
      <x:c r="I514" t="str">
        <x:v>lower</x:v>
      </x:c>
    </x:row>
    <x:row r="515" ht="15.75" customHeight="1">
      <x:c r="A515" t="str">
        <x:v>RVX-00022</x:v>
      </x:c>
      <x:c r="B515" t="n">
        <x:v>2</x:v>
      </x:c>
      <x:c r="C515" s="15" t="n">
        <x:v>46174</x:v>
      </x:c>
      <x:c r="D515" t="str">
        <x:v>cmj_depth</x:v>
      </x:c>
      <x:c r="E515" t="str">
        <x:v>Countermovement Depth</x:v>
      </x:c>
      <x:c r="F515" t="str">
        <x:v>Movement</x:v>
      </x:c>
      <x:c r="G515" t="n">
        <x:v>36.1</x:v>
      </x:c>
      <x:c r="H515" t="str">
        <x:v>cm</x:v>
      </x:c>
      <x:c r="I515" t="str">
        <x:v>higher</x:v>
      </x:c>
    </x:row>
    <x:row r="516" ht="15.75" customHeight="1">
      <x:c r="A516" t="str">
        <x:v>RVX-00022</x:v>
      </x:c>
      <x:c r="B516" t="n">
        <x:v>2</x:v>
      </x:c>
      <x:c r="C516" s="15" t="n">
        <x:v>46174</x:v>
      </x:c>
      <x:c r="D516" t="str">
        <x:v>peak_force</x:v>
      </x:c>
      <x:c r="E516" t="str">
        <x:v>Peak Force</x:v>
      </x:c>
      <x:c r="F516" t="str">
        <x:v>Strength &amp; Power</x:v>
      </x:c>
      <x:c r="G516" t="n">
        <x:v>2200</x:v>
      </x:c>
      <x:c r="H516" t="str">
        <x:v>N</x:v>
      </x:c>
      <x:c r="I516" t="str">
        <x:v>higher</x:v>
      </x:c>
    </x:row>
    <x:row r="517" ht="15.75" customHeight="1">
      <x:c r="A517" t="str">
        <x:v>RVX-00022</x:v>
      </x:c>
      <x:c r="B517" t="n">
        <x:v>2</x:v>
      </x:c>
      <x:c r="C517" s="15" t="n">
        <x:v>46174</x:v>
      </x:c>
      <x:c r="D517" t="str">
        <x:v>impulse</x:v>
      </x:c>
      <x:c r="E517" t="str">
        <x:v>Impulse-Momentum</x:v>
      </x:c>
      <x:c r="F517" t="str">
        <x:v>Strength &amp; Power</x:v>
      </x:c>
      <x:c r="G517" t="n">
        <x:v>269.9</x:v>
      </x:c>
      <x:c r="H517" t="str">
        <x:v>Ns</x:v>
      </x:c>
      <x:c r="I517" t="str">
        <x:v>higher</x:v>
      </x:c>
    </x:row>
    <x:row r="518" ht="15.75" customHeight="1">
      <x:c r="A518" t="str">
        <x:v>RVX-00022</x:v>
      </x:c>
      <x:c r="B518" t="n">
        <x:v>3</x:v>
      </x:c>
      <x:c r="C518" s="15" t="n">
        <x:v>46202</x:v>
      </x:c>
      <x:c r="D518" t="str">
        <x:v>sprint_5m</x:v>
      </x:c>
      <x:c r="E518" t="str">
        <x:v>5m Sprint</x:v>
      </x:c>
      <x:c r="F518" t="str">
        <x:v>Acceleration</x:v>
      </x:c>
      <x:c r="G518" t="n">
        <x:v>0.95</x:v>
      </x:c>
      <x:c r="H518" t="str">
        <x:v>sec</x:v>
      </x:c>
      <x:c r="I518" t="str">
        <x:v>lower</x:v>
      </x:c>
    </x:row>
    <x:row r="519" ht="15.75" customHeight="1">
      <x:c r="A519" t="str">
        <x:v>RVX-00022</x:v>
      </x:c>
      <x:c r="B519" t="n">
        <x:v>3</x:v>
      </x:c>
      <x:c r="C519" s="15" t="n">
        <x:v>46202</x:v>
      </x:c>
      <x:c r="D519" t="str">
        <x:v>sprint_10m</x:v>
      </x:c>
      <x:c r="E519" t="str">
        <x:v>10m Sprint</x:v>
      </x:c>
      <x:c r="F519" t="str">
        <x:v>Acceleration</x:v>
      </x:c>
      <x:c r="G519" t="n">
        <x:v>1.58</x:v>
      </x:c>
      <x:c r="H519" t="str">
        <x:v>sec</x:v>
      </x:c>
      <x:c r="I519" t="str">
        <x:v>lower</x:v>
      </x:c>
    </x:row>
    <x:row r="520" ht="15.75" customHeight="1">
      <x:c r="A520" t="str">
        <x:v>RVX-00022</x:v>
      </x:c>
      <x:c r="B520" t="n">
        <x:v>3</x:v>
      </x:c>
      <x:c r="C520" s="15" t="n">
        <x:v>46202</x:v>
      </x:c>
      <x:c r="D520" t="str">
        <x:v>pro_agility</x:v>
      </x:c>
      <x:c r="E520" t="str">
        <x:v>5-10-5 Pro Agility</x:v>
      </x:c>
      <x:c r="F520" t="str">
        <x:v>Agility</x:v>
      </x:c>
      <x:c r="G520" t="n">
        <x:v>4.03</x:v>
      </x:c>
      <x:c r="H520" t="str">
        <x:v>sec</x:v>
      </x:c>
      <x:c r="I520" t="str">
        <x:v>lower</x:v>
      </x:c>
    </x:row>
    <x:row r="521" ht="15.75" customHeight="1">
      <x:c r="A521" t="str">
        <x:v>RVX-00022</x:v>
      </x:c>
      <x:c r="B521" t="n">
        <x:v>3</x:v>
      </x:c>
      <x:c r="C521" s="15" t="n">
        <x:v>46202</x:v>
      </x:c>
      <x:c r="D521" t="str">
        <x:v>cmj_depth</x:v>
      </x:c>
      <x:c r="E521" t="str">
        <x:v>Countermovement Depth</x:v>
      </x:c>
      <x:c r="F521" t="str">
        <x:v>Movement</x:v>
      </x:c>
      <x:c r="G521" t="n">
        <x:v>37.1</x:v>
      </x:c>
      <x:c r="H521" t="str">
        <x:v>cm</x:v>
      </x:c>
      <x:c r="I521" t="str">
        <x:v>higher</x:v>
      </x:c>
    </x:row>
    <x:row r="522" ht="15.75" customHeight="1">
      <x:c r="A522" t="str">
        <x:v>RVX-00022</x:v>
      </x:c>
      <x:c r="B522" t="n">
        <x:v>3</x:v>
      </x:c>
      <x:c r="C522" s="15" t="n">
        <x:v>46202</x:v>
      </x:c>
      <x:c r="D522" t="str">
        <x:v>peak_force</x:v>
      </x:c>
      <x:c r="E522" t="str">
        <x:v>Peak Force</x:v>
      </x:c>
      <x:c r="F522" t="str">
        <x:v>Strength &amp; Power</x:v>
      </x:c>
      <x:c r="G522" t="n">
        <x:v>2148</x:v>
      </x:c>
      <x:c r="H522" t="str">
        <x:v>N</x:v>
      </x:c>
      <x:c r="I522" t="str">
        <x:v>higher</x:v>
      </x:c>
    </x:row>
    <x:row r="523" ht="15.75" customHeight="1">
      <x:c r="A523" t="str">
        <x:v>RVX-00022</x:v>
      </x:c>
      <x:c r="B523" t="n">
        <x:v>3</x:v>
      </x:c>
      <x:c r="C523" s="15" t="n">
        <x:v>46202</x:v>
      </x:c>
      <x:c r="D523" t="str">
        <x:v>impulse</x:v>
      </x:c>
      <x:c r="E523" t="str">
        <x:v>Impulse-Momentum</x:v>
      </x:c>
      <x:c r="F523" t="str">
        <x:v>Strength &amp; Power</x:v>
      </x:c>
      <x:c r="G523" t="n">
        <x:v>263.6</x:v>
      </x:c>
      <x:c r="H523" t="str">
        <x:v>Ns</x:v>
      </x:c>
      <x:c r="I523" t="str">
        <x:v>higher</x:v>
      </x:c>
    </x:row>
    <x:row r="524" ht="15.75" customHeight="1">
      <x:c r="A524" t="str">
        <x:v>RVX-00022</x:v>
      </x:c>
      <x:c r="B524" t="n">
        <x:v>4</x:v>
      </x:c>
      <x:c r="C524" s="15" t="n">
        <x:v>46230</x:v>
      </x:c>
      <x:c r="D524" t="str">
        <x:v>sprint_5m</x:v>
      </x:c>
      <x:c r="E524" t="str">
        <x:v>5m Sprint</x:v>
      </x:c>
      <x:c r="F524" t="str">
        <x:v>Acceleration</x:v>
      </x:c>
      <x:c r="G524" t="n">
        <x:v>0.89</x:v>
      </x:c>
      <x:c r="H524" t="str">
        <x:v>sec</x:v>
      </x:c>
      <x:c r="I524" t="str">
        <x:v>lower</x:v>
      </x:c>
    </x:row>
    <x:row r="525" ht="15.75" customHeight="1">
      <x:c r="A525" t="str">
        <x:v>RVX-00022</x:v>
      </x:c>
      <x:c r="B525" t="n">
        <x:v>4</x:v>
      </x:c>
      <x:c r="C525" s="15" t="n">
        <x:v>46230</x:v>
      </x:c>
      <x:c r="D525" t="str">
        <x:v>sprint_10m</x:v>
      </x:c>
      <x:c r="E525" t="str">
        <x:v>10m Sprint</x:v>
      </x:c>
      <x:c r="F525" t="str">
        <x:v>Acceleration</x:v>
      </x:c>
      <x:c r="G525" t="n">
        <x:v>1.56</x:v>
      </x:c>
      <x:c r="H525" t="str">
        <x:v>sec</x:v>
      </x:c>
      <x:c r="I525" t="str">
        <x:v>lower</x:v>
      </x:c>
    </x:row>
    <x:row r="526" ht="15.75" customHeight="1">
      <x:c r="A526" t="str">
        <x:v>RVX-00022</x:v>
      </x:c>
      <x:c r="B526" t="n">
        <x:v>4</x:v>
      </x:c>
      <x:c r="C526" s="15" t="n">
        <x:v>46230</x:v>
      </x:c>
      <x:c r="D526" t="str">
        <x:v>pro_agility</x:v>
      </x:c>
      <x:c r="E526" t="str">
        <x:v>5-10-5 Pro Agility</x:v>
      </x:c>
      <x:c r="F526" t="str">
        <x:v>Agility</x:v>
      </x:c>
      <x:c r="G526" t="n">
        <x:v>3.81</x:v>
      </x:c>
      <x:c r="H526" t="str">
        <x:v>sec</x:v>
      </x:c>
      <x:c r="I526" t="str">
        <x:v>lower</x:v>
      </x:c>
    </x:row>
    <x:row r="527" ht="15.75" customHeight="1">
      <x:c r="A527" t="str">
        <x:v>RVX-00022</x:v>
      </x:c>
      <x:c r="B527" t="n">
        <x:v>4</x:v>
      </x:c>
      <x:c r="C527" s="15" t="n">
        <x:v>46230</x:v>
      </x:c>
      <x:c r="D527" t="str">
        <x:v>cmj_depth</x:v>
      </x:c>
      <x:c r="E527" t="str">
        <x:v>Countermovement Depth</x:v>
      </x:c>
      <x:c r="F527" t="str">
        <x:v>Movement</x:v>
      </x:c>
      <x:c r="G527" t="n">
        <x:v>38.8</x:v>
      </x:c>
      <x:c r="H527" t="str">
        <x:v>cm</x:v>
      </x:c>
      <x:c r="I527" t="str">
        <x:v>higher</x:v>
      </x:c>
    </x:row>
    <x:row r="528" ht="15.75" customHeight="1">
      <x:c r="A528" t="str">
        <x:v>RVX-00022</x:v>
      </x:c>
      <x:c r="B528" t="n">
        <x:v>4</x:v>
      </x:c>
      <x:c r="C528" s="15" t="n">
        <x:v>46230</x:v>
      </x:c>
      <x:c r="D528" t="str">
        <x:v>peak_force</x:v>
      </x:c>
      <x:c r="E528" t="str">
        <x:v>Peak Force</x:v>
      </x:c>
      <x:c r="F528" t="str">
        <x:v>Strength &amp; Power</x:v>
      </x:c>
      <x:c r="G528" t="n">
        <x:v>2203</x:v>
      </x:c>
      <x:c r="H528" t="str">
        <x:v>N</x:v>
      </x:c>
      <x:c r="I528" t="str">
        <x:v>higher</x:v>
      </x:c>
    </x:row>
    <x:row r="529" ht="15.75" customHeight="1">
      <x:c r="A529" t="str">
        <x:v>RVX-00022</x:v>
      </x:c>
      <x:c r="B529" t="n">
        <x:v>4</x:v>
      </x:c>
      <x:c r="C529" s="15" t="n">
        <x:v>46230</x:v>
      </x:c>
      <x:c r="D529" t="str">
        <x:v>impulse</x:v>
      </x:c>
      <x:c r="E529" t="str">
        <x:v>Impulse-Momentum</x:v>
      </x:c>
      <x:c r="F529" t="str">
        <x:v>Strength &amp; Power</x:v>
      </x:c>
      <x:c r="G529" t="n">
        <x:v>272.5</x:v>
      </x:c>
      <x:c r="H529" t="str">
        <x:v>Ns</x:v>
      </x:c>
      <x:c r="I529" t="str">
        <x:v>higher</x:v>
      </x:c>
    </x:row>
    <x:row r="530" ht="15.75" customHeight="1">
      <x:c r="A530" t="str">
        <x:v>RVX-00023</x:v>
      </x:c>
      <x:c r="B530" t="n">
        <x:v>1</x:v>
      </x:c>
      <x:c r="C530" s="15" t="n">
        <x:v>46146</x:v>
      </x:c>
      <x:c r="D530" t="str">
        <x:v>sprint_5m</x:v>
      </x:c>
      <x:c r="E530" t="str">
        <x:v>5m Sprint</x:v>
      </x:c>
      <x:c r="F530" t="str">
        <x:v>Acceleration</x:v>
      </x:c>
      <x:c r="G530" t="n">
        <x:v>1.1</x:v>
      </x:c>
      <x:c r="H530" t="str">
        <x:v>sec</x:v>
      </x:c>
      <x:c r="I530" t="str">
        <x:v>lower</x:v>
      </x:c>
    </x:row>
    <x:row r="531" ht="15.75" customHeight="1">
      <x:c r="A531" t="str">
        <x:v>RVX-00023</x:v>
      </x:c>
      <x:c r="B531" t="n">
        <x:v>1</x:v>
      </x:c>
      <x:c r="C531" s="15" t="n">
        <x:v>46146</x:v>
      </x:c>
      <x:c r="D531" t="str">
        <x:v>sprint_10m</x:v>
      </x:c>
      <x:c r="E531" t="str">
        <x:v>10m Sprint</x:v>
      </x:c>
      <x:c r="F531" t="str">
        <x:v>Acceleration</x:v>
      </x:c>
      <x:c r="G531" t="n">
        <x:v>1.87</x:v>
      </x:c>
      <x:c r="H531" t="str">
        <x:v>sec</x:v>
      </x:c>
      <x:c r="I531" t="str">
        <x:v>lower</x:v>
      </x:c>
    </x:row>
    <x:row r="532" ht="15.75" customHeight="1">
      <x:c r="A532" t="str">
        <x:v>RVX-00023</x:v>
      </x:c>
      <x:c r="B532" t="n">
        <x:v>1</x:v>
      </x:c>
      <x:c r="C532" s="15" t="n">
        <x:v>46146</x:v>
      </x:c>
      <x:c r="D532" t="str">
        <x:v>pro_agility</x:v>
      </x:c>
      <x:c r="E532" t="str">
        <x:v>5-10-5 Pro Agility</x:v>
      </x:c>
      <x:c r="F532" t="str">
        <x:v>Agility</x:v>
      </x:c>
      <x:c r="G532" t="n">
        <x:v>4.88</x:v>
      </x:c>
      <x:c r="H532" t="str">
        <x:v>sec</x:v>
      </x:c>
      <x:c r="I532" t="str">
        <x:v>lower</x:v>
      </x:c>
    </x:row>
    <x:row r="533" ht="15.75" customHeight="1">
      <x:c r="A533" t="str">
        <x:v>RVX-00023</x:v>
      </x:c>
      <x:c r="B533" t="n">
        <x:v>1</x:v>
      </x:c>
      <x:c r="C533" s="15" t="n">
        <x:v>46146</x:v>
      </x:c>
      <x:c r="D533" t="str">
        <x:v>cmj_depth</x:v>
      </x:c>
      <x:c r="E533" t="str">
        <x:v>Countermovement Depth</x:v>
      </x:c>
      <x:c r="F533" t="str">
        <x:v>Movement</x:v>
      </x:c>
      <x:c r="G533" t="n">
        <x:v>30.2</x:v>
      </x:c>
      <x:c r="H533" t="str">
        <x:v>cm</x:v>
      </x:c>
      <x:c r="I533" t="str">
        <x:v>higher</x:v>
      </x:c>
    </x:row>
    <x:row r="534" ht="15.75" customHeight="1">
      <x:c r="A534" t="str">
        <x:v>RVX-00023</x:v>
      </x:c>
      <x:c r="B534" t="n">
        <x:v>1</x:v>
      </x:c>
      <x:c r="C534" s="15" t="n">
        <x:v>46146</x:v>
      </x:c>
      <x:c r="D534" t="str">
        <x:v>peak_force</x:v>
      </x:c>
      <x:c r="E534" t="str">
        <x:v>Peak Force</x:v>
      </x:c>
      <x:c r="F534" t="str">
        <x:v>Strength &amp; Power</x:v>
      </x:c>
      <x:c r="G534" t="n">
        <x:v>1791</x:v>
      </x:c>
      <x:c r="H534" t="str">
        <x:v>N</x:v>
      </x:c>
      <x:c r="I534" t="str">
        <x:v>higher</x:v>
      </x:c>
    </x:row>
    <x:row r="535" ht="15.75" customHeight="1">
      <x:c r="A535" t="str">
        <x:v>RVX-00023</x:v>
      </x:c>
      <x:c r="B535" t="n">
        <x:v>1</x:v>
      </x:c>
      <x:c r="C535" s="15" t="n">
        <x:v>46146</x:v>
      </x:c>
      <x:c r="D535" t="str">
        <x:v>impulse</x:v>
      </x:c>
      <x:c r="E535" t="str">
        <x:v>Impulse-Momentum</x:v>
      </x:c>
      <x:c r="F535" t="str">
        <x:v>Strength &amp; Power</x:v>
      </x:c>
      <x:c r="G535" t="n">
        <x:v>210.4</x:v>
      </x:c>
      <x:c r="H535" t="str">
        <x:v>Ns</x:v>
      </x:c>
      <x:c r="I535" t="str">
        <x:v>higher</x:v>
      </x:c>
    </x:row>
    <x:row r="536" ht="15.75" customHeight="1">
      <x:c r="A536" t="str">
        <x:v>RVX-00023</x:v>
      </x:c>
      <x:c r="B536" t="n">
        <x:v>2</x:v>
      </x:c>
      <x:c r="C536" s="15" t="n">
        <x:v>46174</x:v>
      </x:c>
      <x:c r="D536" t="str">
        <x:v>sprint_5m</x:v>
      </x:c>
      <x:c r="E536" t="str">
        <x:v>5m Sprint</x:v>
      </x:c>
      <x:c r="F536" t="str">
        <x:v>Acceleration</x:v>
      </x:c>
      <x:c r="G536" t="n">
        <x:v>1.09</x:v>
      </x:c>
      <x:c r="H536" t="str">
        <x:v>sec</x:v>
      </x:c>
      <x:c r="I536" t="str">
        <x:v>lower</x:v>
      </x:c>
    </x:row>
    <x:row r="537" ht="15.75" customHeight="1">
      <x:c r="A537" t="str">
        <x:v>RVX-00023</x:v>
      </x:c>
      <x:c r="B537" t="n">
        <x:v>2</x:v>
      </x:c>
      <x:c r="C537" s="15" t="n">
        <x:v>46174</x:v>
      </x:c>
      <x:c r="D537" t="str">
        <x:v>sprint_10m</x:v>
      </x:c>
      <x:c r="E537" t="str">
        <x:v>10m Sprint</x:v>
      </x:c>
      <x:c r="F537" t="str">
        <x:v>Acceleration</x:v>
      </x:c>
      <x:c r="G537" t="n">
        <x:v>1.86</x:v>
      </x:c>
      <x:c r="H537" t="str">
        <x:v>sec</x:v>
      </x:c>
      <x:c r="I537" t="str">
        <x:v>lower</x:v>
      </x:c>
    </x:row>
    <x:row r="538" ht="15.75" customHeight="1">
      <x:c r="A538" t="str">
        <x:v>RVX-00023</x:v>
      </x:c>
      <x:c r="B538" t="n">
        <x:v>2</x:v>
      </x:c>
      <x:c r="C538" s="15" t="n">
        <x:v>46174</x:v>
      </x:c>
      <x:c r="D538" t="str">
        <x:v>pro_agility</x:v>
      </x:c>
      <x:c r="E538" t="str">
        <x:v>5-10-5 Pro Agility</x:v>
      </x:c>
      <x:c r="F538" t="str">
        <x:v>Agility</x:v>
      </x:c>
      <x:c r="G538" t="n">
        <x:v>4.63</x:v>
      </x:c>
      <x:c r="H538" t="str">
        <x:v>sec</x:v>
      </x:c>
      <x:c r="I538" t="str">
        <x:v>lower</x:v>
      </x:c>
    </x:row>
    <x:row r="539" ht="15.75" customHeight="1">
      <x:c r="A539" t="str">
        <x:v>RVX-00023</x:v>
      </x:c>
      <x:c r="B539" t="n">
        <x:v>2</x:v>
      </x:c>
      <x:c r="C539" s="15" t="n">
        <x:v>46174</x:v>
      </x:c>
      <x:c r="D539" t="str">
        <x:v>cmj_depth</x:v>
      </x:c>
      <x:c r="E539" t="str">
        <x:v>Countermovement Depth</x:v>
      </x:c>
      <x:c r="F539" t="str">
        <x:v>Movement</x:v>
      </x:c>
      <x:c r="G539" t="n">
        <x:v>29.9</x:v>
      </x:c>
      <x:c r="H539" t="str">
        <x:v>cm</x:v>
      </x:c>
      <x:c r="I539" t="str">
        <x:v>higher</x:v>
      </x:c>
    </x:row>
    <x:row r="540" ht="15.75" customHeight="1">
      <x:c r="A540" t="str">
        <x:v>RVX-00023</x:v>
      </x:c>
      <x:c r="B540" t="n">
        <x:v>2</x:v>
      </x:c>
      <x:c r="C540" s="15" t="n">
        <x:v>46174</x:v>
      </x:c>
      <x:c r="D540" t="str">
        <x:v>peak_force</x:v>
      </x:c>
      <x:c r="E540" t="str">
        <x:v>Peak Force</x:v>
      </x:c>
      <x:c r="F540" t="str">
        <x:v>Strength &amp; Power</x:v>
      </x:c>
      <x:c r="G540" t="n">
        <x:v>1790</x:v>
      </x:c>
      <x:c r="H540" t="str">
        <x:v>N</x:v>
      </x:c>
      <x:c r="I540" t="str">
        <x:v>higher</x:v>
      </x:c>
    </x:row>
    <x:row r="541" ht="15.75" customHeight="1">
      <x:c r="A541" t="str">
        <x:v>RVX-00023</x:v>
      </x:c>
      <x:c r="B541" t="n">
        <x:v>2</x:v>
      </x:c>
      <x:c r="C541" s="15" t="n">
        <x:v>46174</x:v>
      </x:c>
      <x:c r="D541" t="str">
        <x:v>impulse</x:v>
      </x:c>
      <x:c r="E541" t="str">
        <x:v>Impulse-Momentum</x:v>
      </x:c>
      <x:c r="F541" t="str">
        <x:v>Strength &amp; Power</x:v>
      </x:c>
      <x:c r="G541" t="n">
        <x:v>221.4</x:v>
      </x:c>
      <x:c r="H541" t="str">
        <x:v>Ns</x:v>
      </x:c>
      <x:c r="I541" t="str">
        <x:v>higher</x:v>
      </x:c>
    </x:row>
    <x:row r="542" ht="15.75" customHeight="1">
      <x:c r="A542" t="str">
        <x:v>RVX-00023</x:v>
      </x:c>
      <x:c r="B542" t="n">
        <x:v>3</x:v>
      </x:c>
      <x:c r="C542" s="15" t="n">
        <x:v>46202</x:v>
      </x:c>
      <x:c r="D542" t="str">
        <x:v>sprint_5m</x:v>
      </x:c>
      <x:c r="E542" t="str">
        <x:v>5m Sprint</x:v>
      </x:c>
      <x:c r="F542" t="str">
        <x:v>Acceleration</x:v>
      </x:c>
      <x:c r="G542" t="n">
        <x:v>1.1</x:v>
      </x:c>
      <x:c r="H542" t="str">
        <x:v>sec</x:v>
      </x:c>
      <x:c r="I542" t="str">
        <x:v>lower</x:v>
      </x:c>
    </x:row>
    <x:row r="543" ht="15.75" customHeight="1">
      <x:c r="A543" t="str">
        <x:v>RVX-00023</x:v>
      </x:c>
      <x:c r="B543" t="n">
        <x:v>3</x:v>
      </x:c>
      <x:c r="C543" s="15" t="n">
        <x:v>46202</x:v>
      </x:c>
      <x:c r="D543" t="str">
        <x:v>sprint_10m</x:v>
      </x:c>
      <x:c r="E543" t="str">
        <x:v>10m Sprint</x:v>
      </x:c>
      <x:c r="F543" t="str">
        <x:v>Acceleration</x:v>
      </x:c>
      <x:c r="G543" t="n">
        <x:v>1.78</x:v>
      </x:c>
      <x:c r="H543" t="str">
        <x:v>sec</x:v>
      </x:c>
      <x:c r="I543" t="str">
        <x:v>lower</x:v>
      </x:c>
    </x:row>
    <x:row r="544" ht="15.75" customHeight="1">
      <x:c r="A544" t="str">
        <x:v>RVX-00023</x:v>
      </x:c>
      <x:c r="B544" t="n">
        <x:v>3</x:v>
      </x:c>
      <x:c r="C544" s="15" t="n">
        <x:v>46202</x:v>
      </x:c>
      <x:c r="D544" t="str">
        <x:v>pro_agility</x:v>
      </x:c>
      <x:c r="E544" t="str">
        <x:v>5-10-5 Pro Agility</x:v>
      </x:c>
      <x:c r="F544" t="str">
        <x:v>Agility</x:v>
      </x:c>
      <x:c r="G544" t="n">
        <x:v>4.56</x:v>
      </x:c>
      <x:c r="H544" t="str">
        <x:v>sec</x:v>
      </x:c>
      <x:c r="I544" t="str">
        <x:v>lower</x:v>
      </x:c>
    </x:row>
    <x:row r="545" ht="15.75" customHeight="1">
      <x:c r="A545" t="str">
        <x:v>RVX-00023</x:v>
      </x:c>
      <x:c r="B545" t="n">
        <x:v>3</x:v>
      </x:c>
      <x:c r="C545" s="15" t="n">
        <x:v>46202</x:v>
      </x:c>
      <x:c r="D545" t="str">
        <x:v>cmj_depth</x:v>
      </x:c>
      <x:c r="E545" t="str">
        <x:v>Countermovement Depth</x:v>
      </x:c>
      <x:c r="F545" t="str">
        <x:v>Movement</x:v>
      </x:c>
      <x:c r="G545" t="n">
        <x:v>31.2</x:v>
      </x:c>
      <x:c r="H545" t="str">
        <x:v>cm</x:v>
      </x:c>
      <x:c r="I545" t="str">
        <x:v>higher</x:v>
      </x:c>
    </x:row>
    <x:row r="546" ht="15.75" customHeight="1">
      <x:c r="A546" t="str">
        <x:v>RVX-00023</x:v>
      </x:c>
      <x:c r="B546" t="n">
        <x:v>3</x:v>
      </x:c>
      <x:c r="C546" s="15" t="n">
        <x:v>46202</x:v>
      </x:c>
      <x:c r="D546" t="str">
        <x:v>peak_force</x:v>
      </x:c>
      <x:c r="E546" t="str">
        <x:v>Peak Force</x:v>
      </x:c>
      <x:c r="F546" t="str">
        <x:v>Strength &amp; Power</x:v>
      </x:c>
      <x:c r="G546" t="n">
        <x:v>1818</x:v>
      </x:c>
      <x:c r="H546" t="str">
        <x:v>N</x:v>
      </x:c>
      <x:c r="I546" t="str">
        <x:v>higher</x:v>
      </x:c>
    </x:row>
    <x:row r="547" ht="15.75" customHeight="1">
      <x:c r="A547" t="str">
        <x:v>RVX-00023</x:v>
      </x:c>
      <x:c r="B547" t="n">
        <x:v>3</x:v>
      </x:c>
      <x:c r="C547" s="15" t="n">
        <x:v>46202</x:v>
      </x:c>
      <x:c r="D547" t="str">
        <x:v>impulse</x:v>
      </x:c>
      <x:c r="E547" t="str">
        <x:v>Impulse-Momentum</x:v>
      </x:c>
      <x:c r="F547" t="str">
        <x:v>Strength &amp; Power</x:v>
      </x:c>
      <x:c r="G547" t="n">
        <x:v>225.1</x:v>
      </x:c>
      <x:c r="H547" t="str">
        <x:v>Ns</x:v>
      </x:c>
      <x:c r="I547" t="str">
        <x:v>higher</x:v>
      </x:c>
    </x:row>
    <x:row r="548" ht="15.75" customHeight="1">
      <x:c r="A548" t="str">
        <x:v>RVX-00023</x:v>
      </x:c>
      <x:c r="B548" t="n">
        <x:v>4</x:v>
      </x:c>
      <x:c r="C548" s="15" t="n">
        <x:v>46230</x:v>
      </x:c>
      <x:c r="D548" t="str">
        <x:v>sprint_5m</x:v>
      </x:c>
      <x:c r="E548" t="str">
        <x:v>5m Sprint</x:v>
      </x:c>
      <x:c r="F548" t="str">
        <x:v>Acceleration</x:v>
      </x:c>
      <x:c r="G548" t="n">
        <x:v>1.06</x:v>
      </x:c>
      <x:c r="H548" t="str">
        <x:v>sec</x:v>
      </x:c>
      <x:c r="I548" t="str">
        <x:v>lower</x:v>
      </x:c>
    </x:row>
    <x:row r="549" ht="15.75" customHeight="1">
      <x:c r="A549" t="str">
        <x:v>RVX-00023</x:v>
      </x:c>
      <x:c r="B549" t="n">
        <x:v>4</x:v>
      </x:c>
      <x:c r="C549" s="15" t="n">
        <x:v>46230</x:v>
      </x:c>
      <x:c r="D549" t="str">
        <x:v>sprint_10m</x:v>
      </x:c>
      <x:c r="E549" t="str">
        <x:v>10m Sprint</x:v>
      </x:c>
      <x:c r="F549" t="str">
        <x:v>Acceleration</x:v>
      </x:c>
      <x:c r="G549" t="n">
        <x:v>1.75</x:v>
      </x:c>
      <x:c r="H549" t="str">
        <x:v>sec</x:v>
      </x:c>
      <x:c r="I549" t="str">
        <x:v>lower</x:v>
      </x:c>
    </x:row>
    <x:row r="550" ht="15.75" customHeight="1">
      <x:c r="A550" t="str">
        <x:v>RVX-00023</x:v>
      </x:c>
      <x:c r="B550" t="n">
        <x:v>4</x:v>
      </x:c>
      <x:c r="C550" s="15" t="n">
        <x:v>46230</x:v>
      </x:c>
      <x:c r="D550" t="str">
        <x:v>pro_agility</x:v>
      </x:c>
      <x:c r="E550" t="str">
        <x:v>5-10-5 Pro Agility</x:v>
      </x:c>
      <x:c r="F550" t="str">
        <x:v>Agility</x:v>
      </x:c>
      <x:c r="G550" t="n">
        <x:v>4.52</x:v>
      </x:c>
      <x:c r="H550" t="str">
        <x:v>sec</x:v>
      </x:c>
      <x:c r="I550" t="str">
        <x:v>lower</x:v>
      </x:c>
    </x:row>
    <x:row r="551" ht="15.75" customHeight="1">
      <x:c r="A551" t="str">
        <x:v>RVX-00023</x:v>
      </x:c>
      <x:c r="B551" t="n">
        <x:v>4</x:v>
      </x:c>
      <x:c r="C551" s="15" t="n">
        <x:v>46230</x:v>
      </x:c>
      <x:c r="D551" t="str">
        <x:v>cmj_depth</x:v>
      </x:c>
      <x:c r="E551" t="str">
        <x:v>Countermovement Depth</x:v>
      </x:c>
      <x:c r="F551" t="str">
        <x:v>Movement</x:v>
      </x:c>
      <x:c r="G551" t="n">
        <x:v>32.2</x:v>
      </x:c>
      <x:c r="H551" t="str">
        <x:v>cm</x:v>
      </x:c>
      <x:c r="I551" t="str">
        <x:v>higher</x:v>
      </x:c>
    </x:row>
    <x:row r="552" ht="15.75" customHeight="1">
      <x:c r="A552" t="str">
        <x:v>RVX-00023</x:v>
      </x:c>
      <x:c r="B552" t="n">
        <x:v>4</x:v>
      </x:c>
      <x:c r="C552" s="15" t="n">
        <x:v>46230</x:v>
      </x:c>
      <x:c r="D552" t="str">
        <x:v>peak_force</x:v>
      </x:c>
      <x:c r="E552" t="str">
        <x:v>Peak Force</x:v>
      </x:c>
      <x:c r="F552" t="str">
        <x:v>Strength &amp; Power</x:v>
      </x:c>
      <x:c r="G552" t="n">
        <x:v>1832</x:v>
      </x:c>
      <x:c r="H552" t="str">
        <x:v>N</x:v>
      </x:c>
      <x:c r="I552" t="str">
        <x:v>higher</x:v>
      </x:c>
    </x:row>
    <x:row r="553" ht="15.75" customHeight="1">
      <x:c r="A553" t="str">
        <x:v>RVX-00023</x:v>
      </x:c>
      <x:c r="B553" t="n">
        <x:v>4</x:v>
      </x:c>
      <x:c r="C553" s="15" t="n">
        <x:v>46230</x:v>
      </x:c>
      <x:c r="D553" t="str">
        <x:v>impulse</x:v>
      </x:c>
      <x:c r="E553" t="str">
        <x:v>Impulse-Momentum</x:v>
      </x:c>
      <x:c r="F553" t="str">
        <x:v>Strength &amp; Power</x:v>
      </x:c>
      <x:c r="G553" t="n">
        <x:v>225.4</x:v>
      </x:c>
      <x:c r="H553" t="str">
        <x:v>Ns</x:v>
      </x:c>
      <x:c r="I553" t="str">
        <x:v>higher</x:v>
      </x:c>
    </x:row>
    <x:row r="554" ht="15.75" customHeight="1">
      <x:c r="A554" t="str">
        <x:v>RVX-00024</x:v>
      </x:c>
      <x:c r="B554" t="n">
        <x:v>1</x:v>
      </x:c>
      <x:c r="C554" s="15" t="n">
        <x:v>46146</x:v>
      </x:c>
      <x:c r="D554" t="str">
        <x:v>sprint_5m</x:v>
      </x:c>
      <x:c r="E554" t="str">
        <x:v>5m Sprint</x:v>
      </x:c>
      <x:c r="F554" t="str">
        <x:v>Acceleration</x:v>
      </x:c>
      <x:c r="G554" t="n">
        <x:v>1.16</x:v>
      </x:c>
      <x:c r="H554" t="str">
        <x:v>sec</x:v>
      </x:c>
      <x:c r="I554" t="str">
        <x:v>lower</x:v>
      </x:c>
    </x:row>
    <x:row r="555" ht="15.75" customHeight="1">
      <x:c r="A555" t="str">
        <x:v>RVX-00024</x:v>
      </x:c>
      <x:c r="B555" t="n">
        <x:v>1</x:v>
      </x:c>
      <x:c r="C555" s="15" t="n">
        <x:v>46146</x:v>
      </x:c>
      <x:c r="D555" t="str">
        <x:v>sprint_10m</x:v>
      </x:c>
      <x:c r="E555" t="str">
        <x:v>10m Sprint</x:v>
      </x:c>
      <x:c r="F555" t="str">
        <x:v>Acceleration</x:v>
      </x:c>
      <x:c r="G555" t="n">
        <x:v>1.95</x:v>
      </x:c>
      <x:c r="H555" t="str">
        <x:v>sec</x:v>
      </x:c>
      <x:c r="I555" t="str">
        <x:v>lower</x:v>
      </x:c>
    </x:row>
    <x:row r="556" ht="15.75" customHeight="1">
      <x:c r="A556" t="str">
        <x:v>RVX-00024</x:v>
      </x:c>
      <x:c r="B556" t="n">
        <x:v>1</x:v>
      </x:c>
      <x:c r="C556" s="15" t="n">
        <x:v>46146</x:v>
      </x:c>
      <x:c r="D556" t="str">
        <x:v>pro_agility</x:v>
      </x:c>
      <x:c r="E556" t="str">
        <x:v>5-10-5 Pro Agility</x:v>
      </x:c>
      <x:c r="F556" t="str">
        <x:v>Agility</x:v>
      </x:c>
      <x:c r="G556" t="n">
        <x:v>5.07</x:v>
      </x:c>
      <x:c r="H556" t="str">
        <x:v>sec</x:v>
      </x:c>
      <x:c r="I556" t="str">
        <x:v>lower</x:v>
      </x:c>
    </x:row>
    <x:row r="557" ht="15.75" customHeight="1">
      <x:c r="A557" t="str">
        <x:v>RVX-00024</x:v>
      </x:c>
      <x:c r="B557" t="n">
        <x:v>1</x:v>
      </x:c>
      <x:c r="C557" s="15" t="n">
        <x:v>46146</x:v>
      </x:c>
      <x:c r="D557" t="str">
        <x:v>cmj_depth</x:v>
      </x:c>
      <x:c r="E557" t="str">
        <x:v>Countermovement Depth</x:v>
      </x:c>
      <x:c r="F557" t="str">
        <x:v>Movement</x:v>
      </x:c>
      <x:c r="G557" t="n">
        <x:v>30.2</x:v>
      </x:c>
      <x:c r="H557" t="str">
        <x:v>cm</x:v>
      </x:c>
      <x:c r="I557" t="str">
        <x:v>higher</x:v>
      </x:c>
    </x:row>
    <x:row r="558" ht="15.75" customHeight="1">
      <x:c r="A558" t="str">
        <x:v>RVX-00024</x:v>
      </x:c>
      <x:c r="B558" t="n">
        <x:v>1</x:v>
      </x:c>
      <x:c r="C558" s="15" t="n">
        <x:v>46146</x:v>
      </x:c>
      <x:c r="D558" t="str">
        <x:v>peak_force</x:v>
      </x:c>
      <x:c r="E558" t="str">
        <x:v>Peak Force</x:v>
      </x:c>
      <x:c r="F558" t="str">
        <x:v>Strength &amp; Power</x:v>
      </x:c>
      <x:c r="G558" t="n">
        <x:v>1753</x:v>
      </x:c>
      <x:c r="H558" t="str">
        <x:v>N</x:v>
      </x:c>
      <x:c r="I558" t="str">
        <x:v>higher</x:v>
      </x:c>
    </x:row>
    <x:row r="559" ht="15.75" customHeight="1">
      <x:c r="A559" t="str">
        <x:v>RVX-00024</x:v>
      </x:c>
      <x:c r="B559" t="n">
        <x:v>1</x:v>
      </x:c>
      <x:c r="C559" s="15" t="n">
        <x:v>46146</x:v>
      </x:c>
      <x:c r="D559" t="str">
        <x:v>impulse</x:v>
      </x:c>
      <x:c r="E559" t="str">
        <x:v>Impulse-Momentum</x:v>
      </x:c>
      <x:c r="F559" t="str">
        <x:v>Strength &amp; Power</x:v>
      </x:c>
      <x:c r="G559" t="n">
        <x:v>215.7</x:v>
      </x:c>
      <x:c r="H559" t="str">
        <x:v>Ns</x:v>
      </x:c>
      <x:c r="I559" t="str">
        <x:v>higher</x:v>
      </x:c>
    </x:row>
    <x:row r="560" ht="15.75" customHeight="1">
      <x:c r="A560" t="str">
        <x:v>RVX-00024</x:v>
      </x:c>
      <x:c r="B560" t="n">
        <x:v>2</x:v>
      </x:c>
      <x:c r="C560" s="15" t="n">
        <x:v>46174</x:v>
      </x:c>
      <x:c r="D560" t="str">
        <x:v>sprint_5m</x:v>
      </x:c>
      <x:c r="E560" t="str">
        <x:v>5m Sprint</x:v>
      </x:c>
      <x:c r="F560" t="str">
        <x:v>Acceleration</x:v>
      </x:c>
      <x:c r="G560" t="n">
        <x:v>1.18</x:v>
      </x:c>
      <x:c r="H560" t="str">
        <x:v>sec</x:v>
      </x:c>
      <x:c r="I560" t="str">
        <x:v>lower</x:v>
      </x:c>
    </x:row>
    <x:row r="561" ht="15.75" customHeight="1">
      <x:c r="A561" t="str">
        <x:v>RVX-00024</x:v>
      </x:c>
      <x:c r="B561" t="n">
        <x:v>2</x:v>
      </x:c>
      <x:c r="C561" s="15" t="n">
        <x:v>46174</x:v>
      </x:c>
      <x:c r="D561" t="str">
        <x:v>sprint_10m</x:v>
      </x:c>
      <x:c r="E561" t="str">
        <x:v>10m Sprint</x:v>
      </x:c>
      <x:c r="F561" t="str">
        <x:v>Acceleration</x:v>
      </x:c>
      <x:c r="G561" t="n">
        <x:v>1.95</x:v>
      </x:c>
      <x:c r="H561" t="str">
        <x:v>sec</x:v>
      </x:c>
      <x:c r="I561" t="str">
        <x:v>lower</x:v>
      </x:c>
    </x:row>
    <x:row r="562" ht="15.75" customHeight="1">
      <x:c r="A562" t="str">
        <x:v>RVX-00024</x:v>
      </x:c>
      <x:c r="B562" t="n">
        <x:v>2</x:v>
      </x:c>
      <x:c r="C562" s="15" t="n">
        <x:v>46174</x:v>
      </x:c>
      <x:c r="D562" t="str">
        <x:v>pro_agility</x:v>
      </x:c>
      <x:c r="E562" t="str">
        <x:v>5-10-5 Pro Agility</x:v>
      </x:c>
      <x:c r="F562" t="str">
        <x:v>Agility</x:v>
      </x:c>
      <x:c r="G562" t="n">
        <x:v>4.96</x:v>
      </x:c>
      <x:c r="H562" t="str">
        <x:v>sec</x:v>
      </x:c>
      <x:c r="I562" t="str">
        <x:v>lower</x:v>
      </x:c>
    </x:row>
    <x:row r="563" ht="15.75" customHeight="1">
      <x:c r="A563" t="str">
        <x:v>RVX-00024</x:v>
      </x:c>
      <x:c r="B563" t="n">
        <x:v>2</x:v>
      </x:c>
      <x:c r="C563" s="15" t="n">
        <x:v>46174</x:v>
      </x:c>
      <x:c r="D563" t="str">
        <x:v>cmj_depth</x:v>
      </x:c>
      <x:c r="E563" t="str">
        <x:v>Countermovement Depth</x:v>
      </x:c>
      <x:c r="F563" t="str">
        <x:v>Movement</x:v>
      </x:c>
      <x:c r="G563" t="n">
        <x:v>30.5</x:v>
      </x:c>
      <x:c r="H563" t="str">
        <x:v>cm</x:v>
      </x:c>
      <x:c r="I563" t="str">
        <x:v>higher</x:v>
      </x:c>
    </x:row>
    <x:row r="564" ht="15.75" customHeight="1">
      <x:c r="A564" t="str">
        <x:v>RVX-00024</x:v>
      </x:c>
      <x:c r="B564" t="n">
        <x:v>2</x:v>
      </x:c>
      <x:c r="C564" s="15" t="n">
        <x:v>46174</x:v>
      </x:c>
      <x:c r="D564" t="str">
        <x:v>peak_force</x:v>
      </x:c>
      <x:c r="E564" t="str">
        <x:v>Peak Force</x:v>
      </x:c>
      <x:c r="F564" t="str">
        <x:v>Strength &amp; Power</x:v>
      </x:c>
      <x:c r="G564" t="n">
        <x:v>1796</x:v>
      </x:c>
      <x:c r="H564" t="str">
        <x:v>N</x:v>
      </x:c>
      <x:c r="I564" t="str">
        <x:v>higher</x:v>
      </x:c>
    </x:row>
    <x:row r="565" ht="15.75" customHeight="1">
      <x:c r="A565" t="str">
        <x:v>RVX-00024</x:v>
      </x:c>
      <x:c r="B565" t="n">
        <x:v>2</x:v>
      </x:c>
      <x:c r="C565" s="15" t="n">
        <x:v>46174</x:v>
      </x:c>
      <x:c r="D565" t="str">
        <x:v>impulse</x:v>
      </x:c>
      <x:c r="E565" t="str">
        <x:v>Impulse-Momentum</x:v>
      </x:c>
      <x:c r="F565" t="str">
        <x:v>Strength &amp; Power</x:v>
      </x:c>
      <x:c r="G565" t="n">
        <x:v>219.4</x:v>
      </x:c>
      <x:c r="H565" t="str">
        <x:v>Ns</x:v>
      </x:c>
      <x:c r="I565" t="str">
        <x:v>higher</x:v>
      </x:c>
    </x:row>
    <x:row r="566" ht="15.75" customHeight="1">
      <x:c r="A566" t="str">
        <x:v>RVX-00024</x:v>
      </x:c>
      <x:c r="B566" t="n">
        <x:v>3</x:v>
      </x:c>
      <x:c r="C566" s="15" t="n">
        <x:v>46202</x:v>
      </x:c>
      <x:c r="D566" t="str">
        <x:v>sprint_5m</x:v>
      </x:c>
      <x:c r="E566" t="str">
        <x:v>5m Sprint</x:v>
      </x:c>
      <x:c r="F566" t="str">
        <x:v>Acceleration</x:v>
      </x:c>
      <x:c r="G566" t="n">
        <x:v>1.14</x:v>
      </x:c>
      <x:c r="H566" t="str">
        <x:v>sec</x:v>
      </x:c>
      <x:c r="I566" t="str">
        <x:v>lower</x:v>
      </x:c>
    </x:row>
    <x:row r="567" ht="15.75" customHeight="1">
      <x:c r="A567" t="str">
        <x:v>RVX-00024</x:v>
      </x:c>
      <x:c r="B567" t="n">
        <x:v>3</x:v>
      </x:c>
      <x:c r="C567" s="15" t="n">
        <x:v>46202</x:v>
      </x:c>
      <x:c r="D567" t="str">
        <x:v>sprint_10m</x:v>
      </x:c>
      <x:c r="E567" t="str">
        <x:v>10m Sprint</x:v>
      </x:c>
      <x:c r="F567" t="str">
        <x:v>Acceleration</x:v>
      </x:c>
      <x:c r="G567" t="n">
        <x:v>1.88</x:v>
      </x:c>
      <x:c r="H567" t="str">
        <x:v>sec</x:v>
      </x:c>
      <x:c r="I567" t="str">
        <x:v>lower</x:v>
      </x:c>
    </x:row>
    <x:row r="568" ht="15.75" customHeight="1">
      <x:c r="A568" t="str">
        <x:v>RVX-00024</x:v>
      </x:c>
      <x:c r="B568" t="n">
        <x:v>3</x:v>
      </x:c>
      <x:c r="C568" s="15" t="n">
        <x:v>46202</x:v>
      </x:c>
      <x:c r="D568" t="str">
        <x:v>pro_agility</x:v>
      </x:c>
      <x:c r="E568" t="str">
        <x:v>5-10-5 Pro Agility</x:v>
      </x:c>
      <x:c r="F568" t="str">
        <x:v>Agility</x:v>
      </x:c>
      <x:c r="G568" t="n">
        <x:v>5.01</x:v>
      </x:c>
      <x:c r="H568" t="str">
        <x:v>sec</x:v>
      </x:c>
      <x:c r="I568" t="str">
        <x:v>lower</x:v>
      </x:c>
    </x:row>
    <x:row r="569" ht="15.75" customHeight="1">
      <x:c r="A569" t="str">
        <x:v>RVX-00024</x:v>
      </x:c>
      <x:c r="B569" t="n">
        <x:v>3</x:v>
      </x:c>
      <x:c r="C569" s="15" t="n">
        <x:v>46202</x:v>
      </x:c>
      <x:c r="D569" t="str">
        <x:v>cmj_depth</x:v>
      </x:c>
      <x:c r="E569" t="str">
        <x:v>Countermovement Depth</x:v>
      </x:c>
      <x:c r="F569" t="str">
        <x:v>Movement</x:v>
      </x:c>
      <x:c r="G569" t="n">
        <x:v>30.4</x:v>
      </x:c>
      <x:c r="H569" t="str">
        <x:v>cm</x:v>
      </x:c>
      <x:c r="I569" t="str">
        <x:v>higher</x:v>
      </x:c>
    </x:row>
    <x:row r="570" ht="15.75" customHeight="1">
      <x:c r="A570" t="str">
        <x:v>RVX-00024</x:v>
      </x:c>
      <x:c r="B570" t="n">
        <x:v>3</x:v>
      </x:c>
      <x:c r="C570" s="15" t="n">
        <x:v>46202</x:v>
      </x:c>
      <x:c r="D570" t="str">
        <x:v>peak_force</x:v>
      </x:c>
      <x:c r="E570" t="str">
        <x:v>Peak Force</x:v>
      </x:c>
      <x:c r="F570" t="str">
        <x:v>Strength &amp; Power</x:v>
      </x:c>
      <x:c r="G570" t="n">
        <x:v>1773</x:v>
      </x:c>
      <x:c r="H570" t="str">
        <x:v>N</x:v>
      </x:c>
      <x:c r="I570" t="str">
        <x:v>higher</x:v>
      </x:c>
    </x:row>
    <x:row r="571" ht="15.75" customHeight="1">
      <x:c r="A571" t="str">
        <x:v>RVX-00024</x:v>
      </x:c>
      <x:c r="B571" t="n">
        <x:v>3</x:v>
      </x:c>
      <x:c r="C571" s="15" t="n">
        <x:v>46202</x:v>
      </x:c>
      <x:c r="D571" t="str">
        <x:v>impulse</x:v>
      </x:c>
      <x:c r="E571" t="str">
        <x:v>Impulse-Momentum</x:v>
      </x:c>
      <x:c r="F571" t="str">
        <x:v>Strength &amp; Power</x:v>
      </x:c>
      <x:c r="G571" t="n">
        <x:v>219</x:v>
      </x:c>
      <x:c r="H571" t="str">
        <x:v>Ns</x:v>
      </x:c>
      <x:c r="I571" t="str">
        <x:v>higher</x:v>
      </x:c>
    </x:row>
    <x:row r="572" ht="15.75" customHeight="1">
      <x:c r="A572" t="str">
        <x:v>RVX-00024</x:v>
      </x:c>
      <x:c r="B572" t="n">
        <x:v>4</x:v>
      </x:c>
      <x:c r="C572" s="15" t="n">
        <x:v>46230</x:v>
      </x:c>
      <x:c r="D572" t="str">
        <x:v>sprint_5m</x:v>
      </x:c>
      <x:c r="E572" t="str">
        <x:v>5m Sprint</x:v>
      </x:c>
      <x:c r="F572" t="str">
        <x:v>Acceleration</x:v>
      </x:c>
      <x:c r="G572" t="n">
        <x:v>1.1</x:v>
      </x:c>
      <x:c r="H572" t="str">
        <x:v>sec</x:v>
      </x:c>
      <x:c r="I572" t="str">
        <x:v>lower</x:v>
      </x:c>
    </x:row>
    <x:row r="573" ht="15.75" customHeight="1">
      <x:c r="A573" t="str">
        <x:v>RVX-00024</x:v>
      </x:c>
      <x:c r="B573" t="n">
        <x:v>4</x:v>
      </x:c>
      <x:c r="C573" s="15" t="n">
        <x:v>46230</x:v>
      </x:c>
      <x:c r="D573" t="str">
        <x:v>sprint_10m</x:v>
      </x:c>
      <x:c r="E573" t="str">
        <x:v>10m Sprint</x:v>
      </x:c>
      <x:c r="F573" t="str">
        <x:v>Acceleration</x:v>
      </x:c>
      <x:c r="G573" t="n">
        <x:v>1.92</x:v>
      </x:c>
      <x:c r="H573" t="str">
        <x:v>sec</x:v>
      </x:c>
      <x:c r="I573" t="str">
        <x:v>lower</x:v>
      </x:c>
    </x:row>
    <x:row r="574" ht="15.75" customHeight="1">
      <x:c r="A574" t="str">
        <x:v>RVX-00024</x:v>
      </x:c>
      <x:c r="B574" t="n">
        <x:v>4</x:v>
      </x:c>
      <x:c r="C574" s="15" t="n">
        <x:v>46230</x:v>
      </x:c>
      <x:c r="D574" t="str">
        <x:v>pro_agility</x:v>
      </x:c>
      <x:c r="E574" t="str">
        <x:v>5-10-5 Pro Agility</x:v>
      </x:c>
      <x:c r="F574" t="str">
        <x:v>Agility</x:v>
      </x:c>
      <x:c r="G574" t="n">
        <x:v>4.76</x:v>
      </x:c>
      <x:c r="H574" t="str">
        <x:v>sec</x:v>
      </x:c>
      <x:c r="I574" t="str">
        <x:v>lower</x:v>
      </x:c>
    </x:row>
    <x:row r="575" ht="15.75" customHeight="1">
      <x:c r="A575" t="str">
        <x:v>RVX-00024</x:v>
      </x:c>
      <x:c r="B575" t="n">
        <x:v>4</x:v>
      </x:c>
      <x:c r="C575" s="15" t="n">
        <x:v>46230</x:v>
      </x:c>
      <x:c r="D575" t="str">
        <x:v>cmj_depth</x:v>
      </x:c>
      <x:c r="E575" t="str">
        <x:v>Countermovement Depth</x:v>
      </x:c>
      <x:c r="F575" t="str">
        <x:v>Movement</x:v>
      </x:c>
      <x:c r="G575" t="n">
        <x:v>31.8</x:v>
      </x:c>
      <x:c r="H575" t="str">
        <x:v>cm</x:v>
      </x:c>
      <x:c r="I575" t="str">
        <x:v>higher</x:v>
      </x:c>
    </x:row>
    <x:row r="576" ht="15.75" customHeight="1">
      <x:c r="A576" t="str">
        <x:v>RVX-00024</x:v>
      </x:c>
      <x:c r="B576" t="n">
        <x:v>4</x:v>
      </x:c>
      <x:c r="C576" s="15" t="n">
        <x:v>46230</x:v>
      </x:c>
      <x:c r="D576" t="str">
        <x:v>peak_force</x:v>
      </x:c>
      <x:c r="E576" t="str">
        <x:v>Peak Force</x:v>
      </x:c>
      <x:c r="F576" t="str">
        <x:v>Strength &amp; Power</x:v>
      </x:c>
      <x:c r="G576" t="n">
        <x:v>1799</x:v>
      </x:c>
      <x:c r="H576" t="str">
        <x:v>N</x:v>
      </x:c>
      <x:c r="I576" t="str">
        <x:v>higher</x:v>
      </x:c>
    </x:row>
    <x:row r="577" ht="15.75" customHeight="1">
      <x:c r="A577" t="str">
        <x:v>RVX-00024</x:v>
      </x:c>
      <x:c r="B577" t="n">
        <x:v>4</x:v>
      </x:c>
      <x:c r="C577" s="15" t="n">
        <x:v>46230</x:v>
      </x:c>
      <x:c r="D577" t="str">
        <x:v>impulse</x:v>
      </x:c>
      <x:c r="E577" t="str">
        <x:v>Impulse-Momentum</x:v>
      </x:c>
      <x:c r="F577" t="str">
        <x:v>Strength &amp; Power</x:v>
      </x:c>
      <x:c r="G577" t="n">
        <x:v>221.1</x:v>
      </x:c>
      <x:c r="H577" t="str">
        <x:v>Ns</x:v>
      </x:c>
      <x:c r="I577" t="str">
        <x:v>higher</x:v>
      </x:c>
    </x:row>
    <x:row r="578" ht="15.75" customHeight="1">
      <x:c r="A578" t="str">
        <x:v>RVX-00025</x:v>
      </x:c>
      <x:c r="B578" t="n">
        <x:v>1</x:v>
      </x:c>
      <x:c r="C578" s="15" t="n">
        <x:v>46146</x:v>
      </x:c>
      <x:c r="D578" t="str">
        <x:v>sprint_5m</x:v>
      </x:c>
      <x:c r="E578" t="str">
        <x:v>5m Sprint</x:v>
      </x:c>
      <x:c r="F578" t="str">
        <x:v>Acceleration</x:v>
      </x:c>
      <x:c r="G578" t="n">
        <x:v>0.99</x:v>
      </x:c>
      <x:c r="H578" t="str">
        <x:v>sec</x:v>
      </x:c>
      <x:c r="I578" t="str">
        <x:v>lower</x:v>
      </x:c>
    </x:row>
    <x:row r="579" ht="15.75" customHeight="1">
      <x:c r="A579" t="str">
        <x:v>RVX-00025</x:v>
      </x:c>
      <x:c r="B579" t="n">
        <x:v>1</x:v>
      </x:c>
      <x:c r="C579" s="15" t="n">
        <x:v>46146</x:v>
      </x:c>
      <x:c r="D579" t="str">
        <x:v>sprint_10m</x:v>
      </x:c>
      <x:c r="E579" t="str">
        <x:v>10m Sprint</x:v>
      </x:c>
      <x:c r="F579" t="str">
        <x:v>Acceleration</x:v>
      </x:c>
      <x:c r="G579" t="n">
        <x:v>1.65</x:v>
      </x:c>
      <x:c r="H579" t="str">
        <x:v>sec</x:v>
      </x:c>
      <x:c r="I579" t="str">
        <x:v>lower</x:v>
      </x:c>
    </x:row>
    <x:row r="580" ht="15.75" customHeight="1">
      <x:c r="A580" t="str">
        <x:v>RVX-00025</x:v>
      </x:c>
      <x:c r="B580" t="n">
        <x:v>1</x:v>
      </x:c>
      <x:c r="C580" s="15" t="n">
        <x:v>46146</x:v>
      </x:c>
      <x:c r="D580" t="str">
        <x:v>pro_agility</x:v>
      </x:c>
      <x:c r="E580" t="str">
        <x:v>5-10-5 Pro Agility</x:v>
      </x:c>
      <x:c r="F580" t="str">
        <x:v>Agility</x:v>
      </x:c>
      <x:c r="G580" t="n">
        <x:v>4.28</x:v>
      </x:c>
      <x:c r="H580" t="str">
        <x:v>sec</x:v>
      </x:c>
      <x:c r="I580" t="str">
        <x:v>lower</x:v>
      </x:c>
    </x:row>
    <x:row r="581" ht="15.75" customHeight="1">
      <x:c r="A581" t="str">
        <x:v>RVX-00025</x:v>
      </x:c>
      <x:c r="B581" t="n">
        <x:v>1</x:v>
      </x:c>
      <x:c r="C581" s="15" t="n">
        <x:v>46146</x:v>
      </x:c>
      <x:c r="D581" t="str">
        <x:v>cmj_depth</x:v>
      </x:c>
      <x:c r="E581" t="str">
        <x:v>Countermovement Depth</x:v>
      </x:c>
      <x:c r="F581" t="str">
        <x:v>Movement</x:v>
      </x:c>
      <x:c r="G581" t="n">
        <x:v>32.6</x:v>
      </x:c>
      <x:c r="H581" t="str">
        <x:v>cm</x:v>
      </x:c>
      <x:c r="I581" t="str">
        <x:v>higher</x:v>
      </x:c>
    </x:row>
    <x:row r="582" ht="15.75" customHeight="1">
      <x:c r="A582" t="str">
        <x:v>RVX-00025</x:v>
      </x:c>
      <x:c r="B582" t="n">
        <x:v>1</x:v>
      </x:c>
      <x:c r="C582" s="15" t="n">
        <x:v>46146</x:v>
      </x:c>
      <x:c r="D582" t="str">
        <x:v>peak_force</x:v>
      </x:c>
      <x:c r="E582" t="str">
        <x:v>Peak Force</x:v>
      </x:c>
      <x:c r="F582" t="str">
        <x:v>Strength &amp; Power</x:v>
      </x:c>
      <x:c r="G582" t="n">
        <x:v>1929</x:v>
      </x:c>
      <x:c r="H582" t="str">
        <x:v>N</x:v>
      </x:c>
      <x:c r="I582" t="str">
        <x:v>higher</x:v>
      </x:c>
    </x:row>
    <x:row r="583" ht="15.75" customHeight="1">
      <x:c r="A583" t="str">
        <x:v>RVX-00025</x:v>
      </x:c>
      <x:c r="B583" t="n">
        <x:v>1</x:v>
      </x:c>
      <x:c r="C583" s="15" t="n">
        <x:v>46146</x:v>
      </x:c>
      <x:c r="D583" t="str">
        <x:v>impulse</x:v>
      </x:c>
      <x:c r="E583" t="str">
        <x:v>Impulse-Momentum</x:v>
      </x:c>
      <x:c r="F583" t="str">
        <x:v>Strength &amp; Power</x:v>
      </x:c>
      <x:c r="G583" t="n">
        <x:v>235.8</x:v>
      </x:c>
      <x:c r="H583" t="str">
        <x:v>Ns</x:v>
      </x:c>
      <x:c r="I583" t="str">
        <x:v>higher</x:v>
      </x:c>
    </x:row>
    <x:row r="584" ht="15.75" customHeight="1">
      <x:c r="A584" t="str">
        <x:v>RVX-00025</x:v>
      </x:c>
      <x:c r="B584" t="n">
        <x:v>2</x:v>
      </x:c>
      <x:c r="C584" s="15" t="n">
        <x:v>46174</x:v>
      </x:c>
      <x:c r="D584" t="str">
        <x:v>sprint_5m</x:v>
      </x:c>
      <x:c r="E584" t="str">
        <x:v>5m Sprint</x:v>
      </x:c>
      <x:c r="F584" t="str">
        <x:v>Acceleration</x:v>
      </x:c>
      <x:c r="G584" t="n">
        <x:v>1.01</x:v>
      </x:c>
      <x:c r="H584" t="str">
        <x:v>sec</x:v>
      </x:c>
      <x:c r="I584" t="str">
        <x:v>lower</x:v>
      </x:c>
    </x:row>
    <x:row r="585" ht="15.75" customHeight="1">
      <x:c r="A585" t="str">
        <x:v>RVX-00025</x:v>
      </x:c>
      <x:c r="B585" t="n">
        <x:v>2</x:v>
      </x:c>
      <x:c r="C585" s="15" t="n">
        <x:v>46174</x:v>
      </x:c>
      <x:c r="D585" t="str">
        <x:v>sprint_10m</x:v>
      </x:c>
      <x:c r="E585" t="str">
        <x:v>10m Sprint</x:v>
      </x:c>
      <x:c r="F585" t="str">
        <x:v>Acceleration</x:v>
      </x:c>
      <x:c r="G585" t="n">
        <x:v>1.64</x:v>
      </x:c>
      <x:c r="H585" t="str">
        <x:v>sec</x:v>
      </x:c>
      <x:c r="I585" t="str">
        <x:v>lower</x:v>
      </x:c>
    </x:row>
    <x:row r="586" ht="15.75" customHeight="1">
      <x:c r="A586" t="str">
        <x:v>RVX-00025</x:v>
      </x:c>
      <x:c r="B586" t="n">
        <x:v>2</x:v>
      </x:c>
      <x:c r="C586" s="15" t="n">
        <x:v>46174</x:v>
      </x:c>
      <x:c r="D586" t="str">
        <x:v>pro_agility</x:v>
      </x:c>
      <x:c r="E586" t="str">
        <x:v>5-10-5 Pro Agility</x:v>
      </x:c>
      <x:c r="F586" t="str">
        <x:v>Agility</x:v>
      </x:c>
      <x:c r="G586" t="n">
        <x:v>4.26</x:v>
      </x:c>
      <x:c r="H586" t="str">
        <x:v>sec</x:v>
      </x:c>
      <x:c r="I586" t="str">
        <x:v>lower</x:v>
      </x:c>
    </x:row>
    <x:row r="587" ht="15.75" customHeight="1">
      <x:c r="A587" t="str">
        <x:v>RVX-00025</x:v>
      </x:c>
      <x:c r="B587" t="n">
        <x:v>2</x:v>
      </x:c>
      <x:c r="C587" s="15" t="n">
        <x:v>46174</x:v>
      </x:c>
      <x:c r="D587" t="str">
        <x:v>cmj_depth</x:v>
      </x:c>
      <x:c r="E587" t="str">
        <x:v>Countermovement Depth</x:v>
      </x:c>
      <x:c r="F587" t="str">
        <x:v>Movement</x:v>
      </x:c>
      <x:c r="G587" t="n">
        <x:v>33.2</x:v>
      </x:c>
      <x:c r="H587" t="str">
        <x:v>cm</x:v>
      </x:c>
      <x:c r="I587" t="str">
        <x:v>higher</x:v>
      </x:c>
    </x:row>
    <x:row r="588" ht="15.75" customHeight="1">
      <x:c r="A588" t="str">
        <x:v>RVX-00025</x:v>
      </x:c>
      <x:c r="B588" t="n">
        <x:v>2</x:v>
      </x:c>
      <x:c r="C588" s="15" t="n">
        <x:v>46174</x:v>
      </x:c>
      <x:c r="D588" t="str">
        <x:v>peak_force</x:v>
      </x:c>
      <x:c r="E588" t="str">
        <x:v>Peak Force</x:v>
      </x:c>
      <x:c r="F588" t="str">
        <x:v>Strength &amp; Power</x:v>
      </x:c>
      <x:c r="G588" t="n">
        <x:v>1958</x:v>
      </x:c>
      <x:c r="H588" t="str">
        <x:v>N</x:v>
      </x:c>
      <x:c r="I588" t="str">
        <x:v>higher</x:v>
      </x:c>
    </x:row>
    <x:row r="589" ht="15.75" customHeight="1">
      <x:c r="A589" t="str">
        <x:v>RVX-00025</x:v>
      </x:c>
      <x:c r="B589" t="n">
        <x:v>2</x:v>
      </x:c>
      <x:c r="C589" s="15" t="n">
        <x:v>46174</x:v>
      </x:c>
      <x:c r="D589" t="str">
        <x:v>impulse</x:v>
      </x:c>
      <x:c r="E589" t="str">
        <x:v>Impulse-Momentum</x:v>
      </x:c>
      <x:c r="F589" t="str">
        <x:v>Strength &amp; Power</x:v>
      </x:c>
      <x:c r="G589" t="n">
        <x:v>238.6</x:v>
      </x:c>
      <x:c r="H589" t="str">
        <x:v>Ns</x:v>
      </x:c>
      <x:c r="I589" t="str">
        <x:v>higher</x:v>
      </x:c>
    </x:row>
    <x:row r="590" ht="15.75" customHeight="1">
      <x:c r="A590" t="str">
        <x:v>RVX-00025</x:v>
      </x:c>
      <x:c r="B590" t="n">
        <x:v>3</x:v>
      </x:c>
      <x:c r="C590" s="15" t="n">
        <x:v>46202</x:v>
      </x:c>
      <x:c r="D590" t="str">
        <x:v>sprint_5m</x:v>
      </x:c>
      <x:c r="E590" t="str">
        <x:v>5m Sprint</x:v>
      </x:c>
      <x:c r="F590" t="str">
        <x:v>Acceleration</x:v>
      </x:c>
      <x:c r="G590" t="n">
        <x:v>0.98</x:v>
      </x:c>
      <x:c r="H590" t="str">
        <x:v>sec</x:v>
      </x:c>
      <x:c r="I590" t="str">
        <x:v>lower</x:v>
      </x:c>
    </x:row>
    <x:row r="591" ht="15.75" customHeight="1">
      <x:c r="A591" t="str">
        <x:v>RVX-00025</x:v>
      </x:c>
      <x:c r="B591" t="n">
        <x:v>3</x:v>
      </x:c>
      <x:c r="C591" s="15" t="n">
        <x:v>46202</x:v>
      </x:c>
      <x:c r="D591" t="str">
        <x:v>sprint_10m</x:v>
      </x:c>
      <x:c r="E591" t="str">
        <x:v>10m Sprint</x:v>
      </x:c>
      <x:c r="F591" t="str">
        <x:v>Acceleration</x:v>
      </x:c>
      <x:c r="G591" t="n">
        <x:v>1.62</x:v>
      </x:c>
      <x:c r="H591" t="str">
        <x:v>sec</x:v>
      </x:c>
      <x:c r="I591" t="str">
        <x:v>lower</x:v>
      </x:c>
    </x:row>
    <x:row r="592" ht="15.75" customHeight="1">
      <x:c r="A592" t="str">
        <x:v>RVX-00025</x:v>
      </x:c>
      <x:c r="B592" t="n">
        <x:v>3</x:v>
      </x:c>
      <x:c r="C592" s="15" t="n">
        <x:v>46202</x:v>
      </x:c>
      <x:c r="D592" t="str">
        <x:v>pro_agility</x:v>
      </x:c>
      <x:c r="E592" t="str">
        <x:v>5-10-5 Pro Agility</x:v>
      </x:c>
      <x:c r="F592" t="str">
        <x:v>Agility</x:v>
      </x:c>
      <x:c r="G592" t="n">
        <x:v>4.21</x:v>
      </x:c>
      <x:c r="H592" t="str">
        <x:v>sec</x:v>
      </x:c>
      <x:c r="I592" t="str">
        <x:v>lower</x:v>
      </x:c>
    </x:row>
    <x:row r="593" ht="15.75" customHeight="1">
      <x:c r="A593" t="str">
        <x:v>RVX-00025</x:v>
      </x:c>
      <x:c r="B593" t="n">
        <x:v>3</x:v>
      </x:c>
      <x:c r="C593" s="15" t="n">
        <x:v>46202</x:v>
      </x:c>
      <x:c r="D593" t="str">
        <x:v>cmj_depth</x:v>
      </x:c>
      <x:c r="E593" t="str">
        <x:v>Countermovement Depth</x:v>
      </x:c>
      <x:c r="F593" t="str">
        <x:v>Movement</x:v>
      </x:c>
      <x:c r="G593" t="n">
        <x:v>33.8</x:v>
      </x:c>
      <x:c r="H593" t="str">
        <x:v>cm</x:v>
      </x:c>
      <x:c r="I593" t="str">
        <x:v>higher</x:v>
      </x:c>
    </x:row>
    <x:row r="594" ht="15.75" customHeight="1">
      <x:c r="A594" t="str">
        <x:v>RVX-00025</x:v>
      </x:c>
      <x:c r="B594" t="n">
        <x:v>3</x:v>
      </x:c>
      <x:c r="C594" s="15" t="n">
        <x:v>46202</x:v>
      </x:c>
      <x:c r="D594" t="str">
        <x:v>peak_force</x:v>
      </x:c>
      <x:c r="E594" t="str">
        <x:v>Peak Force</x:v>
      </x:c>
      <x:c r="F594" t="str">
        <x:v>Strength &amp; Power</x:v>
      </x:c>
      <x:c r="G594" t="n">
        <x:v>1959</x:v>
      </x:c>
      <x:c r="H594" t="str">
        <x:v>N</x:v>
      </x:c>
      <x:c r="I594" t="str">
        <x:v>higher</x:v>
      </x:c>
    </x:row>
    <x:row r="595" ht="15.75" customHeight="1">
      <x:c r="A595" t="str">
        <x:v>RVX-00025</x:v>
      </x:c>
      <x:c r="B595" t="n">
        <x:v>3</x:v>
      </x:c>
      <x:c r="C595" s="15" t="n">
        <x:v>46202</x:v>
      </x:c>
      <x:c r="D595" t="str">
        <x:v>impulse</x:v>
      </x:c>
      <x:c r="E595" t="str">
        <x:v>Impulse-Momentum</x:v>
      </x:c>
      <x:c r="F595" t="str">
        <x:v>Strength &amp; Power</x:v>
      </x:c>
      <x:c r="G595" t="n">
        <x:v>249.3</x:v>
      </x:c>
      <x:c r="H595" t="str">
        <x:v>Ns</x:v>
      </x:c>
      <x:c r="I595" t="str">
        <x:v>higher</x:v>
      </x:c>
    </x:row>
    <x:row r="596" ht="15.75" customHeight="1">
      <x:c r="A596" t="str">
        <x:v>RVX-00025</x:v>
      </x:c>
      <x:c r="B596" t="n">
        <x:v>4</x:v>
      </x:c>
      <x:c r="C596" s="15" t="n">
        <x:v>46230</x:v>
      </x:c>
      <x:c r="D596" t="str">
        <x:v>sprint_5m</x:v>
      </x:c>
      <x:c r="E596" t="str">
        <x:v>5m Sprint</x:v>
      </x:c>
      <x:c r="F596" t="str">
        <x:v>Acceleration</x:v>
      </x:c>
      <x:c r="G596" t="n">
        <x:v>0.96</x:v>
      </x:c>
      <x:c r="H596" t="str">
        <x:v>sec</x:v>
      </x:c>
      <x:c r="I596" t="str">
        <x:v>lower</x:v>
      </x:c>
    </x:row>
    <x:row r="597" ht="15.75" customHeight="1">
      <x:c r="A597" t="str">
        <x:v>RVX-00025</x:v>
      </x:c>
      <x:c r="B597" t="n">
        <x:v>4</x:v>
      </x:c>
      <x:c r="C597" s="15" t="n">
        <x:v>46230</x:v>
      </x:c>
      <x:c r="D597" t="str">
        <x:v>sprint_10m</x:v>
      </x:c>
      <x:c r="E597" t="str">
        <x:v>10m Sprint</x:v>
      </x:c>
      <x:c r="F597" t="str">
        <x:v>Acceleration</x:v>
      </x:c>
      <x:c r="G597" t="n">
        <x:v>1.62</x:v>
      </x:c>
      <x:c r="H597" t="str">
        <x:v>sec</x:v>
      </x:c>
      <x:c r="I597" t="str">
        <x:v>lower</x:v>
      </x:c>
    </x:row>
    <x:row r="598" ht="15.75" customHeight="1">
      <x:c r="A598" t="str">
        <x:v>RVX-00025</x:v>
      </x:c>
      <x:c r="B598" t="n">
        <x:v>4</x:v>
      </x:c>
      <x:c r="C598" s="15" t="n">
        <x:v>46230</x:v>
      </x:c>
      <x:c r="D598" t="str">
        <x:v>pro_agility</x:v>
      </x:c>
      <x:c r="E598" t="str">
        <x:v>5-10-5 Pro Agility</x:v>
      </x:c>
      <x:c r="F598" t="str">
        <x:v>Agility</x:v>
      </x:c>
      <x:c r="G598" t="n">
        <x:v>4.12</x:v>
      </x:c>
      <x:c r="H598" t="str">
        <x:v>sec</x:v>
      </x:c>
      <x:c r="I598" t="str">
        <x:v>lower</x:v>
      </x:c>
    </x:row>
    <x:row r="599" ht="15.75" customHeight="1">
      <x:c r="A599" t="str">
        <x:v>RVX-00025</x:v>
      </x:c>
      <x:c r="B599" t="n">
        <x:v>4</x:v>
      </x:c>
      <x:c r="C599" s="15" t="n">
        <x:v>46230</x:v>
      </x:c>
      <x:c r="D599" t="str">
        <x:v>cmj_depth</x:v>
      </x:c>
      <x:c r="E599" t="str">
        <x:v>Countermovement Depth</x:v>
      </x:c>
      <x:c r="F599" t="str">
        <x:v>Movement</x:v>
      </x:c>
      <x:c r="G599" t="n">
        <x:v>34.5</x:v>
      </x:c>
      <x:c r="H599" t="str">
        <x:v>cm</x:v>
      </x:c>
      <x:c r="I599" t="str">
        <x:v>higher</x:v>
      </x:c>
    </x:row>
    <x:row r="600" ht="15.75" customHeight="1">
      <x:c r="A600" t="str">
        <x:v>RVX-00025</x:v>
      </x:c>
      <x:c r="B600" t="n">
        <x:v>4</x:v>
      </x:c>
      <x:c r="C600" s="15" t="n">
        <x:v>46230</x:v>
      </x:c>
      <x:c r="D600" t="str">
        <x:v>peak_force</x:v>
      </x:c>
      <x:c r="E600" t="str">
        <x:v>Peak Force</x:v>
      </x:c>
      <x:c r="F600" t="str">
        <x:v>Strength &amp; Power</x:v>
      </x:c>
      <x:c r="G600" t="n">
        <x:v>1993</x:v>
      </x:c>
      <x:c r="H600" t="str">
        <x:v>N</x:v>
      </x:c>
      <x:c r="I600" t="str">
        <x:v>higher</x:v>
      </x:c>
    </x:row>
    <x:row r="601" ht="15.75" customHeight="1">
      <x:c r="A601" t="str">
        <x:v>RVX-00025</x:v>
      </x:c>
      <x:c r="B601" t="n">
        <x:v>4</x:v>
      </x:c>
      <x:c r="C601" s="15" t="n">
        <x:v>46230</x:v>
      </x:c>
      <x:c r="D601" t="str">
        <x:v>impulse</x:v>
      </x:c>
      <x:c r="E601" t="str">
        <x:v>Impulse-Momentum</x:v>
      </x:c>
      <x:c r="F601" t="str">
        <x:v>Strength &amp; Power</x:v>
      </x:c>
      <x:c r="G601" t="n">
        <x:v>248.4</x:v>
      </x:c>
      <x:c r="H601" t="str">
        <x:v>Ns</x:v>
      </x:c>
      <x:c r="I601" t="str">
        <x:v>higher</x:v>
      </x:c>
    </x:row>
    <x:row r="602" ht="15.75" customHeight="1">
      <x:c r="A602" t="str">
        <x:v>RVX-00026</x:v>
      </x:c>
      <x:c r="B602" t="n">
        <x:v>1</x:v>
      </x:c>
      <x:c r="C602" s="15" t="n">
        <x:v>46146</x:v>
      </x:c>
      <x:c r="D602" t="str">
        <x:v>sprint_5m</x:v>
      </x:c>
      <x:c r="E602" t="str">
        <x:v>5m Sprint</x:v>
      </x:c>
      <x:c r="F602" t="str">
        <x:v>Acceleration</x:v>
      </x:c>
      <x:c r="G602" t="n">
        <x:v>1.07</x:v>
      </x:c>
      <x:c r="H602" t="str">
        <x:v>sec</x:v>
      </x:c>
      <x:c r="I602" t="str">
        <x:v>lower</x:v>
      </x:c>
    </x:row>
    <x:row r="603" ht="15.75" customHeight="1">
      <x:c r="A603" t="str">
        <x:v>RVX-00026</x:v>
      </x:c>
      <x:c r="B603" t="n">
        <x:v>1</x:v>
      </x:c>
      <x:c r="C603" s="15" t="n">
        <x:v>46146</x:v>
      </x:c>
      <x:c r="D603" t="str">
        <x:v>sprint_10m</x:v>
      </x:c>
      <x:c r="E603" t="str">
        <x:v>10m Sprint</x:v>
      </x:c>
      <x:c r="F603" t="str">
        <x:v>Acceleration</x:v>
      </x:c>
      <x:c r="G603" t="n">
        <x:v>1.79</x:v>
      </x:c>
      <x:c r="H603" t="str">
        <x:v>sec</x:v>
      </x:c>
      <x:c r="I603" t="str">
        <x:v>lower</x:v>
      </x:c>
    </x:row>
    <x:row r="604" ht="15.75" customHeight="1">
      <x:c r="A604" t="str">
        <x:v>RVX-00026</x:v>
      </x:c>
      <x:c r="B604" t="n">
        <x:v>1</x:v>
      </x:c>
      <x:c r="C604" s="15" t="n">
        <x:v>46146</x:v>
      </x:c>
      <x:c r="D604" t="str">
        <x:v>pro_agility</x:v>
      </x:c>
      <x:c r="E604" t="str">
        <x:v>5-10-5 Pro Agility</x:v>
      </x:c>
      <x:c r="F604" t="str">
        <x:v>Agility</x:v>
      </x:c>
      <x:c r="G604" t="n">
        <x:v>4.59</x:v>
      </x:c>
      <x:c r="H604" t="str">
        <x:v>sec</x:v>
      </x:c>
      <x:c r="I604" t="str">
        <x:v>lower</x:v>
      </x:c>
    </x:row>
    <x:row r="605" ht="15.75" customHeight="1">
      <x:c r="A605" t="str">
        <x:v>RVX-00026</x:v>
      </x:c>
      <x:c r="B605" t="n">
        <x:v>1</x:v>
      </x:c>
      <x:c r="C605" s="15" t="n">
        <x:v>46146</x:v>
      </x:c>
      <x:c r="D605" t="str">
        <x:v>cmj_depth</x:v>
      </x:c>
      <x:c r="E605" t="str">
        <x:v>Countermovement Depth</x:v>
      </x:c>
      <x:c r="F605" t="str">
        <x:v>Movement</x:v>
      </x:c>
      <x:c r="G605" t="n">
        <x:v>33.1</x:v>
      </x:c>
      <x:c r="H605" t="str">
        <x:v>cm</x:v>
      </x:c>
      <x:c r="I605" t="str">
        <x:v>higher</x:v>
      </x:c>
    </x:row>
    <x:row r="606" ht="15.75" customHeight="1">
      <x:c r="A606" t="str">
        <x:v>RVX-00026</x:v>
      </x:c>
      <x:c r="B606" t="n">
        <x:v>1</x:v>
      </x:c>
      <x:c r="C606" s="15" t="n">
        <x:v>46146</x:v>
      </x:c>
      <x:c r="D606" t="str">
        <x:v>peak_force</x:v>
      </x:c>
      <x:c r="E606" t="str">
        <x:v>Peak Force</x:v>
      </x:c>
      <x:c r="F606" t="str">
        <x:v>Strength &amp; Power</x:v>
      </x:c>
      <x:c r="G606" t="n">
        <x:v>1930</x:v>
      </x:c>
      <x:c r="H606" t="str">
        <x:v>N</x:v>
      </x:c>
      <x:c r="I606" t="str">
        <x:v>higher</x:v>
      </x:c>
    </x:row>
    <x:row r="607" ht="15.75" customHeight="1">
      <x:c r="A607" t="str">
        <x:v>RVX-00026</x:v>
      </x:c>
      <x:c r="B607" t="n">
        <x:v>1</x:v>
      </x:c>
      <x:c r="C607" s="15" t="n">
        <x:v>46146</x:v>
      </x:c>
      <x:c r="D607" t="str">
        <x:v>impulse</x:v>
      </x:c>
      <x:c r="E607" t="str">
        <x:v>Impulse-Momentum</x:v>
      </x:c>
      <x:c r="F607" t="str">
        <x:v>Strength &amp; Power</x:v>
      </x:c>
      <x:c r="G607" t="n">
        <x:v>240.3</x:v>
      </x:c>
      <x:c r="H607" t="str">
        <x:v>Ns</x:v>
      </x:c>
      <x:c r="I607" t="str">
        <x:v>higher</x:v>
      </x:c>
    </x:row>
    <x:row r="608" ht="15.75" customHeight="1">
      <x:c r="A608" t="str">
        <x:v>RVX-00026</x:v>
      </x:c>
      <x:c r="B608" t="n">
        <x:v>2</x:v>
      </x:c>
      <x:c r="C608" s="15" t="n">
        <x:v>46174</x:v>
      </x:c>
      <x:c r="D608" t="str">
        <x:v>sprint_5m</x:v>
      </x:c>
      <x:c r="E608" t="str">
        <x:v>5m Sprint</x:v>
      </x:c>
      <x:c r="F608" t="str">
        <x:v>Acceleration</x:v>
      </x:c>
      <x:c r="G608" t="n">
        <x:v>1.04</x:v>
      </x:c>
      <x:c r="H608" t="str">
        <x:v>sec</x:v>
      </x:c>
      <x:c r="I608" t="str">
        <x:v>lower</x:v>
      </x:c>
    </x:row>
    <x:row r="609" ht="15.75" customHeight="1">
      <x:c r="A609" t="str">
        <x:v>RVX-00026</x:v>
      </x:c>
      <x:c r="B609" t="n">
        <x:v>2</x:v>
      </x:c>
      <x:c r="C609" s="15" t="n">
        <x:v>46174</x:v>
      </x:c>
      <x:c r="D609" t="str">
        <x:v>sprint_10m</x:v>
      </x:c>
      <x:c r="E609" t="str">
        <x:v>10m Sprint</x:v>
      </x:c>
      <x:c r="F609" t="str">
        <x:v>Acceleration</x:v>
      </x:c>
      <x:c r="G609" t="n">
        <x:v>1.8</x:v>
      </x:c>
      <x:c r="H609" t="str">
        <x:v>sec</x:v>
      </x:c>
      <x:c r="I609" t="str">
        <x:v>lower</x:v>
      </x:c>
    </x:row>
    <x:row r="610" ht="15.75" customHeight="1">
      <x:c r="A610" t="str">
        <x:v>RVX-00026</x:v>
      </x:c>
      <x:c r="B610" t="n">
        <x:v>2</x:v>
      </x:c>
      <x:c r="C610" s="15" t="n">
        <x:v>46174</x:v>
      </x:c>
      <x:c r="D610" t="str">
        <x:v>pro_agility</x:v>
      </x:c>
      <x:c r="E610" t="str">
        <x:v>5-10-5 Pro Agility</x:v>
      </x:c>
      <x:c r="F610" t="str">
        <x:v>Agility</x:v>
      </x:c>
      <x:c r="G610" t="n">
        <x:v>4.48</x:v>
      </x:c>
      <x:c r="H610" t="str">
        <x:v>sec</x:v>
      </x:c>
      <x:c r="I610" t="str">
        <x:v>lower</x:v>
      </x:c>
    </x:row>
    <x:row r="611" ht="15.75" customHeight="1">
      <x:c r="A611" t="str">
        <x:v>RVX-00026</x:v>
      </x:c>
      <x:c r="B611" t="n">
        <x:v>2</x:v>
      </x:c>
      <x:c r="C611" s="15" t="n">
        <x:v>46174</x:v>
      </x:c>
      <x:c r="D611" t="str">
        <x:v>cmj_depth</x:v>
      </x:c>
      <x:c r="E611" t="str">
        <x:v>Countermovement Depth</x:v>
      </x:c>
      <x:c r="F611" t="str">
        <x:v>Movement</x:v>
      </x:c>
      <x:c r="G611" t="n">
        <x:v>33.3</x:v>
      </x:c>
      <x:c r="H611" t="str">
        <x:v>cm</x:v>
      </x:c>
      <x:c r="I611" t="str">
        <x:v>higher</x:v>
      </x:c>
    </x:row>
    <x:row r="612" ht="15.75" customHeight="1">
      <x:c r="A612" t="str">
        <x:v>RVX-00026</x:v>
      </x:c>
      <x:c r="B612" t="n">
        <x:v>2</x:v>
      </x:c>
      <x:c r="C612" s="15" t="n">
        <x:v>46174</x:v>
      </x:c>
      <x:c r="D612" t="str">
        <x:v>peak_force</x:v>
      </x:c>
      <x:c r="E612" t="str">
        <x:v>Peak Force</x:v>
      </x:c>
      <x:c r="F612" t="str">
        <x:v>Strength &amp; Power</x:v>
      </x:c>
      <x:c r="G612" t="n">
        <x:v>1932</x:v>
      </x:c>
      <x:c r="H612" t="str">
        <x:v>N</x:v>
      </x:c>
      <x:c r="I612" t="str">
        <x:v>higher</x:v>
      </x:c>
    </x:row>
    <x:row r="613" ht="15.75" customHeight="1">
      <x:c r="A613" t="str">
        <x:v>RVX-00026</x:v>
      </x:c>
      <x:c r="B613" t="n">
        <x:v>2</x:v>
      </x:c>
      <x:c r="C613" s="15" t="n">
        <x:v>46174</x:v>
      </x:c>
      <x:c r="D613" t="str">
        <x:v>impulse</x:v>
      </x:c>
      <x:c r="E613" t="str">
        <x:v>Impulse-Momentum</x:v>
      </x:c>
      <x:c r="F613" t="str">
        <x:v>Strength &amp; Power</x:v>
      </x:c>
      <x:c r="G613" t="n">
        <x:v>244.8</x:v>
      </x:c>
      <x:c r="H613" t="str">
        <x:v>Ns</x:v>
      </x:c>
      <x:c r="I613" t="str">
        <x:v>higher</x:v>
      </x:c>
    </x:row>
    <x:row r="614" ht="15.75" customHeight="1">
      <x:c r="A614" t="str">
        <x:v>RVX-00026</x:v>
      </x:c>
      <x:c r="B614" t="n">
        <x:v>3</x:v>
      </x:c>
      <x:c r="C614" s="15" t="n">
        <x:v>46202</x:v>
      </x:c>
      <x:c r="D614" t="str">
        <x:v>sprint_5m</x:v>
      </x:c>
      <x:c r="E614" t="str">
        <x:v>5m Sprint</x:v>
      </x:c>
      <x:c r="F614" t="str">
        <x:v>Acceleration</x:v>
      </x:c>
      <x:c r="G614" t="n">
        <x:v>1.01</x:v>
      </x:c>
      <x:c r="H614" t="str">
        <x:v>sec</x:v>
      </x:c>
      <x:c r="I614" t="str">
        <x:v>lower</x:v>
      </x:c>
    </x:row>
    <x:row r="615" ht="15.75" customHeight="1">
      <x:c r="A615" t="str">
        <x:v>RVX-00026</x:v>
      </x:c>
      <x:c r="B615" t="n">
        <x:v>3</x:v>
      </x:c>
      <x:c r="C615" s="15" t="n">
        <x:v>46202</x:v>
      </x:c>
      <x:c r="D615" t="str">
        <x:v>sprint_10m</x:v>
      </x:c>
      <x:c r="E615" t="str">
        <x:v>10m Sprint</x:v>
      </x:c>
      <x:c r="F615" t="str">
        <x:v>Acceleration</x:v>
      </x:c>
      <x:c r="G615" t="n">
        <x:v>1.71</x:v>
      </x:c>
      <x:c r="H615" t="str">
        <x:v>sec</x:v>
      </x:c>
      <x:c r="I615" t="str">
        <x:v>lower</x:v>
      </x:c>
    </x:row>
    <x:row r="616" ht="15.75" customHeight="1">
      <x:c r="A616" t="str">
        <x:v>RVX-00026</x:v>
      </x:c>
      <x:c r="B616" t="n">
        <x:v>3</x:v>
      </x:c>
      <x:c r="C616" s="15" t="n">
        <x:v>46202</x:v>
      </x:c>
      <x:c r="D616" t="str">
        <x:v>pro_agility</x:v>
      </x:c>
      <x:c r="E616" t="str">
        <x:v>5-10-5 Pro Agility</x:v>
      </x:c>
      <x:c r="F616" t="str">
        <x:v>Agility</x:v>
      </x:c>
      <x:c r="G616" t="n">
        <x:v>4.57</x:v>
      </x:c>
      <x:c r="H616" t="str">
        <x:v>sec</x:v>
      </x:c>
      <x:c r="I616" t="str">
        <x:v>lower</x:v>
      </x:c>
    </x:row>
    <x:row r="617" ht="15.75" customHeight="1">
      <x:c r="A617" t="str">
        <x:v>RVX-00026</x:v>
      </x:c>
      <x:c r="B617" t="n">
        <x:v>3</x:v>
      </x:c>
      <x:c r="C617" s="15" t="n">
        <x:v>46202</x:v>
      </x:c>
      <x:c r="D617" t="str">
        <x:v>cmj_depth</x:v>
      </x:c>
      <x:c r="E617" t="str">
        <x:v>Countermovement Depth</x:v>
      </x:c>
      <x:c r="F617" t="str">
        <x:v>Movement</x:v>
      </x:c>
      <x:c r="G617" t="n">
        <x:v>33.5</x:v>
      </x:c>
      <x:c r="H617" t="str">
        <x:v>cm</x:v>
      </x:c>
      <x:c r="I617" t="str">
        <x:v>higher</x:v>
      </x:c>
    </x:row>
    <x:row r="618" ht="15.75" customHeight="1">
      <x:c r="A618" t="str">
        <x:v>RVX-00026</x:v>
      </x:c>
      <x:c r="B618" t="n">
        <x:v>3</x:v>
      </x:c>
      <x:c r="C618" s="15" t="n">
        <x:v>46202</x:v>
      </x:c>
      <x:c r="D618" t="str">
        <x:v>peak_force</x:v>
      </x:c>
      <x:c r="E618" t="str">
        <x:v>Peak Force</x:v>
      </x:c>
      <x:c r="F618" t="str">
        <x:v>Strength &amp; Power</x:v>
      </x:c>
      <x:c r="G618" t="n">
        <x:v>1967</x:v>
      </x:c>
      <x:c r="H618" t="str">
        <x:v>N</x:v>
      </x:c>
      <x:c r="I618" t="str">
        <x:v>higher</x:v>
      </x:c>
    </x:row>
    <x:row r="619" ht="15.75" customHeight="1">
      <x:c r="A619" t="str">
        <x:v>RVX-00026</x:v>
      </x:c>
      <x:c r="B619" t="n">
        <x:v>3</x:v>
      </x:c>
      <x:c r="C619" s="15" t="n">
        <x:v>46202</x:v>
      </x:c>
      <x:c r="D619" t="str">
        <x:v>impulse</x:v>
      </x:c>
      <x:c r="E619" t="str">
        <x:v>Impulse-Momentum</x:v>
      </x:c>
      <x:c r="F619" t="str">
        <x:v>Strength &amp; Power</x:v>
      </x:c>
      <x:c r="G619" t="n">
        <x:v>241.9</x:v>
      </x:c>
      <x:c r="H619" t="str">
        <x:v>Ns</x:v>
      </x:c>
      <x:c r="I619" t="str">
        <x:v>higher</x:v>
      </x:c>
    </x:row>
    <x:row r="620" ht="15.75" customHeight="1">
      <x:c r="A620" t="str">
        <x:v>RVX-00026</x:v>
      </x:c>
      <x:c r="B620" t="n">
        <x:v>4</x:v>
      </x:c>
      <x:c r="C620" s="15" t="n">
        <x:v>46230</x:v>
      </x:c>
      <x:c r="D620" t="str">
        <x:v>sprint_5m</x:v>
      </x:c>
      <x:c r="E620" t="str">
        <x:v>5m Sprint</x:v>
      </x:c>
      <x:c r="F620" t="str">
        <x:v>Acceleration</x:v>
      </x:c>
      <x:c r="G620" t="n">
        <x:v>0.99</x:v>
      </x:c>
      <x:c r="H620" t="str">
        <x:v>sec</x:v>
      </x:c>
      <x:c r="I620" t="str">
        <x:v>lower</x:v>
      </x:c>
    </x:row>
    <x:row r="621" ht="15.75" customHeight="1">
      <x:c r="A621" t="str">
        <x:v>RVX-00026</x:v>
      </x:c>
      <x:c r="B621" t="n">
        <x:v>4</x:v>
      </x:c>
      <x:c r="C621" s="15" t="n">
        <x:v>46230</x:v>
      </x:c>
      <x:c r="D621" t="str">
        <x:v>sprint_10m</x:v>
      </x:c>
      <x:c r="E621" t="str">
        <x:v>10m Sprint</x:v>
      </x:c>
      <x:c r="F621" t="str">
        <x:v>Acceleration</x:v>
      </x:c>
      <x:c r="G621" t="n">
        <x:v>1.72</x:v>
      </x:c>
      <x:c r="H621" t="str">
        <x:v>sec</x:v>
      </x:c>
      <x:c r="I621" t="str">
        <x:v>lower</x:v>
      </x:c>
    </x:row>
    <x:row r="622" ht="15.75" customHeight="1">
      <x:c r="A622" t="str">
        <x:v>RVX-00026</x:v>
      </x:c>
      <x:c r="B622" t="n">
        <x:v>4</x:v>
      </x:c>
      <x:c r="C622" s="15" t="n">
        <x:v>46230</x:v>
      </x:c>
      <x:c r="D622" t="str">
        <x:v>pro_agility</x:v>
      </x:c>
      <x:c r="E622" t="str">
        <x:v>5-10-5 Pro Agility</x:v>
      </x:c>
      <x:c r="F622" t="str">
        <x:v>Agility</x:v>
      </x:c>
      <x:c r="G622" t="n">
        <x:v>4.36</x:v>
      </x:c>
      <x:c r="H622" t="str">
        <x:v>sec</x:v>
      </x:c>
      <x:c r="I622" t="str">
        <x:v>lower</x:v>
      </x:c>
    </x:row>
    <x:row r="623" ht="15.75" customHeight="1">
      <x:c r="A623" t="str">
        <x:v>RVX-00026</x:v>
      </x:c>
      <x:c r="B623" t="n">
        <x:v>4</x:v>
      </x:c>
      <x:c r="C623" s="15" t="n">
        <x:v>46230</x:v>
      </x:c>
      <x:c r="D623" t="str">
        <x:v>cmj_depth</x:v>
      </x:c>
      <x:c r="E623" t="str">
        <x:v>Countermovement Depth</x:v>
      </x:c>
      <x:c r="F623" t="str">
        <x:v>Movement</x:v>
      </x:c>
      <x:c r="G623" t="n">
        <x:v>35</x:v>
      </x:c>
      <x:c r="H623" t="str">
        <x:v>cm</x:v>
      </x:c>
      <x:c r="I623" t="str">
        <x:v>higher</x:v>
      </x:c>
    </x:row>
    <x:row r="624" ht="15.75" customHeight="1">
      <x:c r="A624" t="str">
        <x:v>RVX-00026</x:v>
      </x:c>
      <x:c r="B624" t="n">
        <x:v>4</x:v>
      </x:c>
      <x:c r="C624" s="15" t="n">
        <x:v>46230</x:v>
      </x:c>
      <x:c r="D624" t="str">
        <x:v>peak_force</x:v>
      </x:c>
      <x:c r="E624" t="str">
        <x:v>Peak Force</x:v>
      </x:c>
      <x:c r="F624" t="str">
        <x:v>Strength &amp; Power</x:v>
      </x:c>
      <x:c r="G624" t="n">
        <x:v>2013</x:v>
      </x:c>
      <x:c r="H624" t="str">
        <x:v>N</x:v>
      </x:c>
      <x:c r="I624" t="str">
        <x:v>higher</x:v>
      </x:c>
    </x:row>
    <x:row r="625" ht="15.75" customHeight="1">
      <x:c r="A625" t="str">
        <x:v>RVX-00026</x:v>
      </x:c>
      <x:c r="B625" t="n">
        <x:v>4</x:v>
      </x:c>
      <x:c r="C625" s="15" t="n">
        <x:v>46230</x:v>
      </x:c>
      <x:c r="D625" t="str">
        <x:v>impulse</x:v>
      </x:c>
      <x:c r="E625" t="str">
        <x:v>Impulse-Momentum</x:v>
      </x:c>
      <x:c r="F625" t="str">
        <x:v>Strength &amp; Power</x:v>
      </x:c>
      <x:c r="G625" t="n">
        <x:v>254</x:v>
      </x:c>
      <x:c r="H625" t="str">
        <x:v>Ns</x:v>
      </x:c>
      <x:c r="I625" t="str">
        <x:v>higher</x:v>
      </x:c>
    </x:row>
    <x:row r="626" ht="15.75" customHeight="1">
      <x:c r="A626" t="str">
        <x:v>RVX-00027</x:v>
      </x:c>
      <x:c r="B626" t="n">
        <x:v>1</x:v>
      </x:c>
      <x:c r="C626" s="15" t="n">
        <x:v>46146</x:v>
      </x:c>
      <x:c r="D626" t="str">
        <x:v>sprint_5m</x:v>
      </x:c>
      <x:c r="E626" t="str">
        <x:v>5m Sprint</x:v>
      </x:c>
      <x:c r="F626" t="str">
        <x:v>Acceleration</x:v>
      </x:c>
      <x:c r="G626" t="n">
        <x:v>1.21</x:v>
      </x:c>
      <x:c r="H626" t="str">
        <x:v>sec</x:v>
      </x:c>
      <x:c r="I626" t="str">
        <x:v>lower</x:v>
      </x:c>
    </x:row>
    <x:row r="627" ht="15.75" customHeight="1">
      <x:c r="A627" t="str">
        <x:v>RVX-00027</x:v>
      </x:c>
      <x:c r="B627" t="n">
        <x:v>1</x:v>
      </x:c>
      <x:c r="C627" s="15" t="n">
        <x:v>46146</x:v>
      </x:c>
      <x:c r="D627" t="str">
        <x:v>sprint_10m</x:v>
      </x:c>
      <x:c r="E627" t="str">
        <x:v>10m Sprint</x:v>
      </x:c>
      <x:c r="F627" t="str">
        <x:v>Acceleration</x:v>
      </x:c>
      <x:c r="G627" t="n">
        <x:v>2.09</x:v>
      </x:c>
      <x:c r="H627" t="str">
        <x:v>sec</x:v>
      </x:c>
      <x:c r="I627" t="str">
        <x:v>lower</x:v>
      </x:c>
    </x:row>
    <x:row r="628" ht="15.75" customHeight="1">
      <x:c r="A628" t="str">
        <x:v>RVX-00027</x:v>
      </x:c>
      <x:c r="B628" t="n">
        <x:v>1</x:v>
      </x:c>
      <x:c r="C628" s="15" t="n">
        <x:v>46146</x:v>
      </x:c>
      <x:c r="D628" t="str">
        <x:v>pro_agility</x:v>
      </x:c>
      <x:c r="E628" t="str">
        <x:v>5-10-5 Pro Agility</x:v>
      </x:c>
      <x:c r="F628" t="str">
        <x:v>Agility</x:v>
      </x:c>
      <x:c r="G628" t="n">
        <x:v>5.41</x:v>
      </x:c>
      <x:c r="H628" t="str">
        <x:v>sec</x:v>
      </x:c>
      <x:c r="I628" t="str">
        <x:v>lower</x:v>
      </x:c>
    </x:row>
    <x:row r="629" ht="15.75" customHeight="1">
      <x:c r="A629" t="str">
        <x:v>RVX-00027</x:v>
      </x:c>
      <x:c r="B629" t="n">
        <x:v>1</x:v>
      </x:c>
      <x:c r="C629" s="15" t="n">
        <x:v>46146</x:v>
      </x:c>
      <x:c r="D629" t="str">
        <x:v>cmj_depth</x:v>
      </x:c>
      <x:c r="E629" t="str">
        <x:v>Countermovement Depth</x:v>
      </x:c>
      <x:c r="F629" t="str">
        <x:v>Movement</x:v>
      </x:c>
      <x:c r="G629" t="n">
        <x:v>26.3</x:v>
      </x:c>
      <x:c r="H629" t="str">
        <x:v>cm</x:v>
      </x:c>
      <x:c r="I629" t="str">
        <x:v>higher</x:v>
      </x:c>
    </x:row>
    <x:row r="630" ht="15.75" customHeight="1">
      <x:c r="A630" t="str">
        <x:v>RVX-00027</x:v>
      </x:c>
      <x:c r="B630" t="n">
        <x:v>1</x:v>
      </x:c>
      <x:c r="C630" s="15" t="n">
        <x:v>46146</x:v>
      </x:c>
      <x:c r="D630" t="str">
        <x:v>peak_force</x:v>
      </x:c>
      <x:c r="E630" t="str">
        <x:v>Peak Force</x:v>
      </x:c>
      <x:c r="F630" t="str">
        <x:v>Strength &amp; Power</x:v>
      </x:c>
      <x:c r="G630" t="n">
        <x:v>1538</x:v>
      </x:c>
      <x:c r="H630" t="str">
        <x:v>N</x:v>
      </x:c>
      <x:c r="I630" t="str">
        <x:v>higher</x:v>
      </x:c>
    </x:row>
    <x:row r="631" ht="15.75" customHeight="1">
      <x:c r="A631" t="str">
        <x:v>RVX-00027</x:v>
      </x:c>
      <x:c r="B631" t="n">
        <x:v>1</x:v>
      </x:c>
      <x:c r="C631" s="15" t="n">
        <x:v>46146</x:v>
      </x:c>
      <x:c r="D631" t="str">
        <x:v>impulse</x:v>
      </x:c>
      <x:c r="E631" t="str">
        <x:v>Impulse-Momentum</x:v>
      </x:c>
      <x:c r="F631" t="str">
        <x:v>Strength &amp; Power</x:v>
      </x:c>
      <x:c r="G631" t="n">
        <x:v>188.4</x:v>
      </x:c>
      <x:c r="H631" t="str">
        <x:v>Ns</x:v>
      </x:c>
      <x:c r="I631" t="str">
        <x:v>higher</x:v>
      </x:c>
    </x:row>
    <x:row r="632" ht="15.75" customHeight="1">
      <x:c r="A632" t="str">
        <x:v>RVX-00027</x:v>
      </x:c>
      <x:c r="B632" t="n">
        <x:v>2</x:v>
      </x:c>
      <x:c r="C632" s="15" t="n">
        <x:v>46174</x:v>
      </x:c>
      <x:c r="D632" t="str">
        <x:v>sprint_5m</x:v>
      </x:c>
      <x:c r="E632" t="str">
        <x:v>5m Sprint</x:v>
      </x:c>
      <x:c r="F632" t="str">
        <x:v>Acceleration</x:v>
      </x:c>
      <x:c r="G632" t="n">
        <x:v>1.22</x:v>
      </x:c>
      <x:c r="H632" t="str">
        <x:v>sec</x:v>
      </x:c>
      <x:c r="I632" t="str">
        <x:v>lower</x:v>
      </x:c>
    </x:row>
    <x:row r="633" ht="15.75" customHeight="1">
      <x:c r="A633" t="str">
        <x:v>RVX-00027</x:v>
      </x:c>
      <x:c r="B633" t="n">
        <x:v>2</x:v>
      </x:c>
      <x:c r="C633" s="15" t="n">
        <x:v>46174</x:v>
      </x:c>
      <x:c r="D633" t="str">
        <x:v>sprint_10m</x:v>
      </x:c>
      <x:c r="E633" t="str">
        <x:v>10m Sprint</x:v>
      </x:c>
      <x:c r="F633" t="str">
        <x:v>Acceleration</x:v>
      </x:c>
      <x:c r="G633" t="n">
        <x:v>2.05</x:v>
      </x:c>
      <x:c r="H633" t="str">
        <x:v>sec</x:v>
      </x:c>
      <x:c r="I633" t="str">
        <x:v>lower</x:v>
      </x:c>
    </x:row>
    <x:row r="634" ht="15.75" customHeight="1">
      <x:c r="A634" t="str">
        <x:v>RVX-00027</x:v>
      </x:c>
      <x:c r="B634" t="n">
        <x:v>2</x:v>
      </x:c>
      <x:c r="C634" s="15" t="n">
        <x:v>46174</x:v>
      </x:c>
      <x:c r="D634" t="str">
        <x:v>pro_agility</x:v>
      </x:c>
      <x:c r="E634" t="str">
        <x:v>5-10-5 Pro Agility</x:v>
      </x:c>
      <x:c r="F634" t="str">
        <x:v>Agility</x:v>
      </x:c>
      <x:c r="G634" t="n">
        <x:v>5.25</x:v>
      </x:c>
      <x:c r="H634" t="str">
        <x:v>sec</x:v>
      </x:c>
      <x:c r="I634" t="str">
        <x:v>lower</x:v>
      </x:c>
    </x:row>
    <x:row r="635" ht="15.75" customHeight="1">
      <x:c r="A635" t="str">
        <x:v>RVX-00027</x:v>
      </x:c>
      <x:c r="B635" t="n">
        <x:v>2</x:v>
      </x:c>
      <x:c r="C635" s="15" t="n">
        <x:v>46174</x:v>
      </x:c>
      <x:c r="D635" t="str">
        <x:v>cmj_depth</x:v>
      </x:c>
      <x:c r="E635" t="str">
        <x:v>Countermovement Depth</x:v>
      </x:c>
      <x:c r="F635" t="str">
        <x:v>Movement</x:v>
      </x:c>
      <x:c r="G635" t="n">
        <x:v>27</x:v>
      </x:c>
      <x:c r="H635" t="str">
        <x:v>cm</x:v>
      </x:c>
      <x:c r="I635" t="str">
        <x:v>higher</x:v>
      </x:c>
    </x:row>
    <x:row r="636" ht="15.75" customHeight="1">
      <x:c r="A636" t="str">
        <x:v>RVX-00027</x:v>
      </x:c>
      <x:c r="B636" t="n">
        <x:v>2</x:v>
      </x:c>
      <x:c r="C636" s="15" t="n">
        <x:v>46174</x:v>
      </x:c>
      <x:c r="D636" t="str">
        <x:v>peak_force</x:v>
      </x:c>
      <x:c r="E636" t="str">
        <x:v>Peak Force</x:v>
      </x:c>
      <x:c r="F636" t="str">
        <x:v>Strength &amp; Power</x:v>
      </x:c>
      <x:c r="G636" t="n">
        <x:v>1631</x:v>
      </x:c>
      <x:c r="H636" t="str">
        <x:v>N</x:v>
      </x:c>
      <x:c r="I636" t="str">
        <x:v>higher</x:v>
      </x:c>
    </x:row>
    <x:row r="637" ht="15.75" customHeight="1">
      <x:c r="A637" t="str">
        <x:v>RVX-00027</x:v>
      </x:c>
      <x:c r="B637" t="n">
        <x:v>2</x:v>
      </x:c>
      <x:c r="C637" s="15" t="n">
        <x:v>46174</x:v>
      </x:c>
      <x:c r="D637" t="str">
        <x:v>impulse</x:v>
      </x:c>
      <x:c r="E637" t="str">
        <x:v>Impulse-Momentum</x:v>
      </x:c>
      <x:c r="F637" t="str">
        <x:v>Strength &amp; Power</x:v>
      </x:c>
      <x:c r="G637" t="n">
        <x:v>193.6</x:v>
      </x:c>
      <x:c r="H637" t="str">
        <x:v>Ns</x:v>
      </x:c>
      <x:c r="I637" t="str">
        <x:v>higher</x:v>
      </x:c>
    </x:row>
    <x:row r="638" ht="15.75" customHeight="1">
      <x:c r="A638" t="str">
        <x:v>RVX-00027</x:v>
      </x:c>
      <x:c r="B638" t="n">
        <x:v>3</x:v>
      </x:c>
      <x:c r="C638" s="15" t="n">
        <x:v>46202</x:v>
      </x:c>
      <x:c r="D638" t="str">
        <x:v>sprint_5m</x:v>
      </x:c>
      <x:c r="E638" t="str">
        <x:v>5m Sprint</x:v>
      </x:c>
      <x:c r="F638" t="str">
        <x:v>Acceleration</x:v>
      </x:c>
      <x:c r="G638" t="n">
        <x:v>1.17</x:v>
      </x:c>
      <x:c r="H638" t="str">
        <x:v>sec</x:v>
      </x:c>
      <x:c r="I638" t="str">
        <x:v>lower</x:v>
      </x:c>
    </x:row>
    <x:row r="639" ht="15.75" customHeight="1">
      <x:c r="A639" t="str">
        <x:v>RVX-00027</x:v>
      </x:c>
      <x:c r="B639" t="n">
        <x:v>3</x:v>
      </x:c>
      <x:c r="C639" s="15" t="n">
        <x:v>46202</x:v>
      </x:c>
      <x:c r="D639" t="str">
        <x:v>sprint_10m</x:v>
      </x:c>
      <x:c r="E639" t="str">
        <x:v>10m Sprint</x:v>
      </x:c>
      <x:c r="F639" t="str">
        <x:v>Acceleration</x:v>
      </x:c>
      <x:c r="G639" t="n">
        <x:v>1.99</x:v>
      </x:c>
      <x:c r="H639" t="str">
        <x:v>sec</x:v>
      </x:c>
      <x:c r="I639" t="str">
        <x:v>lower</x:v>
      </x:c>
    </x:row>
    <x:row r="640" ht="15.75" customHeight="1">
      <x:c r="A640" t="str">
        <x:v>RVX-00027</x:v>
      </x:c>
      <x:c r="B640" t="n">
        <x:v>3</x:v>
      </x:c>
      <x:c r="C640" s="15" t="n">
        <x:v>46202</x:v>
      </x:c>
      <x:c r="D640" t="str">
        <x:v>pro_agility</x:v>
      </x:c>
      <x:c r="E640" t="str">
        <x:v>5-10-5 Pro Agility</x:v>
      </x:c>
      <x:c r="F640" t="str">
        <x:v>Agility</x:v>
      </x:c>
      <x:c r="G640" t="n">
        <x:v>5.02</x:v>
      </x:c>
      <x:c r="H640" t="str">
        <x:v>sec</x:v>
      </x:c>
      <x:c r="I640" t="str">
        <x:v>lower</x:v>
      </x:c>
    </x:row>
    <x:row r="641" ht="15.75" customHeight="1">
      <x:c r="A641" t="str">
        <x:v>RVX-00027</x:v>
      </x:c>
      <x:c r="B641" t="n">
        <x:v>3</x:v>
      </x:c>
      <x:c r="C641" s="15" t="n">
        <x:v>46202</x:v>
      </x:c>
      <x:c r="D641" t="str">
        <x:v>cmj_depth</x:v>
      </x:c>
      <x:c r="E641" t="str">
        <x:v>Countermovement Depth</x:v>
      </x:c>
      <x:c r="F641" t="str">
        <x:v>Movement</x:v>
      </x:c>
      <x:c r="G641" t="n">
        <x:v>28.1</x:v>
      </x:c>
      <x:c r="H641" t="str">
        <x:v>cm</x:v>
      </x:c>
      <x:c r="I641" t="str">
        <x:v>higher</x:v>
      </x:c>
    </x:row>
    <x:row r="642" ht="15.75" customHeight="1">
      <x:c r="A642" t="str">
        <x:v>RVX-00027</x:v>
      </x:c>
      <x:c r="B642" t="n">
        <x:v>3</x:v>
      </x:c>
      <x:c r="C642" s="15" t="n">
        <x:v>46202</x:v>
      </x:c>
      <x:c r="D642" t="str">
        <x:v>peak_force</x:v>
      </x:c>
      <x:c r="E642" t="str">
        <x:v>Peak Force</x:v>
      </x:c>
      <x:c r="F642" t="str">
        <x:v>Strength &amp; Power</x:v>
      </x:c>
      <x:c r="G642" t="n">
        <x:v>1670</x:v>
      </x:c>
      <x:c r="H642" t="str">
        <x:v>N</x:v>
      </x:c>
      <x:c r="I642" t="str">
        <x:v>higher</x:v>
      </x:c>
    </x:row>
    <x:row r="643" ht="15.75" customHeight="1">
      <x:c r="A643" t="str">
        <x:v>RVX-00027</x:v>
      </x:c>
      <x:c r="B643" t="n">
        <x:v>3</x:v>
      </x:c>
      <x:c r="C643" s="15" t="n">
        <x:v>46202</x:v>
      </x:c>
      <x:c r="D643" t="str">
        <x:v>impulse</x:v>
      </x:c>
      <x:c r="E643" t="str">
        <x:v>Impulse-Momentum</x:v>
      </x:c>
      <x:c r="F643" t="str">
        <x:v>Strength &amp; Power</x:v>
      </x:c>
      <x:c r="G643" t="n">
        <x:v>197.3</x:v>
      </x:c>
      <x:c r="H643" t="str">
        <x:v>Ns</x:v>
      </x:c>
      <x:c r="I643" t="str">
        <x:v>higher</x:v>
      </x:c>
    </x:row>
    <x:row r="644" ht="15.75" customHeight="1">
      <x:c r="A644" t="str">
        <x:v>RVX-00027</x:v>
      </x:c>
      <x:c r="B644" t="n">
        <x:v>4</x:v>
      </x:c>
      <x:c r="C644" s="15" t="n">
        <x:v>46230</x:v>
      </x:c>
      <x:c r="D644" t="str">
        <x:v>sprint_5m</x:v>
      </x:c>
      <x:c r="E644" t="str">
        <x:v>5m Sprint</x:v>
      </x:c>
      <x:c r="F644" t="str">
        <x:v>Acceleration</x:v>
      </x:c>
      <x:c r="G644" t="n">
        <x:v>1.2</x:v>
      </x:c>
      <x:c r="H644" t="str">
        <x:v>sec</x:v>
      </x:c>
      <x:c r="I644" t="str">
        <x:v>lower</x:v>
      </x:c>
    </x:row>
    <x:row r="645" ht="15.75" customHeight="1">
      <x:c r="A645" t="str">
        <x:v>RVX-00027</x:v>
      </x:c>
      <x:c r="B645" t="n">
        <x:v>4</x:v>
      </x:c>
      <x:c r="C645" s="15" t="n">
        <x:v>46230</x:v>
      </x:c>
      <x:c r="D645" t="str">
        <x:v>sprint_10m</x:v>
      </x:c>
      <x:c r="E645" t="str">
        <x:v>10m Sprint</x:v>
      </x:c>
      <x:c r="F645" t="str">
        <x:v>Acceleration</x:v>
      </x:c>
      <x:c r="G645" t="n">
        <x:v>2.01</x:v>
      </x:c>
      <x:c r="H645" t="str">
        <x:v>sec</x:v>
      </x:c>
      <x:c r="I645" t="str">
        <x:v>lower</x:v>
      </x:c>
    </x:row>
    <x:row r="646" ht="15.75" customHeight="1">
      <x:c r="A646" t="str">
        <x:v>RVX-00027</x:v>
      </x:c>
      <x:c r="B646" t="n">
        <x:v>4</x:v>
      </x:c>
      <x:c r="C646" s="15" t="n">
        <x:v>46230</x:v>
      </x:c>
      <x:c r="D646" t="str">
        <x:v>pro_agility</x:v>
      </x:c>
      <x:c r="E646" t="str">
        <x:v>5-10-5 Pro Agility</x:v>
      </x:c>
      <x:c r="F646" t="str">
        <x:v>Agility</x:v>
      </x:c>
      <x:c r="G646" t="n">
        <x:v>5.06</x:v>
      </x:c>
      <x:c r="H646" t="str">
        <x:v>sec</x:v>
      </x:c>
      <x:c r="I646" t="str">
        <x:v>lower</x:v>
      </x:c>
    </x:row>
    <x:row r="647" ht="15.75" customHeight="1">
      <x:c r="A647" t="str">
        <x:v>RVX-00027</x:v>
      </x:c>
      <x:c r="B647" t="n">
        <x:v>4</x:v>
      </x:c>
      <x:c r="C647" s="15" t="n">
        <x:v>46230</x:v>
      </x:c>
      <x:c r="D647" t="str">
        <x:v>cmj_depth</x:v>
      </x:c>
      <x:c r="E647" t="str">
        <x:v>Countermovement Depth</x:v>
      </x:c>
      <x:c r="F647" t="str">
        <x:v>Movement</x:v>
      </x:c>
      <x:c r="G647" t="n">
        <x:v>28.2</x:v>
      </x:c>
      <x:c r="H647" t="str">
        <x:v>cm</x:v>
      </x:c>
      <x:c r="I647" t="str">
        <x:v>higher</x:v>
      </x:c>
    </x:row>
    <x:row r="648" ht="15.75" customHeight="1">
      <x:c r="A648" t="str">
        <x:v>RVX-00027</x:v>
      </x:c>
      <x:c r="B648" t="n">
        <x:v>4</x:v>
      </x:c>
      <x:c r="C648" s="15" t="n">
        <x:v>46230</x:v>
      </x:c>
      <x:c r="D648" t="str">
        <x:v>peak_force</x:v>
      </x:c>
      <x:c r="E648" t="str">
        <x:v>Peak Force</x:v>
      </x:c>
      <x:c r="F648" t="str">
        <x:v>Strength &amp; Power</x:v>
      </x:c>
      <x:c r="G648" t="n">
        <x:v>1665</x:v>
      </x:c>
      <x:c r="H648" t="str">
        <x:v>N</x:v>
      </x:c>
      <x:c r="I648" t="str">
        <x:v>higher</x:v>
      </x:c>
    </x:row>
    <x:row r="649" ht="15.75" customHeight="1">
      <x:c r="A649" t="str">
        <x:v>RVX-00027</x:v>
      </x:c>
      <x:c r="B649" t="n">
        <x:v>4</x:v>
      </x:c>
      <x:c r="C649" s="15" t="n">
        <x:v>46230</x:v>
      </x:c>
      <x:c r="D649" t="str">
        <x:v>impulse</x:v>
      </x:c>
      <x:c r="E649" t="str">
        <x:v>Impulse-Momentum</x:v>
      </x:c>
      <x:c r="F649" t="str">
        <x:v>Strength &amp; Power</x:v>
      </x:c>
      <x:c r="G649" t="n">
        <x:v>208.8</x:v>
      </x:c>
      <x:c r="H649" t="str">
        <x:v>Ns</x:v>
      </x:c>
      <x:c r="I649" t="str">
        <x:v>higher</x:v>
      </x:c>
    </x:row>
    <x:row r="650" ht="15.75" customHeight="1">
      <x:c r="A650" t="str">
        <x:v>RVX-00028</x:v>
      </x:c>
      <x:c r="B650" t="n">
        <x:v>1</x:v>
      </x:c>
      <x:c r="C650" s="15" t="n">
        <x:v>46146</x:v>
      </x:c>
      <x:c r="D650" t="str">
        <x:v>sprint_5m</x:v>
      </x:c>
      <x:c r="E650" t="str">
        <x:v>5m Sprint</x:v>
      </x:c>
      <x:c r="F650" t="str">
        <x:v>Acceleration</x:v>
      </x:c>
      <x:c r="G650" t="n">
        <x:v>0.94</x:v>
      </x:c>
      <x:c r="H650" t="str">
        <x:v>sec</x:v>
      </x:c>
      <x:c r="I650" t="str">
        <x:v>lower</x:v>
      </x:c>
    </x:row>
    <x:row r="651" ht="15.75" customHeight="1">
      <x:c r="A651" t="str">
        <x:v>RVX-00028</x:v>
      </x:c>
      <x:c r="B651" t="n">
        <x:v>1</x:v>
      </x:c>
      <x:c r="C651" s="15" t="n">
        <x:v>46146</x:v>
      </x:c>
      <x:c r="D651" t="str">
        <x:v>sprint_10m</x:v>
      </x:c>
      <x:c r="E651" t="str">
        <x:v>10m Sprint</x:v>
      </x:c>
      <x:c r="F651" t="str">
        <x:v>Acceleration</x:v>
      </x:c>
      <x:c r="G651" t="n">
        <x:v>1.63</x:v>
      </x:c>
      <x:c r="H651" t="str">
        <x:v>sec</x:v>
      </x:c>
      <x:c r="I651" t="str">
        <x:v>lower</x:v>
      </x:c>
    </x:row>
    <x:row r="652" ht="15.75" customHeight="1">
      <x:c r="A652" t="str">
        <x:v>RVX-00028</x:v>
      </x:c>
      <x:c r="B652" t="n">
        <x:v>1</x:v>
      </x:c>
      <x:c r="C652" s="15" t="n">
        <x:v>46146</x:v>
      </x:c>
      <x:c r="D652" t="str">
        <x:v>pro_agility</x:v>
      </x:c>
      <x:c r="E652" t="str">
        <x:v>5-10-5 Pro Agility</x:v>
      </x:c>
      <x:c r="F652" t="str">
        <x:v>Agility</x:v>
      </x:c>
      <x:c r="G652" t="n">
        <x:v>4.05</x:v>
      </x:c>
      <x:c r="H652" t="str">
        <x:v>sec</x:v>
      </x:c>
      <x:c r="I652" t="str">
        <x:v>lower</x:v>
      </x:c>
    </x:row>
    <x:row r="653" ht="15.75" customHeight="1">
      <x:c r="A653" t="str">
        <x:v>RVX-00028</x:v>
      </x:c>
      <x:c r="B653" t="n">
        <x:v>1</x:v>
      </x:c>
      <x:c r="C653" s="15" t="n">
        <x:v>46146</x:v>
      </x:c>
      <x:c r="D653" t="str">
        <x:v>cmj_depth</x:v>
      </x:c>
      <x:c r="E653" t="str">
        <x:v>Countermovement Depth</x:v>
      </x:c>
      <x:c r="F653" t="str">
        <x:v>Movement</x:v>
      </x:c>
      <x:c r="G653" t="n">
        <x:v>35.6</x:v>
      </x:c>
      <x:c r="H653" t="str">
        <x:v>cm</x:v>
      </x:c>
      <x:c r="I653" t="str">
        <x:v>higher</x:v>
      </x:c>
    </x:row>
    <x:row r="654" ht="15.75" customHeight="1">
      <x:c r="A654" t="str">
        <x:v>RVX-00028</x:v>
      </x:c>
      <x:c r="B654" t="n">
        <x:v>1</x:v>
      </x:c>
      <x:c r="C654" s="15" t="n">
        <x:v>46146</x:v>
      </x:c>
      <x:c r="D654" t="str">
        <x:v>peak_force</x:v>
      </x:c>
      <x:c r="E654" t="str">
        <x:v>Peak Force</x:v>
      </x:c>
      <x:c r="F654" t="str">
        <x:v>Strength &amp; Power</x:v>
      </x:c>
      <x:c r="G654" t="n">
        <x:v>2137</x:v>
      </x:c>
      <x:c r="H654" t="str">
        <x:v>N</x:v>
      </x:c>
      <x:c r="I654" t="str">
        <x:v>higher</x:v>
      </x:c>
    </x:row>
    <x:row r="655" ht="15.75" customHeight="1">
      <x:c r="A655" t="str">
        <x:v>RVX-00028</x:v>
      </x:c>
      <x:c r="B655" t="n">
        <x:v>1</x:v>
      </x:c>
      <x:c r="C655" s="15" t="n">
        <x:v>46146</x:v>
      </x:c>
      <x:c r="D655" t="str">
        <x:v>impulse</x:v>
      </x:c>
      <x:c r="E655" t="str">
        <x:v>Impulse-Momentum</x:v>
      </x:c>
      <x:c r="F655" t="str">
        <x:v>Strength &amp; Power</x:v>
      </x:c>
      <x:c r="G655" t="n">
        <x:v>256.9</x:v>
      </x:c>
      <x:c r="H655" t="str">
        <x:v>Ns</x:v>
      </x:c>
      <x:c r="I655" t="str">
        <x:v>higher</x:v>
      </x:c>
    </x:row>
    <x:row r="656" ht="15.75" customHeight="1">
      <x:c r="A656" t="str">
        <x:v>RVX-00028</x:v>
      </x:c>
      <x:c r="B656" t="n">
        <x:v>2</x:v>
      </x:c>
      <x:c r="C656" s="15" t="n">
        <x:v>46174</x:v>
      </x:c>
      <x:c r="D656" t="str">
        <x:v>sprint_5m</x:v>
      </x:c>
      <x:c r="E656" t="str">
        <x:v>5m Sprint</x:v>
      </x:c>
      <x:c r="F656" t="str">
        <x:v>Acceleration</x:v>
      </x:c>
      <x:c r="G656" t="n">
        <x:v>0.95</x:v>
      </x:c>
      <x:c r="H656" t="str">
        <x:v>sec</x:v>
      </x:c>
      <x:c r="I656" t="str">
        <x:v>lower</x:v>
      </x:c>
    </x:row>
    <x:row r="657" ht="15.75" customHeight="1">
      <x:c r="A657" t="str">
        <x:v>RVX-00028</x:v>
      </x:c>
      <x:c r="B657" t="n">
        <x:v>2</x:v>
      </x:c>
      <x:c r="C657" s="15" t="n">
        <x:v>46174</x:v>
      </x:c>
      <x:c r="D657" t="str">
        <x:v>sprint_10m</x:v>
      </x:c>
      <x:c r="E657" t="str">
        <x:v>10m Sprint</x:v>
      </x:c>
      <x:c r="F657" t="str">
        <x:v>Acceleration</x:v>
      </x:c>
      <x:c r="G657" t="n">
        <x:v>1.56</x:v>
      </x:c>
      <x:c r="H657" t="str">
        <x:v>sec</x:v>
      </x:c>
      <x:c r="I657" t="str">
        <x:v>lower</x:v>
      </x:c>
    </x:row>
    <x:row r="658" ht="15.75" customHeight="1">
      <x:c r="A658" t="str">
        <x:v>RVX-00028</x:v>
      </x:c>
      <x:c r="B658" t="n">
        <x:v>2</x:v>
      </x:c>
      <x:c r="C658" s="15" t="n">
        <x:v>46174</x:v>
      </x:c>
      <x:c r="D658" t="str">
        <x:v>pro_agility</x:v>
      </x:c>
      <x:c r="E658" t="str">
        <x:v>5-10-5 Pro Agility</x:v>
      </x:c>
      <x:c r="F658" t="str">
        <x:v>Agility</x:v>
      </x:c>
      <x:c r="G658" t="n">
        <x:v>3.97</x:v>
      </x:c>
      <x:c r="H658" t="str">
        <x:v>sec</x:v>
      </x:c>
      <x:c r="I658" t="str">
        <x:v>lower</x:v>
      </x:c>
    </x:row>
    <x:row r="659" ht="15.75" customHeight="1">
      <x:c r="A659" t="str">
        <x:v>RVX-00028</x:v>
      </x:c>
      <x:c r="B659" t="n">
        <x:v>2</x:v>
      </x:c>
      <x:c r="C659" s="15" t="n">
        <x:v>46174</x:v>
      </x:c>
      <x:c r="D659" t="str">
        <x:v>cmj_depth</x:v>
      </x:c>
      <x:c r="E659" t="str">
        <x:v>Countermovement Depth</x:v>
      </x:c>
      <x:c r="F659" t="str">
        <x:v>Movement</x:v>
      </x:c>
      <x:c r="G659" t="n">
        <x:v>37.3</x:v>
      </x:c>
      <x:c r="H659" t="str">
        <x:v>cm</x:v>
      </x:c>
      <x:c r="I659" t="str">
        <x:v>higher</x:v>
      </x:c>
    </x:row>
    <x:row r="660" ht="15.75" customHeight="1">
      <x:c r="A660" t="str">
        <x:v>RVX-00028</x:v>
      </x:c>
      <x:c r="B660" t="n">
        <x:v>2</x:v>
      </x:c>
      <x:c r="C660" s="15" t="n">
        <x:v>46174</x:v>
      </x:c>
      <x:c r="D660" t="str">
        <x:v>peak_force</x:v>
      </x:c>
      <x:c r="E660" t="str">
        <x:v>Peak Force</x:v>
      </x:c>
      <x:c r="F660" t="str">
        <x:v>Strength &amp; Power</x:v>
      </x:c>
      <x:c r="G660" t="n">
        <x:v>2121</x:v>
      </x:c>
      <x:c r="H660" t="str">
        <x:v>N</x:v>
      </x:c>
      <x:c r="I660" t="str">
        <x:v>higher</x:v>
      </x:c>
    </x:row>
    <x:row r="661" ht="15.75" customHeight="1">
      <x:c r="A661" t="str">
        <x:v>RVX-00028</x:v>
      </x:c>
      <x:c r="B661" t="n">
        <x:v>2</x:v>
      </x:c>
      <x:c r="C661" s="15" t="n">
        <x:v>46174</x:v>
      </x:c>
      <x:c r="D661" t="str">
        <x:v>impulse</x:v>
      </x:c>
      <x:c r="E661" t="str">
        <x:v>Impulse-Momentum</x:v>
      </x:c>
      <x:c r="F661" t="str">
        <x:v>Strength &amp; Power</x:v>
      </x:c>
      <x:c r="G661" t="n">
        <x:v>264.7</x:v>
      </x:c>
      <x:c r="H661" t="str">
        <x:v>Ns</x:v>
      </x:c>
      <x:c r="I661" t="str">
        <x:v>higher</x:v>
      </x:c>
    </x:row>
    <x:row r="662" ht="15.75" customHeight="1">
      <x:c r="A662" t="str">
        <x:v>RVX-00028</x:v>
      </x:c>
      <x:c r="B662" t="n">
        <x:v>3</x:v>
      </x:c>
      <x:c r="C662" s="15" t="n">
        <x:v>46202</x:v>
      </x:c>
      <x:c r="D662" t="str">
        <x:v>sprint_5m</x:v>
      </x:c>
      <x:c r="E662" t="str">
        <x:v>5m Sprint</x:v>
      </x:c>
      <x:c r="F662" t="str">
        <x:v>Acceleration</x:v>
      </x:c>
      <x:c r="G662" t="n">
        <x:v>0.93</x:v>
      </x:c>
      <x:c r="H662" t="str">
        <x:v>sec</x:v>
      </x:c>
      <x:c r="I662" t="str">
        <x:v>lower</x:v>
      </x:c>
    </x:row>
    <x:row r="663" ht="15.75" customHeight="1">
      <x:c r="A663" t="str">
        <x:v>RVX-00028</x:v>
      </x:c>
      <x:c r="B663" t="n">
        <x:v>3</x:v>
      </x:c>
      <x:c r="C663" s="15" t="n">
        <x:v>46202</x:v>
      </x:c>
      <x:c r="D663" t="str">
        <x:v>sprint_10m</x:v>
      </x:c>
      <x:c r="E663" t="str">
        <x:v>10m Sprint</x:v>
      </x:c>
      <x:c r="F663" t="str">
        <x:v>Acceleration</x:v>
      </x:c>
      <x:c r="G663" t="n">
        <x:v>1.59</x:v>
      </x:c>
      <x:c r="H663" t="str">
        <x:v>sec</x:v>
      </x:c>
      <x:c r="I663" t="str">
        <x:v>lower</x:v>
      </x:c>
    </x:row>
    <x:row r="664" ht="15.75" customHeight="1">
      <x:c r="A664" t="str">
        <x:v>RVX-00028</x:v>
      </x:c>
      <x:c r="B664" t="n">
        <x:v>3</x:v>
      </x:c>
      <x:c r="C664" s="15" t="n">
        <x:v>46202</x:v>
      </x:c>
      <x:c r="D664" t="str">
        <x:v>pro_agility</x:v>
      </x:c>
      <x:c r="E664" t="str">
        <x:v>5-10-5 Pro Agility</x:v>
      </x:c>
      <x:c r="F664" t="str">
        <x:v>Agility</x:v>
      </x:c>
      <x:c r="G664" t="n">
        <x:v>3.92</x:v>
      </x:c>
      <x:c r="H664" t="str">
        <x:v>sec</x:v>
      </x:c>
      <x:c r="I664" t="str">
        <x:v>lower</x:v>
      </x:c>
    </x:row>
    <x:row r="665" ht="15.75" customHeight="1">
      <x:c r="A665" t="str">
        <x:v>RVX-00028</x:v>
      </x:c>
      <x:c r="B665" t="n">
        <x:v>3</x:v>
      </x:c>
      <x:c r="C665" s="15" t="n">
        <x:v>46202</x:v>
      </x:c>
      <x:c r="D665" t="str">
        <x:v>cmj_depth</x:v>
      </x:c>
      <x:c r="E665" t="str">
        <x:v>Countermovement Depth</x:v>
      </x:c>
      <x:c r="F665" t="str">
        <x:v>Movement</x:v>
      </x:c>
      <x:c r="G665" t="n">
        <x:v>37.4</x:v>
      </x:c>
      <x:c r="H665" t="str">
        <x:v>cm</x:v>
      </x:c>
      <x:c r="I665" t="str">
        <x:v>higher</x:v>
      </x:c>
    </x:row>
    <x:row r="666" ht="15.75" customHeight="1">
      <x:c r="A666" t="str">
        <x:v>RVX-00028</x:v>
      </x:c>
      <x:c r="B666" t="n">
        <x:v>3</x:v>
      </x:c>
      <x:c r="C666" s="15" t="n">
        <x:v>46202</x:v>
      </x:c>
      <x:c r="D666" t="str">
        <x:v>peak_force</x:v>
      </x:c>
      <x:c r="E666" t="str">
        <x:v>Peak Force</x:v>
      </x:c>
      <x:c r="F666" t="str">
        <x:v>Strength &amp; Power</x:v>
      </x:c>
      <x:c r="G666" t="n">
        <x:v>2214</x:v>
      </x:c>
      <x:c r="H666" t="str">
        <x:v>N</x:v>
      </x:c>
      <x:c r="I666" t="str">
        <x:v>higher</x:v>
      </x:c>
    </x:row>
    <x:row r="667" ht="15.75" customHeight="1">
      <x:c r="A667" t="str">
        <x:v>RVX-00028</x:v>
      </x:c>
      <x:c r="B667" t="n">
        <x:v>3</x:v>
      </x:c>
      <x:c r="C667" s="15" t="n">
        <x:v>46202</x:v>
      </x:c>
      <x:c r="D667" t="str">
        <x:v>impulse</x:v>
      </x:c>
      <x:c r="E667" t="str">
        <x:v>Impulse-Momentum</x:v>
      </x:c>
      <x:c r="F667" t="str">
        <x:v>Strength &amp; Power</x:v>
      </x:c>
      <x:c r="G667" t="n">
        <x:v>273</x:v>
      </x:c>
      <x:c r="H667" t="str">
        <x:v>Ns</x:v>
      </x:c>
      <x:c r="I667" t="str">
        <x:v>higher</x:v>
      </x:c>
    </x:row>
    <x:row r="668" ht="15.75" customHeight="1">
      <x:c r="A668" t="str">
        <x:v>RVX-00028</x:v>
      </x:c>
      <x:c r="B668" t="n">
        <x:v>4</x:v>
      </x:c>
      <x:c r="C668" s="15" t="n">
        <x:v>46230</x:v>
      </x:c>
      <x:c r="D668" t="str">
        <x:v>sprint_5m</x:v>
      </x:c>
      <x:c r="E668" t="str">
        <x:v>5m Sprint</x:v>
      </x:c>
      <x:c r="F668" t="str">
        <x:v>Acceleration</x:v>
      </x:c>
      <x:c r="G668" t="n">
        <x:v>0.93</x:v>
      </x:c>
      <x:c r="H668" t="str">
        <x:v>sec</x:v>
      </x:c>
      <x:c r="I668" t="str">
        <x:v>lower</x:v>
      </x:c>
    </x:row>
    <x:row r="669" ht="15.75" customHeight="1">
      <x:c r="A669" t="str">
        <x:v>RVX-00028</x:v>
      </x:c>
      <x:c r="B669" t="n">
        <x:v>4</x:v>
      </x:c>
      <x:c r="C669" s="15" t="n">
        <x:v>46230</x:v>
      </x:c>
      <x:c r="D669" t="str">
        <x:v>sprint_10m</x:v>
      </x:c>
      <x:c r="E669" t="str">
        <x:v>10m Sprint</x:v>
      </x:c>
      <x:c r="F669" t="str">
        <x:v>Acceleration</x:v>
      </x:c>
      <x:c r="G669" t="n">
        <x:v>1.48</x:v>
      </x:c>
      <x:c r="H669" t="str">
        <x:v>sec</x:v>
      </x:c>
      <x:c r="I669" t="str">
        <x:v>lower</x:v>
      </x:c>
    </x:row>
    <x:row r="670" ht="15.75" customHeight="1">
      <x:c r="A670" t="str">
        <x:v>RVX-00028</x:v>
      </x:c>
      <x:c r="B670" t="n">
        <x:v>4</x:v>
      </x:c>
      <x:c r="C670" s="15" t="n">
        <x:v>46230</x:v>
      </x:c>
      <x:c r="D670" t="str">
        <x:v>pro_agility</x:v>
      </x:c>
      <x:c r="E670" t="str">
        <x:v>5-10-5 Pro Agility</x:v>
      </x:c>
      <x:c r="F670" t="str">
        <x:v>Agility</x:v>
      </x:c>
      <x:c r="G670" t="n">
        <x:v>3.84</x:v>
      </x:c>
      <x:c r="H670" t="str">
        <x:v>sec</x:v>
      </x:c>
      <x:c r="I670" t="str">
        <x:v>lower</x:v>
      </x:c>
    </x:row>
    <x:row r="671" ht="15.75" customHeight="1">
      <x:c r="A671" t="str">
        <x:v>RVX-00028</x:v>
      </x:c>
      <x:c r="B671" t="n">
        <x:v>4</x:v>
      </x:c>
      <x:c r="C671" s="15" t="n">
        <x:v>46230</x:v>
      </x:c>
      <x:c r="D671" t="str">
        <x:v>cmj_depth</x:v>
      </x:c>
      <x:c r="E671" t="str">
        <x:v>Countermovement Depth</x:v>
      </x:c>
      <x:c r="F671" t="str">
        <x:v>Movement</x:v>
      </x:c>
      <x:c r="G671" t="n">
        <x:v>38.7</x:v>
      </x:c>
      <x:c r="H671" t="str">
        <x:v>cm</x:v>
      </x:c>
      <x:c r="I671" t="str">
        <x:v>higher</x:v>
      </x:c>
    </x:row>
    <x:row r="672" ht="15.75" customHeight="1">
      <x:c r="A672" t="str">
        <x:v>RVX-00028</x:v>
      </x:c>
      <x:c r="B672" t="n">
        <x:v>4</x:v>
      </x:c>
      <x:c r="C672" s="15" t="n">
        <x:v>46230</x:v>
      </x:c>
      <x:c r="D672" t="str">
        <x:v>peak_force</x:v>
      </x:c>
      <x:c r="E672" t="str">
        <x:v>Peak Force</x:v>
      </x:c>
      <x:c r="F672" t="str">
        <x:v>Strength &amp; Power</x:v>
      </x:c>
      <x:c r="G672" t="n">
        <x:v>2195</x:v>
      </x:c>
      <x:c r="H672" t="str">
        <x:v>N</x:v>
      </x:c>
      <x:c r="I672" t="str">
        <x:v>higher</x:v>
      </x:c>
    </x:row>
    <x:row r="673" ht="15.75" customHeight="1">
      <x:c r="A673" t="str">
        <x:v>RVX-00028</x:v>
      </x:c>
      <x:c r="B673" t="n">
        <x:v>4</x:v>
      </x:c>
      <x:c r="C673" s="15" t="n">
        <x:v>46230</x:v>
      </x:c>
      <x:c r="D673" t="str">
        <x:v>impulse</x:v>
      </x:c>
      <x:c r="E673" t="str">
        <x:v>Impulse-Momentum</x:v>
      </x:c>
      <x:c r="F673" t="str">
        <x:v>Strength &amp; Power</x:v>
      </x:c>
      <x:c r="G673" t="n">
        <x:v>269.6</x:v>
      </x:c>
      <x:c r="H673" t="str">
        <x:v>Ns</x:v>
      </x:c>
      <x:c r="I673" t="str">
        <x:v>higher</x:v>
      </x:c>
    </x:row>
    <x:row r="674" ht="15.75" customHeight="1">
      <x:c r="A674" t="str">
        <x:v>RVX-00029</x:v>
      </x:c>
      <x:c r="B674" t="n">
        <x:v>1</x:v>
      </x:c>
      <x:c r="C674" s="15" t="n">
        <x:v>46146</x:v>
      </x:c>
      <x:c r="D674" t="str">
        <x:v>sprint_5m</x:v>
      </x:c>
      <x:c r="E674" t="str">
        <x:v>5m Sprint</x:v>
      </x:c>
      <x:c r="F674" t="str">
        <x:v>Acceleration</x:v>
      </x:c>
      <x:c r="G674" t="n">
        <x:v>1.13</x:v>
      </x:c>
      <x:c r="H674" t="str">
        <x:v>sec</x:v>
      </x:c>
      <x:c r="I674" t="str">
        <x:v>lower</x:v>
      </x:c>
    </x:row>
    <x:row r="675" ht="15.75" customHeight="1">
      <x:c r="A675" t="str">
        <x:v>RVX-00029</x:v>
      </x:c>
      <x:c r="B675" t="n">
        <x:v>1</x:v>
      </x:c>
      <x:c r="C675" s="15" t="n">
        <x:v>46146</x:v>
      </x:c>
      <x:c r="D675" t="str">
        <x:v>sprint_10m</x:v>
      </x:c>
      <x:c r="E675" t="str">
        <x:v>10m Sprint</x:v>
      </x:c>
      <x:c r="F675" t="str">
        <x:v>Acceleration</x:v>
      </x:c>
      <x:c r="G675" t="n">
        <x:v>1.88</x:v>
      </x:c>
      <x:c r="H675" t="str">
        <x:v>sec</x:v>
      </x:c>
      <x:c r="I675" t="str">
        <x:v>lower</x:v>
      </x:c>
    </x:row>
    <x:row r="676" ht="15.75" customHeight="1">
      <x:c r="A676" t="str">
        <x:v>RVX-00029</x:v>
      </x:c>
      <x:c r="B676" t="n">
        <x:v>1</x:v>
      </x:c>
      <x:c r="C676" s="15" t="n">
        <x:v>46146</x:v>
      </x:c>
      <x:c r="D676" t="str">
        <x:v>pro_agility</x:v>
      </x:c>
      <x:c r="E676" t="str">
        <x:v>5-10-5 Pro Agility</x:v>
      </x:c>
      <x:c r="F676" t="str">
        <x:v>Agility</x:v>
      </x:c>
      <x:c r="G676" t="n">
        <x:v>4.91</x:v>
      </x:c>
      <x:c r="H676" t="str">
        <x:v>sec</x:v>
      </x:c>
      <x:c r="I676" t="str">
        <x:v>lower</x:v>
      </x:c>
    </x:row>
    <x:row r="677" ht="15.75" customHeight="1">
      <x:c r="A677" t="str">
        <x:v>RVX-00029</x:v>
      </x:c>
      <x:c r="B677" t="n">
        <x:v>1</x:v>
      </x:c>
      <x:c r="C677" s="15" t="n">
        <x:v>46146</x:v>
      </x:c>
      <x:c r="D677" t="str">
        <x:v>cmj_depth</x:v>
      </x:c>
      <x:c r="E677" t="str">
        <x:v>Countermovement Depth</x:v>
      </x:c>
      <x:c r="F677" t="str">
        <x:v>Movement</x:v>
      </x:c>
      <x:c r="G677" t="n">
        <x:v>29.5</x:v>
      </x:c>
      <x:c r="H677" t="str">
        <x:v>cm</x:v>
      </x:c>
      <x:c r="I677" t="str">
        <x:v>higher</x:v>
      </x:c>
    </x:row>
    <x:row r="678" ht="15.75" customHeight="1">
      <x:c r="A678" t="str">
        <x:v>RVX-00029</x:v>
      </x:c>
      <x:c r="B678" t="n">
        <x:v>1</x:v>
      </x:c>
      <x:c r="C678" s="15" t="n">
        <x:v>46146</x:v>
      </x:c>
      <x:c r="D678" t="str">
        <x:v>peak_force</x:v>
      </x:c>
      <x:c r="E678" t="str">
        <x:v>Peak Force</x:v>
      </x:c>
      <x:c r="F678" t="str">
        <x:v>Strength &amp; Power</x:v>
      </x:c>
      <x:c r="G678" t="n">
        <x:v>1781</x:v>
      </x:c>
      <x:c r="H678" t="str">
        <x:v>N</x:v>
      </x:c>
      <x:c r="I678" t="str">
        <x:v>higher</x:v>
      </x:c>
    </x:row>
    <x:row r="679" ht="15.75" customHeight="1">
      <x:c r="A679" t="str">
        <x:v>RVX-00029</x:v>
      </x:c>
      <x:c r="B679" t="n">
        <x:v>1</x:v>
      </x:c>
      <x:c r="C679" s="15" t="n">
        <x:v>46146</x:v>
      </x:c>
      <x:c r="D679" t="str">
        <x:v>impulse</x:v>
      </x:c>
      <x:c r="E679" t="str">
        <x:v>Impulse-Momentum</x:v>
      </x:c>
      <x:c r="F679" t="str">
        <x:v>Strength &amp; Power</x:v>
      </x:c>
      <x:c r="G679" t="n">
        <x:v>210</x:v>
      </x:c>
      <x:c r="H679" t="str">
        <x:v>Ns</x:v>
      </x:c>
      <x:c r="I679" t="str">
        <x:v>higher</x:v>
      </x:c>
    </x:row>
    <x:row r="680" ht="15.75" customHeight="1">
      <x:c r="A680" t="str">
        <x:v>RVX-00029</x:v>
      </x:c>
      <x:c r="B680" t="n">
        <x:v>2</x:v>
      </x:c>
      <x:c r="C680" s="15" t="n">
        <x:v>46174</x:v>
      </x:c>
      <x:c r="D680" t="str">
        <x:v>sprint_5m</x:v>
      </x:c>
      <x:c r="E680" t="str">
        <x:v>5m Sprint</x:v>
      </x:c>
      <x:c r="F680" t="str">
        <x:v>Acceleration</x:v>
      </x:c>
      <x:c r="G680" t="n">
        <x:v>1.12</x:v>
      </x:c>
      <x:c r="H680" t="str">
        <x:v>sec</x:v>
      </x:c>
      <x:c r="I680" t="str">
        <x:v>lower</x:v>
      </x:c>
    </x:row>
    <x:row r="681" ht="15.75" customHeight="1">
      <x:c r="A681" t="str">
        <x:v>RVX-00029</x:v>
      </x:c>
      <x:c r="B681" t="n">
        <x:v>2</x:v>
      </x:c>
      <x:c r="C681" s="15" t="n">
        <x:v>46174</x:v>
      </x:c>
      <x:c r="D681" t="str">
        <x:v>sprint_10m</x:v>
      </x:c>
      <x:c r="E681" t="str">
        <x:v>10m Sprint</x:v>
      </x:c>
      <x:c r="F681" t="str">
        <x:v>Acceleration</x:v>
      </x:c>
      <x:c r="G681" t="n">
        <x:v>1.87</x:v>
      </x:c>
      <x:c r="H681" t="str">
        <x:v>sec</x:v>
      </x:c>
      <x:c r="I681" t="str">
        <x:v>lower</x:v>
      </x:c>
    </x:row>
    <x:row r="682" ht="15.75" customHeight="1">
      <x:c r="A682" t="str">
        <x:v>RVX-00029</x:v>
      </x:c>
      <x:c r="B682" t="n">
        <x:v>2</x:v>
      </x:c>
      <x:c r="C682" s="15" t="n">
        <x:v>46174</x:v>
      </x:c>
      <x:c r="D682" t="str">
        <x:v>pro_agility</x:v>
      </x:c>
      <x:c r="E682" t="str">
        <x:v>5-10-5 Pro Agility</x:v>
      </x:c>
      <x:c r="F682" t="str">
        <x:v>Agility</x:v>
      </x:c>
      <x:c r="G682" t="n">
        <x:v>4.67</x:v>
      </x:c>
      <x:c r="H682" t="str">
        <x:v>sec</x:v>
      </x:c>
      <x:c r="I682" t="str">
        <x:v>lower</x:v>
      </x:c>
    </x:row>
    <x:row r="683" ht="15.75" customHeight="1">
      <x:c r="A683" t="str">
        <x:v>RVX-00029</x:v>
      </x:c>
      <x:c r="B683" t="n">
        <x:v>2</x:v>
      </x:c>
      <x:c r="C683" s="15" t="n">
        <x:v>46174</x:v>
      </x:c>
      <x:c r="D683" t="str">
        <x:v>cmj_depth</x:v>
      </x:c>
      <x:c r="E683" t="str">
        <x:v>Countermovement Depth</x:v>
      </x:c>
      <x:c r="F683" t="str">
        <x:v>Movement</x:v>
      </x:c>
      <x:c r="G683" t="n">
        <x:v>30.8</x:v>
      </x:c>
      <x:c r="H683" t="str">
        <x:v>cm</x:v>
      </x:c>
      <x:c r="I683" t="str">
        <x:v>higher</x:v>
      </x:c>
    </x:row>
    <x:row r="684" ht="15.75" customHeight="1">
      <x:c r="A684" t="str">
        <x:v>RVX-00029</x:v>
      </x:c>
      <x:c r="B684" t="n">
        <x:v>2</x:v>
      </x:c>
      <x:c r="C684" s="15" t="n">
        <x:v>46174</x:v>
      </x:c>
      <x:c r="D684" t="str">
        <x:v>peak_force</x:v>
      </x:c>
      <x:c r="E684" t="str">
        <x:v>Peak Force</x:v>
      </x:c>
      <x:c r="F684" t="str">
        <x:v>Strength &amp; Power</x:v>
      </x:c>
      <x:c r="G684" t="n">
        <x:v>1805</x:v>
      </x:c>
      <x:c r="H684" t="str">
        <x:v>N</x:v>
      </x:c>
      <x:c r="I684" t="str">
        <x:v>higher</x:v>
      </x:c>
    </x:row>
    <x:row r="685" ht="15.75" customHeight="1">
      <x:c r="A685" t="str">
        <x:v>RVX-00029</x:v>
      </x:c>
      <x:c r="B685" t="n">
        <x:v>2</x:v>
      </x:c>
      <x:c r="C685" s="15" t="n">
        <x:v>46174</x:v>
      </x:c>
      <x:c r="D685" t="str">
        <x:v>impulse</x:v>
      </x:c>
      <x:c r="E685" t="str">
        <x:v>Impulse-Momentum</x:v>
      </x:c>
      <x:c r="F685" t="str">
        <x:v>Strength &amp; Power</x:v>
      </x:c>
      <x:c r="G685" t="n">
        <x:v>216.9</x:v>
      </x:c>
      <x:c r="H685" t="str">
        <x:v>Ns</x:v>
      </x:c>
      <x:c r="I685" t="str">
        <x:v>higher</x:v>
      </x:c>
    </x:row>
    <x:row r="686" ht="15.75" customHeight="1">
      <x:c r="A686" t="str">
        <x:v>RVX-00029</x:v>
      </x:c>
      <x:c r="B686" t="n">
        <x:v>3</x:v>
      </x:c>
      <x:c r="C686" s="15" t="n">
        <x:v>46202</x:v>
      </x:c>
      <x:c r="D686" t="str">
        <x:v>sprint_5m</x:v>
      </x:c>
      <x:c r="E686" t="str">
        <x:v>5m Sprint</x:v>
      </x:c>
      <x:c r="F686" t="str">
        <x:v>Acceleration</x:v>
      </x:c>
      <x:c r="G686" t="n">
        <x:v>1.06</x:v>
      </x:c>
      <x:c r="H686" t="str">
        <x:v>sec</x:v>
      </x:c>
      <x:c r="I686" t="str">
        <x:v>lower</x:v>
      </x:c>
    </x:row>
    <x:row r="687" ht="15.75" customHeight="1">
      <x:c r="A687" t="str">
        <x:v>RVX-00029</x:v>
      </x:c>
      <x:c r="B687" t="n">
        <x:v>3</x:v>
      </x:c>
      <x:c r="C687" s="15" t="n">
        <x:v>46202</x:v>
      </x:c>
      <x:c r="D687" t="str">
        <x:v>sprint_10m</x:v>
      </x:c>
      <x:c r="E687" t="str">
        <x:v>10m Sprint</x:v>
      </x:c>
      <x:c r="F687" t="str">
        <x:v>Acceleration</x:v>
      </x:c>
      <x:c r="G687" t="n">
        <x:v>1.82</x:v>
      </x:c>
      <x:c r="H687" t="str">
        <x:v>sec</x:v>
      </x:c>
      <x:c r="I687" t="str">
        <x:v>lower</x:v>
      </x:c>
    </x:row>
    <x:row r="688" ht="15.75" customHeight="1">
      <x:c r="A688" t="str">
        <x:v>RVX-00029</x:v>
      </x:c>
      <x:c r="B688" t="n">
        <x:v>3</x:v>
      </x:c>
      <x:c r="C688" s="15" t="n">
        <x:v>46202</x:v>
      </x:c>
      <x:c r="D688" t="str">
        <x:v>pro_agility</x:v>
      </x:c>
      <x:c r="E688" t="str">
        <x:v>5-10-5 Pro Agility</x:v>
      </x:c>
      <x:c r="F688" t="str">
        <x:v>Agility</x:v>
      </x:c>
      <x:c r="G688" t="n">
        <x:v>4.53</x:v>
      </x:c>
      <x:c r="H688" t="str">
        <x:v>sec</x:v>
      </x:c>
      <x:c r="I688" t="str">
        <x:v>lower</x:v>
      </x:c>
    </x:row>
    <x:row r="689" ht="15.75" customHeight="1">
      <x:c r="A689" t="str">
        <x:v>RVX-00029</x:v>
      </x:c>
      <x:c r="B689" t="n">
        <x:v>3</x:v>
      </x:c>
      <x:c r="C689" s="15" t="n">
        <x:v>46202</x:v>
      </x:c>
      <x:c r="D689" t="str">
        <x:v>cmj_depth</x:v>
      </x:c>
      <x:c r="E689" t="str">
        <x:v>Countermovement Depth</x:v>
      </x:c>
      <x:c r="F689" t="str">
        <x:v>Movement</x:v>
      </x:c>
      <x:c r="G689" t="n">
        <x:v>31.5</x:v>
      </x:c>
      <x:c r="H689" t="str">
        <x:v>cm</x:v>
      </x:c>
      <x:c r="I689" t="str">
        <x:v>higher</x:v>
      </x:c>
    </x:row>
    <x:row r="690" ht="15.75" customHeight="1">
      <x:c r="A690" t="str">
        <x:v>RVX-00029</x:v>
      </x:c>
      <x:c r="B690" t="n">
        <x:v>3</x:v>
      </x:c>
      <x:c r="C690" s="15" t="n">
        <x:v>46202</x:v>
      </x:c>
      <x:c r="D690" t="str">
        <x:v>peak_force</x:v>
      </x:c>
      <x:c r="E690" t="str">
        <x:v>Peak Force</x:v>
      </x:c>
      <x:c r="F690" t="str">
        <x:v>Strength &amp; Power</x:v>
      </x:c>
      <x:c r="G690" t="n">
        <x:v>1796</x:v>
      </x:c>
      <x:c r="H690" t="str">
        <x:v>N</x:v>
      </x:c>
      <x:c r="I690" t="str">
        <x:v>higher</x:v>
      </x:c>
    </x:row>
    <x:row r="691" ht="15.75" customHeight="1">
      <x:c r="A691" t="str">
        <x:v>RVX-00029</x:v>
      </x:c>
      <x:c r="B691" t="n">
        <x:v>3</x:v>
      </x:c>
      <x:c r="C691" s="15" t="n">
        <x:v>46202</x:v>
      </x:c>
      <x:c r="D691" t="str">
        <x:v>impulse</x:v>
      </x:c>
      <x:c r="E691" t="str">
        <x:v>Impulse-Momentum</x:v>
      </x:c>
      <x:c r="F691" t="str">
        <x:v>Strength &amp; Power</x:v>
      </x:c>
      <x:c r="G691" t="n">
        <x:v>226.3</x:v>
      </x:c>
      <x:c r="H691" t="str">
        <x:v>Ns</x:v>
      </x:c>
      <x:c r="I691" t="str">
        <x:v>higher</x:v>
      </x:c>
    </x:row>
    <x:row r="692" ht="15.75" customHeight="1">
      <x:c r="A692" t="str">
        <x:v>RVX-00029</x:v>
      </x:c>
      <x:c r="B692" t="n">
        <x:v>4</x:v>
      </x:c>
      <x:c r="C692" s="15" t="n">
        <x:v>46230</x:v>
      </x:c>
      <x:c r="D692" t="str">
        <x:v>sprint_5m</x:v>
      </x:c>
      <x:c r="E692" t="str">
        <x:v>5m Sprint</x:v>
      </x:c>
      <x:c r="F692" t="str">
        <x:v>Acceleration</x:v>
      </x:c>
      <x:c r="G692" t="n">
        <x:v>1.05</x:v>
      </x:c>
      <x:c r="H692" t="str">
        <x:v>sec</x:v>
      </x:c>
      <x:c r="I692" t="str">
        <x:v>lower</x:v>
      </x:c>
    </x:row>
    <x:row r="693" ht="15.75" customHeight="1">
      <x:c r="A693" t="str">
        <x:v>RVX-00029</x:v>
      </x:c>
      <x:c r="B693" t="n">
        <x:v>4</x:v>
      </x:c>
      <x:c r="C693" s="15" t="n">
        <x:v>46230</x:v>
      </x:c>
      <x:c r="D693" t="str">
        <x:v>sprint_10m</x:v>
      </x:c>
      <x:c r="E693" t="str">
        <x:v>10m Sprint</x:v>
      </x:c>
      <x:c r="F693" t="str">
        <x:v>Acceleration</x:v>
      </x:c>
      <x:c r="G693" t="n">
        <x:v>1.8</x:v>
      </x:c>
      <x:c r="H693" t="str">
        <x:v>sec</x:v>
      </x:c>
      <x:c r="I693" t="str">
        <x:v>lower</x:v>
      </x:c>
    </x:row>
    <x:row r="694" ht="15.75" customHeight="1">
      <x:c r="A694" t="str">
        <x:v>RVX-00029</x:v>
      </x:c>
      <x:c r="B694" t="n">
        <x:v>4</x:v>
      </x:c>
      <x:c r="C694" s="15" t="n">
        <x:v>46230</x:v>
      </x:c>
      <x:c r="D694" t="str">
        <x:v>pro_agility</x:v>
      </x:c>
      <x:c r="E694" t="str">
        <x:v>5-10-5 Pro Agility</x:v>
      </x:c>
      <x:c r="F694" t="str">
        <x:v>Agility</x:v>
      </x:c>
      <x:c r="G694" t="n">
        <x:v>4.61</x:v>
      </x:c>
      <x:c r="H694" t="str">
        <x:v>sec</x:v>
      </x:c>
      <x:c r="I694" t="str">
        <x:v>lower</x:v>
      </x:c>
    </x:row>
    <x:row r="695" ht="15.75" customHeight="1">
      <x:c r="A695" t="str">
        <x:v>RVX-00029</x:v>
      </x:c>
      <x:c r="B695" t="n">
        <x:v>4</x:v>
      </x:c>
      <x:c r="C695" s="15" t="n">
        <x:v>46230</x:v>
      </x:c>
      <x:c r="D695" t="str">
        <x:v>cmj_depth</x:v>
      </x:c>
      <x:c r="E695" t="str">
        <x:v>Countermovement Depth</x:v>
      </x:c>
      <x:c r="F695" t="str">
        <x:v>Movement</x:v>
      </x:c>
      <x:c r="G695" t="n">
        <x:v>31.3</x:v>
      </x:c>
      <x:c r="H695" t="str">
        <x:v>cm</x:v>
      </x:c>
      <x:c r="I695" t="str">
        <x:v>higher</x:v>
      </x:c>
    </x:row>
    <x:row r="696" ht="15.75" customHeight="1">
      <x:c r="A696" t="str">
        <x:v>RVX-00029</x:v>
      </x:c>
      <x:c r="B696" t="n">
        <x:v>4</x:v>
      </x:c>
      <x:c r="C696" s="15" t="n">
        <x:v>46230</x:v>
      </x:c>
      <x:c r="D696" t="str">
        <x:v>peak_force</x:v>
      </x:c>
      <x:c r="E696" t="str">
        <x:v>Peak Force</x:v>
      </x:c>
      <x:c r="F696" t="str">
        <x:v>Strength &amp; Power</x:v>
      </x:c>
      <x:c r="G696" t="n">
        <x:v>1811</x:v>
      </x:c>
      <x:c r="H696" t="str">
        <x:v>N</x:v>
      </x:c>
      <x:c r="I696" t="str">
        <x:v>higher</x:v>
      </x:c>
    </x:row>
    <x:row r="697" ht="15.75" customHeight="1">
      <x:c r="A697" t="str">
        <x:v>RVX-00029</x:v>
      </x:c>
      <x:c r="B697" t="n">
        <x:v>4</x:v>
      </x:c>
      <x:c r="C697" s="15" t="n">
        <x:v>46230</x:v>
      </x:c>
      <x:c r="D697" t="str">
        <x:v>impulse</x:v>
      </x:c>
      <x:c r="E697" t="str">
        <x:v>Impulse-Momentum</x:v>
      </x:c>
      <x:c r="F697" t="str">
        <x:v>Strength &amp; Power</x:v>
      </x:c>
      <x:c r="G697" t="n">
        <x:v>224.5</x:v>
      </x:c>
      <x:c r="H697" t="str">
        <x:v>Ns</x:v>
      </x:c>
      <x:c r="I697" t="str">
        <x:v>higher</x:v>
      </x:c>
    </x:row>
    <x:row r="698" ht="15.75" customHeight="1">
      <x:c r="A698" t="str">
        <x:v>RVX-00030</x:v>
      </x:c>
      <x:c r="B698" t="n">
        <x:v>1</x:v>
      </x:c>
      <x:c r="C698" s="15" t="n">
        <x:v>46146</x:v>
      </x:c>
      <x:c r="D698" t="str">
        <x:v>sprint_5m</x:v>
      </x:c>
      <x:c r="E698" t="str">
        <x:v>5m Sprint</x:v>
      </x:c>
      <x:c r="F698" t="str">
        <x:v>Acceleration</x:v>
      </x:c>
      <x:c r="G698" t="n">
        <x:v>1.2</x:v>
      </x:c>
      <x:c r="H698" t="str">
        <x:v>sec</x:v>
      </x:c>
      <x:c r="I698" t="str">
        <x:v>lower</x:v>
      </x:c>
    </x:row>
    <x:row r="699" ht="15.75" customHeight="1">
      <x:c r="A699" t="str">
        <x:v>RVX-00030</x:v>
      </x:c>
      <x:c r="B699" t="n">
        <x:v>1</x:v>
      </x:c>
      <x:c r="C699" s="15" t="n">
        <x:v>46146</x:v>
      </x:c>
      <x:c r="D699" t="str">
        <x:v>sprint_10m</x:v>
      </x:c>
      <x:c r="E699" t="str">
        <x:v>10m Sprint</x:v>
      </x:c>
      <x:c r="F699" t="str">
        <x:v>Acceleration</x:v>
      </x:c>
      <x:c r="G699" t="n">
        <x:v>1.98</x:v>
      </x:c>
      <x:c r="H699" t="str">
        <x:v>sec</x:v>
      </x:c>
      <x:c r="I699" t="str">
        <x:v>lower</x:v>
      </x:c>
    </x:row>
    <x:row r="700" ht="15.75" customHeight="1">
      <x:c r="A700" t="str">
        <x:v>RVX-00030</x:v>
      </x:c>
      <x:c r="B700" t="n">
        <x:v>1</x:v>
      </x:c>
      <x:c r="C700" s="15" t="n">
        <x:v>46146</x:v>
      </x:c>
      <x:c r="D700" t="str">
        <x:v>pro_agility</x:v>
      </x:c>
      <x:c r="E700" t="str">
        <x:v>5-10-5 Pro Agility</x:v>
      </x:c>
      <x:c r="F700" t="str">
        <x:v>Agility</x:v>
      </x:c>
      <x:c r="G700" t="n">
        <x:v>5.1</x:v>
      </x:c>
      <x:c r="H700" t="str">
        <x:v>sec</x:v>
      </x:c>
      <x:c r="I700" t="str">
        <x:v>lower</x:v>
      </x:c>
    </x:row>
    <x:row r="701" ht="15.75" customHeight="1">
      <x:c r="A701" t="str">
        <x:v>RVX-00030</x:v>
      </x:c>
      <x:c r="B701" t="n">
        <x:v>1</x:v>
      </x:c>
      <x:c r="C701" s="15" t="n">
        <x:v>46146</x:v>
      </x:c>
      <x:c r="D701" t="str">
        <x:v>cmj_depth</x:v>
      </x:c>
      <x:c r="E701" t="str">
        <x:v>Countermovement Depth</x:v>
      </x:c>
      <x:c r="F701" t="str">
        <x:v>Movement</x:v>
      </x:c>
      <x:c r="G701" t="n">
        <x:v>29.9</x:v>
      </x:c>
      <x:c r="H701" t="str">
        <x:v>cm</x:v>
      </x:c>
      <x:c r="I701" t="str">
        <x:v>higher</x:v>
      </x:c>
    </x:row>
    <x:row r="702" ht="15.75" customHeight="1">
      <x:c r="A702" t="str">
        <x:v>RVX-00030</x:v>
      </x:c>
      <x:c r="B702" t="n">
        <x:v>1</x:v>
      </x:c>
      <x:c r="C702" s="15" t="n">
        <x:v>46146</x:v>
      </x:c>
      <x:c r="D702" t="str">
        <x:v>peak_force</x:v>
      </x:c>
      <x:c r="E702" t="str">
        <x:v>Peak Force</x:v>
      </x:c>
      <x:c r="F702" t="str">
        <x:v>Strength &amp; Power</x:v>
      </x:c>
      <x:c r="G702" t="n">
        <x:v>1703</x:v>
      </x:c>
      <x:c r="H702" t="str">
        <x:v>N</x:v>
      </x:c>
      <x:c r="I702" t="str">
        <x:v>higher</x:v>
      </x:c>
    </x:row>
    <x:row r="703" ht="15.75" customHeight="1">
      <x:c r="A703" t="str">
        <x:v>RVX-00030</x:v>
      </x:c>
      <x:c r="B703" t="n">
        <x:v>1</x:v>
      </x:c>
      <x:c r="C703" s="15" t="n">
        <x:v>46146</x:v>
      </x:c>
      <x:c r="D703" t="str">
        <x:v>impulse</x:v>
      </x:c>
      <x:c r="E703" t="str">
        <x:v>Impulse-Momentum</x:v>
      </x:c>
      <x:c r="F703" t="str">
        <x:v>Strength &amp; Power</x:v>
      </x:c>
      <x:c r="G703" t="n">
        <x:v>211.6</x:v>
      </x:c>
      <x:c r="H703" t="str">
        <x:v>Ns</x:v>
      </x:c>
      <x:c r="I703" t="str">
        <x:v>higher</x:v>
      </x:c>
    </x:row>
    <x:row r="704" ht="15.75" customHeight="1">
      <x:c r="A704" t="str">
        <x:v>RVX-00030</x:v>
      </x:c>
      <x:c r="B704" t="n">
        <x:v>2</x:v>
      </x:c>
      <x:c r="C704" s="15" t="n">
        <x:v>46174</x:v>
      </x:c>
      <x:c r="D704" t="str">
        <x:v>sprint_5m</x:v>
      </x:c>
      <x:c r="E704" t="str">
        <x:v>5m Sprint</x:v>
      </x:c>
      <x:c r="F704" t="str">
        <x:v>Acceleration</x:v>
      </x:c>
      <x:c r="G704" t="n">
        <x:v>1.16</x:v>
      </x:c>
      <x:c r="H704" t="str">
        <x:v>sec</x:v>
      </x:c>
      <x:c r="I704" t="str">
        <x:v>lower</x:v>
      </x:c>
    </x:row>
    <x:row r="705" ht="15.75" customHeight="1">
      <x:c r="A705" t="str">
        <x:v>RVX-00030</x:v>
      </x:c>
      <x:c r="B705" t="n">
        <x:v>2</x:v>
      </x:c>
      <x:c r="C705" s="15" t="n">
        <x:v>46174</x:v>
      </x:c>
      <x:c r="D705" t="str">
        <x:v>sprint_10m</x:v>
      </x:c>
      <x:c r="E705" t="str">
        <x:v>10m Sprint</x:v>
      </x:c>
      <x:c r="F705" t="str">
        <x:v>Acceleration</x:v>
      </x:c>
      <x:c r="G705" t="n">
        <x:v>1.97</x:v>
      </x:c>
      <x:c r="H705" t="str">
        <x:v>sec</x:v>
      </x:c>
      <x:c r="I705" t="str">
        <x:v>lower</x:v>
      </x:c>
    </x:row>
    <x:row r="706" ht="15.75" customHeight="1">
      <x:c r="A706" t="str">
        <x:v>RVX-00030</x:v>
      </x:c>
      <x:c r="B706" t="n">
        <x:v>2</x:v>
      </x:c>
      <x:c r="C706" s="15" t="n">
        <x:v>46174</x:v>
      </x:c>
      <x:c r="D706" t="str">
        <x:v>pro_agility</x:v>
      </x:c>
      <x:c r="E706" t="str">
        <x:v>5-10-5 Pro Agility</x:v>
      </x:c>
      <x:c r="F706" t="str">
        <x:v>Agility</x:v>
      </x:c>
      <x:c r="G706" t="n">
        <x:v>4.99</x:v>
      </x:c>
      <x:c r="H706" t="str">
        <x:v>sec</x:v>
      </x:c>
      <x:c r="I706" t="str">
        <x:v>lower</x:v>
      </x:c>
    </x:row>
    <x:row r="707" ht="15.75" customHeight="1">
      <x:c r="A707" t="str">
        <x:v>RVX-00030</x:v>
      </x:c>
      <x:c r="B707" t="n">
        <x:v>2</x:v>
      </x:c>
      <x:c r="C707" s="15" t="n">
        <x:v>46174</x:v>
      </x:c>
      <x:c r="D707" t="str">
        <x:v>cmj_depth</x:v>
      </x:c>
      <x:c r="E707" t="str">
        <x:v>Countermovement Depth</x:v>
      </x:c>
      <x:c r="F707" t="str">
        <x:v>Movement</x:v>
      </x:c>
      <x:c r="G707" t="n">
        <x:v>31.1</x:v>
      </x:c>
      <x:c r="H707" t="str">
        <x:v>cm</x:v>
      </x:c>
      <x:c r="I707" t="str">
        <x:v>higher</x:v>
      </x:c>
    </x:row>
    <x:row r="708" ht="15.75" customHeight="1">
      <x:c r="A708" t="str">
        <x:v>RVX-00030</x:v>
      </x:c>
      <x:c r="B708" t="n">
        <x:v>2</x:v>
      </x:c>
      <x:c r="C708" s="15" t="n">
        <x:v>46174</x:v>
      </x:c>
      <x:c r="D708" t="str">
        <x:v>peak_force</x:v>
      </x:c>
      <x:c r="E708" t="str">
        <x:v>Peak Force</x:v>
      </x:c>
      <x:c r="F708" t="str">
        <x:v>Strength &amp; Power</x:v>
      </x:c>
      <x:c r="G708" t="n">
        <x:v>1732</x:v>
      </x:c>
      <x:c r="H708" t="str">
        <x:v>N</x:v>
      </x:c>
      <x:c r="I708" t="str">
        <x:v>higher</x:v>
      </x:c>
    </x:row>
    <x:row r="709" ht="15.75" customHeight="1">
      <x:c r="A709" t="str">
        <x:v>RVX-00030</x:v>
      </x:c>
      <x:c r="B709" t="n">
        <x:v>2</x:v>
      </x:c>
      <x:c r="C709" s="15" t="n">
        <x:v>46174</x:v>
      </x:c>
      <x:c r="D709" t="str">
        <x:v>impulse</x:v>
      </x:c>
      <x:c r="E709" t="str">
        <x:v>Impulse-Momentum</x:v>
      </x:c>
      <x:c r="F709" t="str">
        <x:v>Strength &amp; Power</x:v>
      </x:c>
      <x:c r="G709" t="n">
        <x:v>214</x:v>
      </x:c>
      <x:c r="H709" t="str">
        <x:v>Ns</x:v>
      </x:c>
      <x:c r="I709" t="str">
        <x:v>higher</x:v>
      </x:c>
    </x:row>
    <x:row r="710" ht="15.75" customHeight="1">
      <x:c r="A710" t="str">
        <x:v>RVX-00030</x:v>
      </x:c>
      <x:c r="B710" t="n">
        <x:v>3</x:v>
      </x:c>
      <x:c r="C710" s="15" t="n">
        <x:v>46202</x:v>
      </x:c>
      <x:c r="D710" t="str">
        <x:v>sprint_5m</x:v>
      </x:c>
      <x:c r="E710" t="str">
        <x:v>5m Sprint</x:v>
      </x:c>
      <x:c r="F710" t="str">
        <x:v>Acceleration</x:v>
      </x:c>
      <x:c r="G710" t="n">
        <x:v>1.15</x:v>
      </x:c>
      <x:c r="H710" t="str">
        <x:v>sec</x:v>
      </x:c>
      <x:c r="I710" t="str">
        <x:v>lower</x:v>
      </x:c>
    </x:row>
    <x:row r="711" ht="15.75" customHeight="1">
      <x:c r="A711" t="str">
        <x:v>RVX-00030</x:v>
      </x:c>
      <x:c r="B711" t="n">
        <x:v>3</x:v>
      </x:c>
      <x:c r="C711" s="15" t="n">
        <x:v>46202</x:v>
      </x:c>
      <x:c r="D711" t="str">
        <x:v>sprint_10m</x:v>
      </x:c>
      <x:c r="E711" t="str">
        <x:v>10m Sprint</x:v>
      </x:c>
      <x:c r="F711" t="str">
        <x:v>Acceleration</x:v>
      </x:c>
      <x:c r="G711" t="n">
        <x:v>1.93</x:v>
      </x:c>
      <x:c r="H711" t="str">
        <x:v>sec</x:v>
      </x:c>
      <x:c r="I711" t="str">
        <x:v>lower</x:v>
      </x:c>
    </x:row>
    <x:row r="712" ht="15.75" customHeight="1">
      <x:c r="A712" t="str">
        <x:v>RVX-00030</x:v>
      </x:c>
      <x:c r="B712" t="n">
        <x:v>3</x:v>
      </x:c>
      <x:c r="C712" s="15" t="n">
        <x:v>46202</x:v>
      </x:c>
      <x:c r="D712" t="str">
        <x:v>pro_agility</x:v>
      </x:c>
      <x:c r="E712" t="str">
        <x:v>5-10-5 Pro Agility</x:v>
      </x:c>
      <x:c r="F712" t="str">
        <x:v>Agility</x:v>
      </x:c>
      <x:c r="G712" t="n">
        <x:v>4.93</x:v>
      </x:c>
      <x:c r="H712" t="str">
        <x:v>sec</x:v>
      </x:c>
      <x:c r="I712" t="str">
        <x:v>lower</x:v>
      </x:c>
    </x:row>
    <x:row r="713" ht="15.75" customHeight="1">
      <x:c r="A713" t="str">
        <x:v>RVX-00030</x:v>
      </x:c>
      <x:c r="B713" t="n">
        <x:v>3</x:v>
      </x:c>
      <x:c r="C713" s="15" t="n">
        <x:v>46202</x:v>
      </x:c>
      <x:c r="D713" t="str">
        <x:v>cmj_depth</x:v>
      </x:c>
      <x:c r="E713" t="str">
        <x:v>Countermovement Depth</x:v>
      </x:c>
      <x:c r="F713" t="str">
        <x:v>Movement</x:v>
      </x:c>
      <x:c r="G713" t="n">
        <x:v>30.4</x:v>
      </x:c>
      <x:c r="H713" t="str">
        <x:v>cm</x:v>
      </x:c>
      <x:c r="I713" t="str">
        <x:v>higher</x:v>
      </x:c>
    </x:row>
    <x:row r="714" ht="15.75" customHeight="1">
      <x:c r="A714" t="str">
        <x:v>RVX-00030</x:v>
      </x:c>
      <x:c r="B714" t="n">
        <x:v>3</x:v>
      </x:c>
      <x:c r="C714" s="15" t="n">
        <x:v>46202</x:v>
      </x:c>
      <x:c r="D714" t="str">
        <x:v>peak_force</x:v>
      </x:c>
      <x:c r="E714" t="str">
        <x:v>Peak Force</x:v>
      </x:c>
      <x:c r="F714" t="str">
        <x:v>Strength &amp; Power</x:v>
      </x:c>
      <x:c r="G714" t="n">
        <x:v>1784</x:v>
      </x:c>
      <x:c r="H714" t="str">
        <x:v>N</x:v>
      </x:c>
      <x:c r="I714" t="str">
        <x:v>higher</x:v>
      </x:c>
    </x:row>
    <x:row r="715" ht="15.75" customHeight="1">
      <x:c r="A715" t="str">
        <x:v>RVX-00030</x:v>
      </x:c>
      <x:c r="B715" t="n">
        <x:v>3</x:v>
      </x:c>
      <x:c r="C715" s="15" t="n">
        <x:v>46202</x:v>
      </x:c>
      <x:c r="D715" t="str">
        <x:v>impulse</x:v>
      </x:c>
      <x:c r="E715" t="str">
        <x:v>Impulse-Momentum</x:v>
      </x:c>
      <x:c r="F715" t="str">
        <x:v>Strength &amp; Power</x:v>
      </x:c>
      <x:c r="G715" t="n">
        <x:v>225.2</x:v>
      </x:c>
      <x:c r="H715" t="str">
        <x:v>Ns</x:v>
      </x:c>
      <x:c r="I715" t="str">
        <x:v>higher</x:v>
      </x:c>
    </x:row>
    <x:row r="716" ht="15.75" customHeight="1">
      <x:c r="A716" t="str">
        <x:v>RVX-00030</x:v>
      </x:c>
      <x:c r="B716" t="n">
        <x:v>4</x:v>
      </x:c>
      <x:c r="C716" s="15" t="n">
        <x:v>46230</x:v>
      </x:c>
      <x:c r="D716" t="str">
        <x:v>sprint_5m</x:v>
      </x:c>
      <x:c r="E716" t="str">
        <x:v>5m Sprint</x:v>
      </x:c>
      <x:c r="F716" t="str">
        <x:v>Acceleration</x:v>
      </x:c>
      <x:c r="G716" t="n">
        <x:v>1.12</x:v>
      </x:c>
      <x:c r="H716" t="str">
        <x:v>sec</x:v>
      </x:c>
      <x:c r="I716" t="str">
        <x:v>lower</x:v>
      </x:c>
    </x:row>
    <x:row r="717" ht="15.75" customHeight="1">
      <x:c r="A717" t="str">
        <x:v>RVX-00030</x:v>
      </x:c>
      <x:c r="B717" t="n">
        <x:v>4</x:v>
      </x:c>
      <x:c r="C717" s="15" t="n">
        <x:v>46230</x:v>
      </x:c>
      <x:c r="D717" t="str">
        <x:v>sprint_10m</x:v>
      </x:c>
      <x:c r="E717" t="str">
        <x:v>10m Sprint</x:v>
      </x:c>
      <x:c r="F717" t="str">
        <x:v>Acceleration</x:v>
      </x:c>
      <x:c r="G717" t="n">
        <x:v>1.93</x:v>
      </x:c>
      <x:c r="H717" t="str">
        <x:v>sec</x:v>
      </x:c>
      <x:c r="I717" t="str">
        <x:v>lower</x:v>
      </x:c>
    </x:row>
    <x:row r="718" ht="15.75" customHeight="1">
      <x:c r="A718" t="str">
        <x:v>RVX-00030</x:v>
      </x:c>
      <x:c r="B718" t="n">
        <x:v>4</x:v>
      </x:c>
      <x:c r="C718" s="15" t="n">
        <x:v>46230</x:v>
      </x:c>
      <x:c r="D718" t="str">
        <x:v>pro_agility</x:v>
      </x:c>
      <x:c r="E718" t="str">
        <x:v>5-10-5 Pro Agility</x:v>
      </x:c>
      <x:c r="F718" t="str">
        <x:v>Agility</x:v>
      </x:c>
      <x:c r="G718" t="n">
        <x:v>4.8</x:v>
      </x:c>
      <x:c r="H718" t="str">
        <x:v>sec</x:v>
      </x:c>
      <x:c r="I718" t="str">
        <x:v>lower</x:v>
      </x:c>
    </x:row>
    <x:row r="719" ht="15.75" customHeight="1">
      <x:c r="A719" t="str">
        <x:v>RVX-00030</x:v>
      </x:c>
      <x:c r="B719" t="n">
        <x:v>4</x:v>
      </x:c>
      <x:c r="C719" s="15" t="n">
        <x:v>46230</x:v>
      </x:c>
      <x:c r="D719" t="str">
        <x:v>cmj_depth</x:v>
      </x:c>
      <x:c r="E719" t="str">
        <x:v>Countermovement Depth</x:v>
      </x:c>
      <x:c r="F719" t="str">
        <x:v>Movement</x:v>
      </x:c>
      <x:c r="G719" t="n">
        <x:v>31.8</x:v>
      </x:c>
      <x:c r="H719" t="str">
        <x:v>cm</x:v>
      </x:c>
      <x:c r="I719" t="str">
        <x:v>higher</x:v>
      </x:c>
    </x:row>
    <x:row r="720" ht="15.75" customHeight="1">
      <x:c r="A720" t="str">
        <x:v>RVX-00030</x:v>
      </x:c>
      <x:c r="B720" t="n">
        <x:v>4</x:v>
      </x:c>
      <x:c r="C720" s="15" t="n">
        <x:v>46230</x:v>
      </x:c>
      <x:c r="D720" t="str">
        <x:v>peak_force</x:v>
      </x:c>
      <x:c r="E720" t="str">
        <x:v>Peak Force</x:v>
      </x:c>
      <x:c r="F720" t="str">
        <x:v>Strength &amp; Power</x:v>
      </x:c>
      <x:c r="G720" t="n">
        <x:v>1827</x:v>
      </x:c>
      <x:c r="H720" t="str">
        <x:v>N</x:v>
      </x:c>
      <x:c r="I720" t="str">
        <x:v>higher</x:v>
      </x:c>
    </x:row>
    <x:row r="721" ht="15.75" customHeight="1">
      <x:c r="A721" t="str">
        <x:v>RVX-00030</x:v>
      </x:c>
      <x:c r="B721" t="n">
        <x:v>4</x:v>
      </x:c>
      <x:c r="C721" s="15" t="n">
        <x:v>46230</x:v>
      </x:c>
      <x:c r="D721" t="str">
        <x:v>impulse</x:v>
      </x:c>
      <x:c r="E721" t="str">
        <x:v>Impulse-Momentum</x:v>
      </x:c>
      <x:c r="F721" t="str">
        <x:v>Strength &amp; Power</x:v>
      </x:c>
      <x:c r="G721" t="n">
        <x:v>229.6</x:v>
      </x:c>
      <x:c r="H721" t="str">
        <x:v>Ns</x:v>
      </x:c>
      <x:c r="I721" t="str">
        <x:v>higher</x:v>
      </x:c>
    </x:row>
    <x:row r="722" ht="15.75" customHeight="1">
      <x:c r="A722" t="str">
        <x:v>RVX-00031</x:v>
      </x:c>
      <x:c r="B722" t="n">
        <x:v>1</x:v>
      </x:c>
      <x:c r="C722" s="15" t="n">
        <x:v>46146</x:v>
      </x:c>
      <x:c r="D722" t="str">
        <x:v>sprint_5m</x:v>
      </x:c>
      <x:c r="E722" t="str">
        <x:v>5m Sprint</x:v>
      </x:c>
      <x:c r="F722" t="str">
        <x:v>Acceleration</x:v>
      </x:c>
      <x:c r="G722" t="n">
        <x:v>1.02</x:v>
      </x:c>
      <x:c r="H722" t="str">
        <x:v>sec</x:v>
      </x:c>
      <x:c r="I722" t="str">
        <x:v>lower</x:v>
      </x:c>
    </x:row>
    <x:row r="723" ht="15.75" customHeight="1">
      <x:c r="A723" t="str">
        <x:v>RVX-00031</x:v>
      </x:c>
      <x:c r="B723" t="n">
        <x:v>1</x:v>
      </x:c>
      <x:c r="C723" s="15" t="n">
        <x:v>46146</x:v>
      </x:c>
      <x:c r="D723" t="str">
        <x:v>sprint_10m</x:v>
      </x:c>
      <x:c r="E723" t="str">
        <x:v>10m Sprint</x:v>
      </x:c>
      <x:c r="F723" t="str">
        <x:v>Acceleration</x:v>
      </x:c>
      <x:c r="G723" t="n">
        <x:v>1.67</x:v>
      </x:c>
      <x:c r="H723" t="str">
        <x:v>sec</x:v>
      </x:c>
      <x:c r="I723" t="str">
        <x:v>lower</x:v>
      </x:c>
    </x:row>
    <x:row r="724" ht="15.75" customHeight="1">
      <x:c r="A724" t="str">
        <x:v>RVX-00031</x:v>
      </x:c>
      <x:c r="B724" t="n">
        <x:v>1</x:v>
      </x:c>
      <x:c r="C724" s="15" t="n">
        <x:v>46146</x:v>
      </x:c>
      <x:c r="D724" t="str">
        <x:v>pro_agility</x:v>
      </x:c>
      <x:c r="E724" t="str">
        <x:v>5-10-5 Pro Agility</x:v>
      </x:c>
      <x:c r="F724" t="str">
        <x:v>Agility</x:v>
      </x:c>
      <x:c r="G724" t="n">
        <x:v>4.39</x:v>
      </x:c>
      <x:c r="H724" t="str">
        <x:v>sec</x:v>
      </x:c>
      <x:c r="I724" t="str">
        <x:v>lower</x:v>
      </x:c>
    </x:row>
    <x:row r="725" ht="15.75" customHeight="1">
      <x:c r="A725" t="str">
        <x:v>RVX-00031</x:v>
      </x:c>
      <x:c r="B725" t="n">
        <x:v>1</x:v>
      </x:c>
      <x:c r="C725" s="15" t="n">
        <x:v>46146</x:v>
      </x:c>
      <x:c r="D725" t="str">
        <x:v>cmj_depth</x:v>
      </x:c>
      <x:c r="E725" t="str">
        <x:v>Countermovement Depth</x:v>
      </x:c>
      <x:c r="F725" t="str">
        <x:v>Movement</x:v>
      </x:c>
      <x:c r="G725" t="n">
        <x:v>33</x:v>
      </x:c>
      <x:c r="H725" t="str">
        <x:v>cm</x:v>
      </x:c>
      <x:c r="I725" t="str">
        <x:v>higher</x:v>
      </x:c>
    </x:row>
    <x:row r="726" ht="15.75" customHeight="1">
      <x:c r="A726" t="str">
        <x:v>RVX-00031</x:v>
      </x:c>
      <x:c r="B726" t="n">
        <x:v>1</x:v>
      </x:c>
      <x:c r="C726" s="15" t="n">
        <x:v>46146</x:v>
      </x:c>
      <x:c r="D726" t="str">
        <x:v>peak_force</x:v>
      </x:c>
      <x:c r="E726" t="str">
        <x:v>Peak Force</x:v>
      </x:c>
      <x:c r="F726" t="str">
        <x:v>Strength &amp; Power</x:v>
      </x:c>
      <x:c r="G726" t="n">
        <x:v>1882</x:v>
      </x:c>
      <x:c r="H726" t="str">
        <x:v>N</x:v>
      </x:c>
      <x:c r="I726" t="str">
        <x:v>higher</x:v>
      </x:c>
    </x:row>
    <x:row r="727" ht="15.75" customHeight="1">
      <x:c r="A727" t="str">
        <x:v>RVX-00031</x:v>
      </x:c>
      <x:c r="B727" t="n">
        <x:v>1</x:v>
      </x:c>
      <x:c r="C727" s="15" t="n">
        <x:v>46146</x:v>
      </x:c>
      <x:c r="D727" t="str">
        <x:v>impulse</x:v>
      </x:c>
      <x:c r="E727" t="str">
        <x:v>Impulse-Momentum</x:v>
      </x:c>
      <x:c r="F727" t="str">
        <x:v>Strength &amp; Power</x:v>
      </x:c>
      <x:c r="G727" t="n">
        <x:v>238.2</x:v>
      </x:c>
      <x:c r="H727" t="str">
        <x:v>Ns</x:v>
      </x:c>
      <x:c r="I727" t="str">
        <x:v>higher</x:v>
      </x:c>
    </x:row>
    <x:row r="728" ht="15.75" customHeight="1">
      <x:c r="A728" t="str">
        <x:v>RVX-00031</x:v>
      </x:c>
      <x:c r="B728" t="n">
        <x:v>2</x:v>
      </x:c>
      <x:c r="C728" s="15" t="n">
        <x:v>46174</x:v>
      </x:c>
      <x:c r="D728" t="str">
        <x:v>sprint_5m</x:v>
      </x:c>
      <x:c r="E728" t="str">
        <x:v>5m Sprint</x:v>
      </x:c>
      <x:c r="F728" t="str">
        <x:v>Acceleration</x:v>
      </x:c>
      <x:c r="G728" t="n">
        <x:v>0.98</x:v>
      </x:c>
      <x:c r="H728" t="str">
        <x:v>sec</x:v>
      </x:c>
      <x:c r="I728" t="str">
        <x:v>lower</x:v>
      </x:c>
    </x:row>
    <x:row r="729" ht="15.75" customHeight="1">
      <x:c r="A729" t="str">
        <x:v>RVX-00031</x:v>
      </x:c>
      <x:c r="B729" t="n">
        <x:v>2</x:v>
      </x:c>
      <x:c r="C729" s="15" t="n">
        <x:v>46174</x:v>
      </x:c>
      <x:c r="D729" t="str">
        <x:v>sprint_10m</x:v>
      </x:c>
      <x:c r="E729" t="str">
        <x:v>10m Sprint</x:v>
      </x:c>
      <x:c r="F729" t="str">
        <x:v>Acceleration</x:v>
      </x:c>
      <x:c r="G729" t="n">
        <x:v>1.65</x:v>
      </x:c>
      <x:c r="H729" t="str">
        <x:v>sec</x:v>
      </x:c>
      <x:c r="I729" t="str">
        <x:v>lower</x:v>
      </x:c>
    </x:row>
    <x:row r="730" ht="15.75" customHeight="1">
      <x:c r="A730" t="str">
        <x:v>RVX-00031</x:v>
      </x:c>
      <x:c r="B730" t="n">
        <x:v>2</x:v>
      </x:c>
      <x:c r="C730" s="15" t="n">
        <x:v>46174</x:v>
      </x:c>
      <x:c r="D730" t="str">
        <x:v>pro_agility</x:v>
      </x:c>
      <x:c r="E730" t="str">
        <x:v>5-10-5 Pro Agility</x:v>
      </x:c>
      <x:c r="F730" t="str">
        <x:v>Agility</x:v>
      </x:c>
      <x:c r="G730" t="n">
        <x:v>4.18</x:v>
      </x:c>
      <x:c r="H730" t="str">
        <x:v>sec</x:v>
      </x:c>
      <x:c r="I730" t="str">
        <x:v>lower</x:v>
      </x:c>
    </x:row>
    <x:row r="731" ht="15.75" customHeight="1">
      <x:c r="A731" t="str">
        <x:v>RVX-00031</x:v>
      </x:c>
      <x:c r="B731" t="n">
        <x:v>2</x:v>
      </x:c>
      <x:c r="C731" s="15" t="n">
        <x:v>46174</x:v>
      </x:c>
      <x:c r="D731" t="str">
        <x:v>cmj_depth</x:v>
      </x:c>
      <x:c r="E731" t="str">
        <x:v>Countermovement Depth</x:v>
      </x:c>
      <x:c r="F731" t="str">
        <x:v>Movement</x:v>
      </x:c>
      <x:c r="G731" t="n">
        <x:v>32.9</x:v>
      </x:c>
      <x:c r="H731" t="str">
        <x:v>cm</x:v>
      </x:c>
      <x:c r="I731" t="str">
        <x:v>higher</x:v>
      </x:c>
    </x:row>
    <x:row r="732" ht="15.75" customHeight="1">
      <x:c r="A732" t="str">
        <x:v>RVX-00031</x:v>
      </x:c>
      <x:c r="B732" t="n">
        <x:v>2</x:v>
      </x:c>
      <x:c r="C732" s="15" t="n">
        <x:v>46174</x:v>
      </x:c>
      <x:c r="D732" t="str">
        <x:v>peak_force</x:v>
      </x:c>
      <x:c r="E732" t="str">
        <x:v>Peak Force</x:v>
      </x:c>
      <x:c r="F732" t="str">
        <x:v>Strength &amp; Power</x:v>
      </x:c>
      <x:c r="G732" t="n">
        <x:v>1930</x:v>
      </x:c>
      <x:c r="H732" t="str">
        <x:v>N</x:v>
      </x:c>
      <x:c r="I732" t="str">
        <x:v>higher</x:v>
      </x:c>
    </x:row>
    <x:row r="733" ht="15.75" customHeight="1">
      <x:c r="A733" t="str">
        <x:v>RVX-00031</x:v>
      </x:c>
      <x:c r="B733" t="n">
        <x:v>2</x:v>
      </x:c>
      <x:c r="C733" s="15" t="n">
        <x:v>46174</x:v>
      </x:c>
      <x:c r="D733" t="str">
        <x:v>impulse</x:v>
      </x:c>
      <x:c r="E733" t="str">
        <x:v>Impulse-Momentum</x:v>
      </x:c>
      <x:c r="F733" t="str">
        <x:v>Strength &amp; Power</x:v>
      </x:c>
      <x:c r="G733" t="n">
        <x:v>235.2</x:v>
      </x:c>
      <x:c r="H733" t="str">
        <x:v>Ns</x:v>
      </x:c>
      <x:c r="I733" t="str">
        <x:v>higher</x:v>
      </x:c>
    </x:row>
    <x:row r="734" ht="15.75" customHeight="1">
      <x:c r="A734" t="str">
        <x:v>RVX-00031</x:v>
      </x:c>
      <x:c r="B734" t="n">
        <x:v>3</x:v>
      </x:c>
      <x:c r="C734" s="15" t="n">
        <x:v>46202</x:v>
      </x:c>
      <x:c r="D734" t="str">
        <x:v>sprint_5m</x:v>
      </x:c>
      <x:c r="E734" t="str">
        <x:v>5m Sprint</x:v>
      </x:c>
      <x:c r="F734" t="str">
        <x:v>Acceleration</x:v>
      </x:c>
      <x:c r="G734" t="n">
        <x:v>0.99</x:v>
      </x:c>
      <x:c r="H734" t="str">
        <x:v>sec</x:v>
      </x:c>
      <x:c r="I734" t="str">
        <x:v>lower</x:v>
      </x:c>
    </x:row>
    <x:row r="735" ht="15.75" customHeight="1">
      <x:c r="A735" t="str">
        <x:v>RVX-00031</x:v>
      </x:c>
      <x:c r="B735" t="n">
        <x:v>3</x:v>
      </x:c>
      <x:c r="C735" s="15" t="n">
        <x:v>46202</x:v>
      </x:c>
      <x:c r="D735" t="str">
        <x:v>sprint_10m</x:v>
      </x:c>
      <x:c r="E735" t="str">
        <x:v>10m Sprint</x:v>
      </x:c>
      <x:c r="F735" t="str">
        <x:v>Acceleration</x:v>
      </x:c>
      <x:c r="G735" t="n">
        <x:v>1.63</x:v>
      </x:c>
      <x:c r="H735" t="str">
        <x:v>sec</x:v>
      </x:c>
      <x:c r="I735" t="str">
        <x:v>lower</x:v>
      </x:c>
    </x:row>
    <x:row r="736" ht="15.75" customHeight="1">
      <x:c r="A736" t="str">
        <x:v>RVX-00031</x:v>
      </x:c>
      <x:c r="B736" t="n">
        <x:v>3</x:v>
      </x:c>
      <x:c r="C736" s="15" t="n">
        <x:v>46202</x:v>
      </x:c>
      <x:c r="D736" t="str">
        <x:v>pro_agility</x:v>
      </x:c>
      <x:c r="E736" t="str">
        <x:v>5-10-5 Pro Agility</x:v>
      </x:c>
      <x:c r="F736" t="str">
        <x:v>Agility</x:v>
      </x:c>
      <x:c r="G736" t="n">
        <x:v>4.06</x:v>
      </x:c>
      <x:c r="H736" t="str">
        <x:v>sec</x:v>
      </x:c>
      <x:c r="I736" t="str">
        <x:v>lower</x:v>
      </x:c>
    </x:row>
    <x:row r="737" ht="15.75" customHeight="1">
      <x:c r="A737" t="str">
        <x:v>RVX-00031</x:v>
      </x:c>
      <x:c r="B737" t="n">
        <x:v>3</x:v>
      </x:c>
      <x:c r="C737" s="15" t="n">
        <x:v>46202</x:v>
      </x:c>
      <x:c r="D737" t="str">
        <x:v>cmj_depth</x:v>
      </x:c>
      <x:c r="E737" t="str">
        <x:v>Countermovement Depth</x:v>
      </x:c>
      <x:c r="F737" t="str">
        <x:v>Movement</x:v>
      </x:c>
      <x:c r="G737" t="n">
        <x:v>33.6</x:v>
      </x:c>
      <x:c r="H737" t="str">
        <x:v>cm</x:v>
      </x:c>
      <x:c r="I737" t="str">
        <x:v>higher</x:v>
      </x:c>
    </x:row>
    <x:row r="738" ht="15.75" customHeight="1">
      <x:c r="A738" t="str">
        <x:v>RVX-00031</x:v>
      </x:c>
      <x:c r="B738" t="n">
        <x:v>3</x:v>
      </x:c>
      <x:c r="C738" s="15" t="n">
        <x:v>46202</x:v>
      </x:c>
      <x:c r="D738" t="str">
        <x:v>peak_force</x:v>
      </x:c>
      <x:c r="E738" t="str">
        <x:v>Peak Force</x:v>
      </x:c>
      <x:c r="F738" t="str">
        <x:v>Strength &amp; Power</x:v>
      </x:c>
      <x:c r="G738" t="n">
        <x:v>2001</x:v>
      </x:c>
      <x:c r="H738" t="str">
        <x:v>N</x:v>
      </x:c>
      <x:c r="I738" t="str">
        <x:v>higher</x:v>
      </x:c>
    </x:row>
    <x:row r="739" ht="15.75" customHeight="1">
      <x:c r="A739" t="str">
        <x:v>RVX-00031</x:v>
      </x:c>
      <x:c r="B739" t="n">
        <x:v>3</x:v>
      </x:c>
      <x:c r="C739" s="15" t="n">
        <x:v>46202</x:v>
      </x:c>
      <x:c r="D739" t="str">
        <x:v>impulse</x:v>
      </x:c>
      <x:c r="E739" t="str">
        <x:v>Impulse-Momentum</x:v>
      </x:c>
      <x:c r="F739" t="str">
        <x:v>Strength &amp; Power</x:v>
      </x:c>
      <x:c r="G739" t="n">
        <x:v>246.5</x:v>
      </x:c>
      <x:c r="H739" t="str">
        <x:v>Ns</x:v>
      </x:c>
      <x:c r="I739" t="str">
        <x:v>higher</x:v>
      </x:c>
    </x:row>
    <x:row r="740" ht="15.75" customHeight="1">
      <x:c r="A740" t="str">
        <x:v>RVX-00031</x:v>
      </x:c>
      <x:c r="B740" t="n">
        <x:v>4</x:v>
      </x:c>
      <x:c r="C740" s="15" t="n">
        <x:v>46230</x:v>
      </x:c>
      <x:c r="D740" t="str">
        <x:v>sprint_5m</x:v>
      </x:c>
      <x:c r="E740" t="str">
        <x:v>5m Sprint</x:v>
      </x:c>
      <x:c r="F740" t="str">
        <x:v>Acceleration</x:v>
      </x:c>
      <x:c r="G740" t="n">
        <x:v>0.94</x:v>
      </x:c>
      <x:c r="H740" t="str">
        <x:v>sec</x:v>
      </x:c>
      <x:c r="I740" t="str">
        <x:v>lower</x:v>
      </x:c>
    </x:row>
    <x:row r="741" ht="15.75" customHeight="1">
      <x:c r="A741" t="str">
        <x:v>RVX-00031</x:v>
      </x:c>
      <x:c r="B741" t="n">
        <x:v>4</x:v>
      </x:c>
      <x:c r="C741" s="15" t="n">
        <x:v>46230</x:v>
      </x:c>
      <x:c r="D741" t="str">
        <x:v>sprint_10m</x:v>
      </x:c>
      <x:c r="E741" t="str">
        <x:v>10m Sprint</x:v>
      </x:c>
      <x:c r="F741" t="str">
        <x:v>Acceleration</x:v>
      </x:c>
      <x:c r="G741" t="n">
        <x:v>1.61</x:v>
      </x:c>
      <x:c r="H741" t="str">
        <x:v>sec</x:v>
      </x:c>
      <x:c r="I741" t="str">
        <x:v>lower</x:v>
      </x:c>
    </x:row>
    <x:row r="742" ht="15.75" customHeight="1">
      <x:c r="A742" t="str">
        <x:v>RVX-00031</x:v>
      </x:c>
      <x:c r="B742" t="n">
        <x:v>4</x:v>
      </x:c>
      <x:c r="C742" s="15" t="n">
        <x:v>46230</x:v>
      </x:c>
      <x:c r="D742" t="str">
        <x:v>pro_agility</x:v>
      </x:c>
      <x:c r="E742" t="str">
        <x:v>5-10-5 Pro Agility</x:v>
      </x:c>
      <x:c r="F742" t="str">
        <x:v>Agility</x:v>
      </x:c>
      <x:c r="G742" t="n">
        <x:v>3.99</x:v>
      </x:c>
      <x:c r="H742" t="str">
        <x:v>sec</x:v>
      </x:c>
      <x:c r="I742" t="str">
        <x:v>lower</x:v>
      </x:c>
    </x:row>
    <x:row r="743" ht="15.75" customHeight="1">
      <x:c r="A743" t="str">
        <x:v>RVX-00031</x:v>
      </x:c>
      <x:c r="B743" t="n">
        <x:v>4</x:v>
      </x:c>
      <x:c r="C743" s="15" t="n">
        <x:v>46230</x:v>
      </x:c>
      <x:c r="D743" t="str">
        <x:v>cmj_depth</x:v>
      </x:c>
      <x:c r="E743" t="str">
        <x:v>Countermovement Depth</x:v>
      </x:c>
      <x:c r="F743" t="str">
        <x:v>Movement</x:v>
      </x:c>
      <x:c r="G743" t="n">
        <x:v>35</x:v>
      </x:c>
      <x:c r="H743" t="str">
        <x:v>cm</x:v>
      </x:c>
      <x:c r="I743" t="str">
        <x:v>higher</x:v>
      </x:c>
    </x:row>
    <x:row r="744" ht="15.75" customHeight="1">
      <x:c r="A744" t="str">
        <x:v>RVX-00031</x:v>
      </x:c>
      <x:c r="B744" t="n">
        <x:v>4</x:v>
      </x:c>
      <x:c r="C744" s="15" t="n">
        <x:v>46230</x:v>
      </x:c>
      <x:c r="D744" t="str">
        <x:v>peak_force</x:v>
      </x:c>
      <x:c r="E744" t="str">
        <x:v>Peak Force</x:v>
      </x:c>
      <x:c r="F744" t="str">
        <x:v>Strength &amp; Power</x:v>
      </x:c>
      <x:c r="G744" t="n">
        <x:v>2023</x:v>
      </x:c>
      <x:c r="H744" t="str">
        <x:v>N</x:v>
      </x:c>
      <x:c r="I744" t="str">
        <x:v>higher</x:v>
      </x:c>
    </x:row>
    <x:row r="745" ht="15.75" customHeight="1">
      <x:c r="A745" t="str">
        <x:v>RVX-00031</x:v>
      </x:c>
      <x:c r="B745" t="n">
        <x:v>4</x:v>
      </x:c>
      <x:c r="C745" s="15" t="n">
        <x:v>46230</x:v>
      </x:c>
      <x:c r="D745" t="str">
        <x:v>impulse</x:v>
      </x:c>
      <x:c r="E745" t="str">
        <x:v>Impulse-Momentum</x:v>
      </x:c>
      <x:c r="F745" t="str">
        <x:v>Strength &amp; Power</x:v>
      </x:c>
      <x:c r="G745" t="n">
        <x:v>245.5</x:v>
      </x:c>
      <x:c r="H745" t="str">
        <x:v>Ns</x:v>
      </x:c>
      <x:c r="I745" t="str">
        <x:v>higher</x:v>
      </x:c>
    </x:row>
    <x:row r="746" ht="15.75" customHeight="1">
      <x:c r="A746" t="str">
        <x:v>RVX-00032</x:v>
      </x:c>
      <x:c r="B746" t="n">
        <x:v>1</x:v>
      </x:c>
      <x:c r="C746" s="15" t="n">
        <x:v>46146</x:v>
      </x:c>
      <x:c r="D746" t="str">
        <x:v>sprint_5m</x:v>
      </x:c>
      <x:c r="E746" t="str">
        <x:v>5m Sprint</x:v>
      </x:c>
      <x:c r="F746" t="str">
        <x:v>Acceleration</x:v>
      </x:c>
      <x:c r="G746" t="n">
        <x:v>1.08</x:v>
      </x:c>
      <x:c r="H746" t="str">
        <x:v>sec</x:v>
      </x:c>
      <x:c r="I746" t="str">
        <x:v>lower</x:v>
      </x:c>
    </x:row>
    <x:row r="747" ht="15.75" customHeight="1">
      <x:c r="A747" t="str">
        <x:v>RVX-00032</x:v>
      </x:c>
      <x:c r="B747" t="n">
        <x:v>1</x:v>
      </x:c>
      <x:c r="C747" s="15" t="n">
        <x:v>46146</x:v>
      </x:c>
      <x:c r="D747" t="str">
        <x:v>sprint_10m</x:v>
      </x:c>
      <x:c r="E747" t="str">
        <x:v>10m Sprint</x:v>
      </x:c>
      <x:c r="F747" t="str">
        <x:v>Acceleration</x:v>
      </x:c>
      <x:c r="G747" t="n">
        <x:v>1.78</x:v>
      </x:c>
      <x:c r="H747" t="str">
        <x:v>sec</x:v>
      </x:c>
      <x:c r="I747" t="str">
        <x:v>lower</x:v>
      </x:c>
    </x:row>
    <x:row r="748" ht="15.75" customHeight="1">
      <x:c r="A748" t="str">
        <x:v>RVX-00032</x:v>
      </x:c>
      <x:c r="B748" t="n">
        <x:v>1</x:v>
      </x:c>
      <x:c r="C748" s="15" t="n">
        <x:v>46146</x:v>
      </x:c>
      <x:c r="D748" t="str">
        <x:v>pro_agility</x:v>
      </x:c>
      <x:c r="E748" t="str">
        <x:v>5-10-5 Pro Agility</x:v>
      </x:c>
      <x:c r="F748" t="str">
        <x:v>Agility</x:v>
      </x:c>
      <x:c r="G748" t="n">
        <x:v>4.52</x:v>
      </x:c>
      <x:c r="H748" t="str">
        <x:v>sec</x:v>
      </x:c>
      <x:c r="I748" t="str">
        <x:v>lower</x:v>
      </x:c>
    </x:row>
    <x:row r="749" ht="15.75" customHeight="1">
      <x:c r="A749" t="str">
        <x:v>RVX-00032</x:v>
      </x:c>
      <x:c r="B749" t="n">
        <x:v>1</x:v>
      </x:c>
      <x:c r="C749" s="15" t="n">
        <x:v>46146</x:v>
      </x:c>
      <x:c r="D749" t="str">
        <x:v>cmj_depth</x:v>
      </x:c>
      <x:c r="E749" t="str">
        <x:v>Countermovement Depth</x:v>
      </x:c>
      <x:c r="F749" t="str">
        <x:v>Movement</x:v>
      </x:c>
      <x:c r="G749" t="n">
        <x:v>33.2</x:v>
      </x:c>
      <x:c r="H749" t="str">
        <x:v>cm</x:v>
      </x:c>
      <x:c r="I749" t="str">
        <x:v>higher</x:v>
      </x:c>
    </x:row>
    <x:row r="750" ht="15.75" customHeight="1">
      <x:c r="A750" t="str">
        <x:v>RVX-00032</x:v>
      </x:c>
      <x:c r="B750" t="n">
        <x:v>1</x:v>
      </x:c>
      <x:c r="C750" s="15" t="n">
        <x:v>46146</x:v>
      </x:c>
      <x:c r="D750" t="str">
        <x:v>peak_force</x:v>
      </x:c>
      <x:c r="E750" t="str">
        <x:v>Peak Force</x:v>
      </x:c>
      <x:c r="F750" t="str">
        <x:v>Strength &amp; Power</x:v>
      </x:c>
      <x:c r="G750" t="n">
        <x:v>1902</x:v>
      </x:c>
      <x:c r="H750" t="str">
        <x:v>N</x:v>
      </x:c>
      <x:c r="I750" t="str">
        <x:v>higher</x:v>
      </x:c>
    </x:row>
    <x:row r="751" ht="15.75" customHeight="1">
      <x:c r="A751" t="str">
        <x:v>RVX-00032</x:v>
      </x:c>
      <x:c r="B751" t="n">
        <x:v>1</x:v>
      </x:c>
      <x:c r="C751" s="15" t="n">
        <x:v>46146</x:v>
      </x:c>
      <x:c r="D751" t="str">
        <x:v>impulse</x:v>
      </x:c>
      <x:c r="E751" t="str">
        <x:v>Impulse-Momentum</x:v>
      </x:c>
      <x:c r="F751" t="str">
        <x:v>Strength &amp; Power</x:v>
      </x:c>
      <x:c r="G751" t="n">
        <x:v>236.2</x:v>
      </x:c>
      <x:c r="H751" t="str">
        <x:v>Ns</x:v>
      </x:c>
      <x:c r="I751" t="str">
        <x:v>higher</x:v>
      </x:c>
    </x:row>
    <x:row r="752" ht="15.75" customHeight="1">
      <x:c r="A752" t="str">
        <x:v>RVX-00032</x:v>
      </x:c>
      <x:c r="B752" t="n">
        <x:v>2</x:v>
      </x:c>
      <x:c r="C752" s="15" t="n">
        <x:v>46174</x:v>
      </x:c>
      <x:c r="D752" t="str">
        <x:v>sprint_5m</x:v>
      </x:c>
      <x:c r="E752" t="str">
        <x:v>5m Sprint</x:v>
      </x:c>
      <x:c r="F752" t="str">
        <x:v>Acceleration</x:v>
      </x:c>
      <x:c r="G752" t="n">
        <x:v>1.07</x:v>
      </x:c>
      <x:c r="H752" t="str">
        <x:v>sec</x:v>
      </x:c>
      <x:c r="I752" t="str">
        <x:v>lower</x:v>
      </x:c>
    </x:row>
    <x:row r="753" ht="15.75" customHeight="1">
      <x:c r="A753" t="str">
        <x:v>RVX-00032</x:v>
      </x:c>
      <x:c r="B753" t="n">
        <x:v>2</x:v>
      </x:c>
      <x:c r="C753" s="15" t="n">
        <x:v>46174</x:v>
      </x:c>
      <x:c r="D753" t="str">
        <x:v>sprint_10m</x:v>
      </x:c>
      <x:c r="E753" t="str">
        <x:v>10m Sprint</x:v>
      </x:c>
      <x:c r="F753" t="str">
        <x:v>Acceleration</x:v>
      </x:c>
      <x:c r="G753" t="n">
        <x:v>1.76</x:v>
      </x:c>
      <x:c r="H753" t="str">
        <x:v>sec</x:v>
      </x:c>
      <x:c r="I753" t="str">
        <x:v>lower</x:v>
      </x:c>
    </x:row>
    <x:row r="754" ht="15.75" customHeight="1">
      <x:c r="A754" t="str">
        <x:v>RVX-00032</x:v>
      </x:c>
      <x:c r="B754" t="n">
        <x:v>2</x:v>
      </x:c>
      <x:c r="C754" s="15" t="n">
        <x:v>46174</x:v>
      </x:c>
      <x:c r="D754" t="str">
        <x:v>pro_agility</x:v>
      </x:c>
      <x:c r="E754" t="str">
        <x:v>5-10-5 Pro Agility</x:v>
      </x:c>
      <x:c r="F754" t="str">
        <x:v>Agility</x:v>
      </x:c>
      <x:c r="G754" t="n">
        <x:v>4.62</x:v>
      </x:c>
      <x:c r="H754" t="str">
        <x:v>sec</x:v>
      </x:c>
      <x:c r="I754" t="str">
        <x:v>lower</x:v>
      </x:c>
    </x:row>
    <x:row r="755" ht="15.75" customHeight="1">
      <x:c r="A755" t="str">
        <x:v>RVX-00032</x:v>
      </x:c>
      <x:c r="B755" t="n">
        <x:v>2</x:v>
      </x:c>
      <x:c r="C755" s="15" t="n">
        <x:v>46174</x:v>
      </x:c>
      <x:c r="D755" t="str">
        <x:v>cmj_depth</x:v>
      </x:c>
      <x:c r="E755" t="str">
        <x:v>Countermovement Depth</x:v>
      </x:c>
      <x:c r="F755" t="str">
        <x:v>Movement</x:v>
      </x:c>
      <x:c r="G755" t="n">
        <x:v>34.2</x:v>
      </x:c>
      <x:c r="H755" t="str">
        <x:v>cm</x:v>
      </x:c>
      <x:c r="I755" t="str">
        <x:v>higher</x:v>
      </x:c>
    </x:row>
    <x:row r="756" ht="15.75" customHeight="1">
      <x:c r="A756" t="str">
        <x:v>RVX-00032</x:v>
      </x:c>
      <x:c r="B756" t="n">
        <x:v>2</x:v>
      </x:c>
      <x:c r="C756" s="15" t="n">
        <x:v>46174</x:v>
      </x:c>
      <x:c r="D756" t="str">
        <x:v>peak_force</x:v>
      </x:c>
      <x:c r="E756" t="str">
        <x:v>Peak Force</x:v>
      </x:c>
      <x:c r="F756" t="str">
        <x:v>Strength &amp; Power</x:v>
      </x:c>
      <x:c r="G756" t="n">
        <x:v>1928</x:v>
      </x:c>
      <x:c r="H756" t="str">
        <x:v>N</x:v>
      </x:c>
      <x:c r="I756" t="str">
        <x:v>higher</x:v>
      </x:c>
    </x:row>
    <x:row r="757" ht="15.75" customHeight="1">
      <x:c r="A757" t="str">
        <x:v>RVX-00032</x:v>
      </x:c>
      <x:c r="B757" t="n">
        <x:v>2</x:v>
      </x:c>
      <x:c r="C757" s="15" t="n">
        <x:v>46174</x:v>
      </x:c>
      <x:c r="D757" t="str">
        <x:v>impulse</x:v>
      </x:c>
      <x:c r="E757" t="str">
        <x:v>Impulse-Momentum</x:v>
      </x:c>
      <x:c r="F757" t="str">
        <x:v>Strength &amp; Power</x:v>
      </x:c>
      <x:c r="G757" t="n">
        <x:v>235.4</x:v>
      </x:c>
      <x:c r="H757" t="str">
        <x:v>Ns</x:v>
      </x:c>
      <x:c r="I757" t="str">
        <x:v>higher</x:v>
      </x:c>
    </x:row>
    <x:row r="758" ht="15.75" customHeight="1">
      <x:c r="A758" t="str">
        <x:v>RVX-00032</x:v>
      </x:c>
      <x:c r="B758" t="n">
        <x:v>3</x:v>
      </x:c>
      <x:c r="C758" s="15" t="n">
        <x:v>46202</x:v>
      </x:c>
      <x:c r="D758" t="str">
        <x:v>sprint_5m</x:v>
      </x:c>
      <x:c r="E758" t="str">
        <x:v>5m Sprint</x:v>
      </x:c>
      <x:c r="F758" t="str">
        <x:v>Acceleration</x:v>
      </x:c>
      <x:c r="G758" t="n">
        <x:v>1.03</x:v>
      </x:c>
      <x:c r="H758" t="str">
        <x:v>sec</x:v>
      </x:c>
      <x:c r="I758" t="str">
        <x:v>lower</x:v>
      </x:c>
    </x:row>
    <x:row r="759" ht="15.75" customHeight="1">
      <x:c r="A759" t="str">
        <x:v>RVX-00032</x:v>
      </x:c>
      <x:c r="B759" t="n">
        <x:v>3</x:v>
      </x:c>
      <x:c r="C759" s="15" t="n">
        <x:v>46202</x:v>
      </x:c>
      <x:c r="D759" t="str">
        <x:v>sprint_10m</x:v>
      </x:c>
      <x:c r="E759" t="str">
        <x:v>10m Sprint</x:v>
      </x:c>
      <x:c r="F759" t="str">
        <x:v>Acceleration</x:v>
      </x:c>
      <x:c r="G759" t="n">
        <x:v>1.75</x:v>
      </x:c>
      <x:c r="H759" t="str">
        <x:v>sec</x:v>
      </x:c>
      <x:c r="I759" t="str">
        <x:v>lower</x:v>
      </x:c>
    </x:row>
    <x:row r="760" ht="15.75" customHeight="1">
      <x:c r="A760" t="str">
        <x:v>RVX-00032</x:v>
      </x:c>
      <x:c r="B760" t="n">
        <x:v>3</x:v>
      </x:c>
      <x:c r="C760" s="15" t="n">
        <x:v>46202</x:v>
      </x:c>
      <x:c r="D760" t="str">
        <x:v>pro_agility</x:v>
      </x:c>
      <x:c r="E760" t="str">
        <x:v>5-10-5 Pro Agility</x:v>
      </x:c>
      <x:c r="F760" t="str">
        <x:v>Agility</x:v>
      </x:c>
      <x:c r="G760" t="n">
        <x:v>4.43</x:v>
      </x:c>
      <x:c r="H760" t="str">
        <x:v>sec</x:v>
      </x:c>
      <x:c r="I760" t="str">
        <x:v>lower</x:v>
      </x:c>
    </x:row>
    <x:row r="761" ht="15.75" customHeight="1">
      <x:c r="A761" t="str">
        <x:v>RVX-00032</x:v>
      </x:c>
      <x:c r="B761" t="n">
        <x:v>3</x:v>
      </x:c>
      <x:c r="C761" s="15" t="n">
        <x:v>46202</x:v>
      </x:c>
      <x:c r="D761" t="str">
        <x:v>cmj_depth</x:v>
      </x:c>
      <x:c r="E761" t="str">
        <x:v>Countermovement Depth</x:v>
      </x:c>
      <x:c r="F761" t="str">
        <x:v>Movement</x:v>
      </x:c>
      <x:c r="G761" t="n">
        <x:v>33.5</x:v>
      </x:c>
      <x:c r="H761" t="str">
        <x:v>cm</x:v>
      </x:c>
      <x:c r="I761" t="str">
        <x:v>higher</x:v>
      </x:c>
    </x:row>
    <x:row r="762" ht="15.75" customHeight="1">
      <x:c r="A762" t="str">
        <x:v>RVX-00032</x:v>
      </x:c>
      <x:c r="B762" t="n">
        <x:v>3</x:v>
      </x:c>
      <x:c r="C762" s="15" t="n">
        <x:v>46202</x:v>
      </x:c>
      <x:c r="D762" t="str">
        <x:v>peak_force</x:v>
      </x:c>
      <x:c r="E762" t="str">
        <x:v>Peak Force</x:v>
      </x:c>
      <x:c r="F762" t="str">
        <x:v>Strength &amp; Power</x:v>
      </x:c>
      <x:c r="G762" t="n">
        <x:v>1951</x:v>
      </x:c>
      <x:c r="H762" t="str">
        <x:v>N</x:v>
      </x:c>
      <x:c r="I762" t="str">
        <x:v>higher</x:v>
      </x:c>
    </x:row>
    <x:row r="763" ht="15.75" customHeight="1">
      <x:c r="A763" t="str">
        <x:v>RVX-00032</x:v>
      </x:c>
      <x:c r="B763" t="n">
        <x:v>3</x:v>
      </x:c>
      <x:c r="C763" s="15" t="n">
        <x:v>46202</x:v>
      </x:c>
      <x:c r="D763" t="str">
        <x:v>impulse</x:v>
      </x:c>
      <x:c r="E763" t="str">
        <x:v>Impulse-Momentum</x:v>
      </x:c>
      <x:c r="F763" t="str">
        <x:v>Strength &amp; Power</x:v>
      </x:c>
      <x:c r="G763" t="n">
        <x:v>239.5</x:v>
      </x:c>
      <x:c r="H763" t="str">
        <x:v>Ns</x:v>
      </x:c>
      <x:c r="I763" t="str">
        <x:v>higher</x:v>
      </x:c>
    </x:row>
    <x:row r="764" ht="15.75" customHeight="1">
      <x:c r="A764" t="str">
        <x:v>RVX-00032</x:v>
      </x:c>
      <x:c r="B764" t="n">
        <x:v>4</x:v>
      </x:c>
      <x:c r="C764" s="15" t="n">
        <x:v>46230</x:v>
      </x:c>
      <x:c r="D764" t="str">
        <x:v>sprint_5m</x:v>
      </x:c>
      <x:c r="E764" t="str">
        <x:v>5m Sprint</x:v>
      </x:c>
      <x:c r="F764" t="str">
        <x:v>Acceleration</x:v>
      </x:c>
      <x:c r="G764" t="n">
        <x:v>1.01</x:v>
      </x:c>
      <x:c r="H764" t="str">
        <x:v>sec</x:v>
      </x:c>
      <x:c r="I764" t="str">
        <x:v>lower</x:v>
      </x:c>
    </x:row>
    <x:row r="765" ht="15.75" customHeight="1">
      <x:c r="A765" t="str">
        <x:v>RVX-00032</x:v>
      </x:c>
      <x:c r="B765" t="n">
        <x:v>4</x:v>
      </x:c>
      <x:c r="C765" s="15" t="n">
        <x:v>46230</x:v>
      </x:c>
      <x:c r="D765" t="str">
        <x:v>sprint_10m</x:v>
      </x:c>
      <x:c r="E765" t="str">
        <x:v>10m Sprint</x:v>
      </x:c>
      <x:c r="F765" t="str">
        <x:v>Acceleration</x:v>
      </x:c>
      <x:c r="G765" t="n">
        <x:v>1.72</x:v>
      </x:c>
      <x:c r="H765" t="str">
        <x:v>sec</x:v>
      </x:c>
      <x:c r="I765" t="str">
        <x:v>lower</x:v>
      </x:c>
    </x:row>
    <x:row r="766" ht="15.75" customHeight="1">
      <x:c r="A766" t="str">
        <x:v>RVX-00032</x:v>
      </x:c>
      <x:c r="B766" t="n">
        <x:v>4</x:v>
      </x:c>
      <x:c r="C766" s="15" t="n">
        <x:v>46230</x:v>
      </x:c>
      <x:c r="D766" t="str">
        <x:v>pro_agility</x:v>
      </x:c>
      <x:c r="E766" t="str">
        <x:v>5-10-5 Pro Agility</x:v>
      </x:c>
      <x:c r="F766" t="str">
        <x:v>Agility</x:v>
      </x:c>
      <x:c r="G766" t="n">
        <x:v>4.45</x:v>
      </x:c>
      <x:c r="H766" t="str">
        <x:v>sec</x:v>
      </x:c>
      <x:c r="I766" t="str">
        <x:v>lower</x:v>
      </x:c>
    </x:row>
    <x:row r="767" ht="15.75" customHeight="1">
      <x:c r="A767" t="str">
        <x:v>RVX-00032</x:v>
      </x:c>
      <x:c r="B767" t="n">
        <x:v>4</x:v>
      </x:c>
      <x:c r="C767" s="15" t="n">
        <x:v>46230</x:v>
      </x:c>
      <x:c r="D767" t="str">
        <x:v>cmj_depth</x:v>
      </x:c>
      <x:c r="E767" t="str">
        <x:v>Countermovement Depth</x:v>
      </x:c>
      <x:c r="F767" t="str">
        <x:v>Movement</x:v>
      </x:c>
      <x:c r="G767" t="n">
        <x:v>35</x:v>
      </x:c>
      <x:c r="H767" t="str">
        <x:v>cm</x:v>
      </x:c>
      <x:c r="I767" t="str">
        <x:v>higher</x:v>
      </x:c>
    </x:row>
    <x:row r="768" ht="15.75" customHeight="1">
      <x:c r="A768" t="str">
        <x:v>RVX-00032</x:v>
      </x:c>
      <x:c r="B768" t="n">
        <x:v>4</x:v>
      </x:c>
      <x:c r="C768" s="15" t="n">
        <x:v>46230</x:v>
      </x:c>
      <x:c r="D768" t="str">
        <x:v>peak_force</x:v>
      </x:c>
      <x:c r="E768" t="str">
        <x:v>Peak Force</x:v>
      </x:c>
      <x:c r="F768" t="str">
        <x:v>Strength &amp; Power</x:v>
      </x:c>
      <x:c r="G768" t="n">
        <x:v>2011</x:v>
      </x:c>
      <x:c r="H768" t="str">
        <x:v>N</x:v>
      </x:c>
      <x:c r="I768" t="str">
        <x:v>higher</x:v>
      </x:c>
    </x:row>
    <x:row r="769" ht="15.75" customHeight="1">
      <x:c r="A769" t="str">
        <x:v>RVX-00032</x:v>
      </x:c>
      <x:c r="B769" t="n">
        <x:v>4</x:v>
      </x:c>
      <x:c r="C769" s="15" t="n">
        <x:v>46230</x:v>
      </x:c>
      <x:c r="D769" t="str">
        <x:v>impulse</x:v>
      </x:c>
      <x:c r="E769" t="str">
        <x:v>Impulse-Momentum</x:v>
      </x:c>
      <x:c r="F769" t="str">
        <x:v>Strength &amp; Power</x:v>
      </x:c>
      <x:c r="G769" t="n">
        <x:v>248.5</x:v>
      </x:c>
      <x:c r="H769" t="str">
        <x:v>Ns</x:v>
      </x:c>
      <x:c r="I769" t="str">
        <x:v>higher</x:v>
      </x:c>
    </x:row>
    <x:row r="770" ht="15.75" customHeight="1">
      <x:c r="A770" t="str">
        <x:v>RVX-00033</x:v>
      </x:c>
      <x:c r="B770" t="n">
        <x:v>1</x:v>
      </x:c>
      <x:c r="C770" s="15" t="n">
        <x:v>46146</x:v>
      </x:c>
      <x:c r="D770" t="str">
        <x:v>sprint_5m</x:v>
      </x:c>
      <x:c r="E770" t="str">
        <x:v>5m Sprint</x:v>
      </x:c>
      <x:c r="F770" t="str">
        <x:v>Acceleration</x:v>
      </x:c>
      <x:c r="G770" t="n">
        <x:v>1.25</x:v>
      </x:c>
      <x:c r="H770" t="str">
        <x:v>sec</x:v>
      </x:c>
      <x:c r="I770" t="str">
        <x:v>lower</x:v>
      </x:c>
    </x:row>
    <x:row r="771" ht="15.75" customHeight="1">
      <x:c r="A771" t="str">
        <x:v>RVX-00033</x:v>
      </x:c>
      <x:c r="B771" t="n">
        <x:v>1</x:v>
      </x:c>
      <x:c r="C771" s="15" t="n">
        <x:v>46146</x:v>
      </x:c>
      <x:c r="D771" t="str">
        <x:v>sprint_10m</x:v>
      </x:c>
      <x:c r="E771" t="str">
        <x:v>10m Sprint</x:v>
      </x:c>
      <x:c r="F771" t="str">
        <x:v>Acceleration</x:v>
      </x:c>
      <x:c r="G771" t="n">
        <x:v>2.03</x:v>
      </x:c>
      <x:c r="H771" t="str">
        <x:v>sec</x:v>
      </x:c>
      <x:c r="I771" t="str">
        <x:v>lower</x:v>
      </x:c>
    </x:row>
    <x:row r="772" ht="15.75" customHeight="1">
      <x:c r="A772" t="str">
        <x:v>RVX-00033</x:v>
      </x:c>
      <x:c r="B772" t="n">
        <x:v>1</x:v>
      </x:c>
      <x:c r="C772" s="15" t="n">
        <x:v>46146</x:v>
      </x:c>
      <x:c r="D772" t="str">
        <x:v>pro_agility</x:v>
      </x:c>
      <x:c r="E772" t="str">
        <x:v>5-10-5 Pro Agility</x:v>
      </x:c>
      <x:c r="F772" t="str">
        <x:v>Agility</x:v>
      </x:c>
      <x:c r="G772" t="n">
        <x:v>5.33</x:v>
      </x:c>
      <x:c r="H772" t="str">
        <x:v>sec</x:v>
      </x:c>
      <x:c r="I772" t="str">
        <x:v>lower</x:v>
      </x:c>
    </x:row>
    <x:row r="773" ht="15.75" customHeight="1">
      <x:c r="A773" t="str">
        <x:v>RVX-00033</x:v>
      </x:c>
      <x:c r="B773" t="n">
        <x:v>1</x:v>
      </x:c>
      <x:c r="C773" s="15" t="n">
        <x:v>46146</x:v>
      </x:c>
      <x:c r="D773" t="str">
        <x:v>cmj_depth</x:v>
      </x:c>
      <x:c r="E773" t="str">
        <x:v>Countermovement Depth</x:v>
      </x:c>
      <x:c r="F773" t="str">
        <x:v>Movement</x:v>
      </x:c>
      <x:c r="G773" t="n">
        <x:v>27</x:v>
      </x:c>
      <x:c r="H773" t="str">
        <x:v>cm</x:v>
      </x:c>
      <x:c r="I773" t="str">
        <x:v>higher</x:v>
      </x:c>
    </x:row>
    <x:row r="774" ht="15.75" customHeight="1">
      <x:c r="A774" t="str">
        <x:v>RVX-00033</x:v>
      </x:c>
      <x:c r="B774" t="n">
        <x:v>1</x:v>
      </x:c>
      <x:c r="C774" s="15" t="n">
        <x:v>46146</x:v>
      </x:c>
      <x:c r="D774" t="str">
        <x:v>peak_force</x:v>
      </x:c>
      <x:c r="E774" t="str">
        <x:v>Peak Force</x:v>
      </x:c>
      <x:c r="F774" t="str">
        <x:v>Strength &amp; Power</x:v>
      </x:c>
      <x:c r="G774" t="n">
        <x:v>1617</x:v>
      </x:c>
      <x:c r="H774" t="str">
        <x:v>N</x:v>
      </x:c>
      <x:c r="I774" t="str">
        <x:v>higher</x:v>
      </x:c>
    </x:row>
    <x:row r="775" ht="15.75" customHeight="1">
      <x:c r="A775" t="str">
        <x:v>RVX-00033</x:v>
      </x:c>
      <x:c r="B775" t="n">
        <x:v>1</x:v>
      </x:c>
      <x:c r="C775" s="15" t="n">
        <x:v>46146</x:v>
      </x:c>
      <x:c r="D775" t="str">
        <x:v>impulse</x:v>
      </x:c>
      <x:c r="E775" t="str">
        <x:v>Impulse-Momentum</x:v>
      </x:c>
      <x:c r="F775" t="str">
        <x:v>Strength &amp; Power</x:v>
      </x:c>
      <x:c r="G775" t="n">
        <x:v>195.2</x:v>
      </x:c>
      <x:c r="H775" t="str">
        <x:v>Ns</x:v>
      </x:c>
      <x:c r="I775" t="str">
        <x:v>higher</x:v>
      </x:c>
    </x:row>
    <x:row r="776" ht="15.75" customHeight="1">
      <x:c r="A776" t="str">
        <x:v>RVX-00033</x:v>
      </x:c>
      <x:c r="B776" t="n">
        <x:v>2</x:v>
      </x:c>
      <x:c r="C776" s="15" t="n">
        <x:v>46174</x:v>
      </x:c>
      <x:c r="D776" t="str">
        <x:v>sprint_5m</x:v>
      </x:c>
      <x:c r="E776" t="str">
        <x:v>5m Sprint</x:v>
      </x:c>
      <x:c r="F776" t="str">
        <x:v>Acceleration</x:v>
      </x:c>
      <x:c r="G776" t="n">
        <x:v>1.22</x:v>
      </x:c>
      <x:c r="H776" t="str">
        <x:v>sec</x:v>
      </x:c>
      <x:c r="I776" t="str">
        <x:v>lower</x:v>
      </x:c>
    </x:row>
    <x:row r="777" ht="15.75" customHeight="1">
      <x:c r="A777" t="str">
        <x:v>RVX-00033</x:v>
      </x:c>
      <x:c r="B777" t="n">
        <x:v>2</x:v>
      </x:c>
      <x:c r="C777" s="15" t="n">
        <x:v>46174</x:v>
      </x:c>
      <x:c r="D777" t="str">
        <x:v>sprint_10m</x:v>
      </x:c>
      <x:c r="E777" t="str">
        <x:v>10m Sprint</x:v>
      </x:c>
      <x:c r="F777" t="str">
        <x:v>Acceleration</x:v>
      </x:c>
      <x:c r="G777" t="n">
        <x:v>2.05</x:v>
      </x:c>
      <x:c r="H777" t="str">
        <x:v>sec</x:v>
      </x:c>
      <x:c r="I777" t="str">
        <x:v>lower</x:v>
      </x:c>
    </x:row>
    <x:row r="778" ht="15.75" customHeight="1">
      <x:c r="A778" t="str">
        <x:v>RVX-00033</x:v>
      </x:c>
      <x:c r="B778" t="n">
        <x:v>2</x:v>
      </x:c>
      <x:c r="C778" s="15" t="n">
        <x:v>46174</x:v>
      </x:c>
      <x:c r="D778" t="str">
        <x:v>pro_agility</x:v>
      </x:c>
      <x:c r="E778" t="str">
        <x:v>5-10-5 Pro Agility</x:v>
      </x:c>
      <x:c r="F778" t="str">
        <x:v>Agility</x:v>
      </x:c>
      <x:c r="G778" t="n">
        <x:v>5.17</x:v>
      </x:c>
      <x:c r="H778" t="str">
        <x:v>sec</x:v>
      </x:c>
      <x:c r="I778" t="str">
        <x:v>lower</x:v>
      </x:c>
    </x:row>
    <x:row r="779" ht="15.75" customHeight="1">
      <x:c r="A779" t="str">
        <x:v>RVX-00033</x:v>
      </x:c>
      <x:c r="B779" t="n">
        <x:v>2</x:v>
      </x:c>
      <x:c r="C779" s="15" t="n">
        <x:v>46174</x:v>
      </x:c>
      <x:c r="D779" t="str">
        <x:v>cmj_depth</x:v>
      </x:c>
      <x:c r="E779" t="str">
        <x:v>Countermovement Depth</x:v>
      </x:c>
      <x:c r="F779" t="str">
        <x:v>Movement</x:v>
      </x:c>
      <x:c r="G779" t="n">
        <x:v>27.9</x:v>
      </x:c>
      <x:c r="H779" t="str">
        <x:v>cm</x:v>
      </x:c>
      <x:c r="I779" t="str">
        <x:v>higher</x:v>
      </x:c>
    </x:row>
    <x:row r="780" ht="15.75" customHeight="1">
      <x:c r="A780" t="str">
        <x:v>RVX-00033</x:v>
      </x:c>
      <x:c r="B780" t="n">
        <x:v>2</x:v>
      </x:c>
      <x:c r="C780" s="15" t="n">
        <x:v>46174</x:v>
      </x:c>
      <x:c r="D780" t="str">
        <x:v>peak_force</x:v>
      </x:c>
      <x:c r="E780" t="str">
        <x:v>Peak Force</x:v>
      </x:c>
      <x:c r="F780" t="str">
        <x:v>Strength &amp; Power</x:v>
      </x:c>
      <x:c r="G780" t="n">
        <x:v>1586</x:v>
      </x:c>
      <x:c r="H780" t="str">
        <x:v>N</x:v>
      </x:c>
      <x:c r="I780" t="str">
        <x:v>higher</x:v>
      </x:c>
    </x:row>
    <x:row r="781" ht="15.75" customHeight="1">
      <x:c r="A781" t="str">
        <x:v>RVX-00033</x:v>
      </x:c>
      <x:c r="B781" t="n">
        <x:v>2</x:v>
      </x:c>
      <x:c r="C781" s="15" t="n">
        <x:v>46174</x:v>
      </x:c>
      <x:c r="D781" t="str">
        <x:v>impulse</x:v>
      </x:c>
      <x:c r="E781" t="str">
        <x:v>Impulse-Momentum</x:v>
      </x:c>
      <x:c r="F781" t="str">
        <x:v>Strength &amp; Power</x:v>
      </x:c>
      <x:c r="G781" t="n">
        <x:v>198.8</x:v>
      </x:c>
      <x:c r="H781" t="str">
        <x:v>Ns</x:v>
      </x:c>
      <x:c r="I781" t="str">
        <x:v>higher</x:v>
      </x:c>
    </x:row>
    <x:row r="782" ht="15.75" customHeight="1">
      <x:c r="A782" t="str">
        <x:v>RVX-00033</x:v>
      </x:c>
      <x:c r="B782" t="n">
        <x:v>3</x:v>
      </x:c>
      <x:c r="C782" s="15" t="n">
        <x:v>46202</x:v>
      </x:c>
      <x:c r="D782" t="str">
        <x:v>sprint_5m</x:v>
      </x:c>
      <x:c r="E782" t="str">
        <x:v>5m Sprint</x:v>
      </x:c>
      <x:c r="F782" t="str">
        <x:v>Acceleration</x:v>
      </x:c>
      <x:c r="G782" t="n">
        <x:v>1.17</x:v>
      </x:c>
      <x:c r="H782" t="str">
        <x:v>sec</x:v>
      </x:c>
      <x:c r="I782" t="str">
        <x:v>lower</x:v>
      </x:c>
    </x:row>
    <x:row r="783" ht="15.75" customHeight="1">
      <x:c r="A783" t="str">
        <x:v>RVX-00033</x:v>
      </x:c>
      <x:c r="B783" t="n">
        <x:v>3</x:v>
      </x:c>
      <x:c r="C783" s="15" t="n">
        <x:v>46202</x:v>
      </x:c>
      <x:c r="D783" t="str">
        <x:v>sprint_10m</x:v>
      </x:c>
      <x:c r="E783" t="str">
        <x:v>10m Sprint</x:v>
      </x:c>
      <x:c r="F783" t="str">
        <x:v>Acceleration</x:v>
      </x:c>
      <x:c r="G783" t="n">
        <x:v>2.02</x:v>
      </x:c>
      <x:c r="H783" t="str">
        <x:v>sec</x:v>
      </x:c>
      <x:c r="I783" t="str">
        <x:v>lower</x:v>
      </x:c>
    </x:row>
    <x:row r="784" ht="15.75" customHeight="1">
      <x:c r="A784" t="str">
        <x:v>RVX-00033</x:v>
      </x:c>
      <x:c r="B784" t="n">
        <x:v>3</x:v>
      </x:c>
      <x:c r="C784" s="15" t="n">
        <x:v>46202</x:v>
      </x:c>
      <x:c r="D784" t="str">
        <x:v>pro_agility</x:v>
      </x:c>
      <x:c r="E784" t="str">
        <x:v>5-10-5 Pro Agility</x:v>
      </x:c>
      <x:c r="F784" t="str">
        <x:v>Agility</x:v>
      </x:c>
      <x:c r="G784" t="n">
        <x:v>5.11</x:v>
      </x:c>
      <x:c r="H784" t="str">
        <x:v>sec</x:v>
      </x:c>
      <x:c r="I784" t="str">
        <x:v>lower</x:v>
      </x:c>
    </x:row>
    <x:row r="785" ht="15.75" customHeight="1">
      <x:c r="A785" t="str">
        <x:v>RVX-00033</x:v>
      </x:c>
      <x:c r="B785" t="n">
        <x:v>3</x:v>
      </x:c>
      <x:c r="C785" s="15" t="n">
        <x:v>46202</x:v>
      </x:c>
      <x:c r="D785" t="str">
        <x:v>cmj_depth</x:v>
      </x:c>
      <x:c r="E785" t="str">
        <x:v>Countermovement Depth</x:v>
      </x:c>
      <x:c r="F785" t="str">
        <x:v>Movement</x:v>
      </x:c>
      <x:c r="G785" t="n">
        <x:v>27.4</x:v>
      </x:c>
      <x:c r="H785" t="str">
        <x:v>cm</x:v>
      </x:c>
      <x:c r="I785" t="str">
        <x:v>higher</x:v>
      </x:c>
    </x:row>
    <x:row r="786" ht="15.75" customHeight="1">
      <x:c r="A786" t="str">
        <x:v>RVX-00033</x:v>
      </x:c>
      <x:c r="B786" t="n">
        <x:v>3</x:v>
      </x:c>
      <x:c r="C786" s="15" t="n">
        <x:v>46202</x:v>
      </x:c>
      <x:c r="D786" t="str">
        <x:v>peak_force</x:v>
      </x:c>
      <x:c r="E786" t="str">
        <x:v>Peak Force</x:v>
      </x:c>
      <x:c r="F786" t="str">
        <x:v>Strength &amp; Power</x:v>
      </x:c>
      <x:c r="G786" t="n">
        <x:v>1668</x:v>
      </x:c>
      <x:c r="H786" t="str">
        <x:v>N</x:v>
      </x:c>
      <x:c r="I786" t="str">
        <x:v>higher</x:v>
      </x:c>
    </x:row>
    <x:row r="787" ht="15.75" customHeight="1">
      <x:c r="A787" t="str">
        <x:v>RVX-00033</x:v>
      </x:c>
      <x:c r="B787" t="n">
        <x:v>3</x:v>
      </x:c>
      <x:c r="C787" s="15" t="n">
        <x:v>46202</x:v>
      </x:c>
      <x:c r="D787" t="str">
        <x:v>impulse</x:v>
      </x:c>
      <x:c r="E787" t="str">
        <x:v>Impulse-Momentum</x:v>
      </x:c>
      <x:c r="F787" t="str">
        <x:v>Strength &amp; Power</x:v>
      </x:c>
      <x:c r="G787" t="n">
        <x:v>202.2</x:v>
      </x:c>
      <x:c r="H787" t="str">
        <x:v>Ns</x:v>
      </x:c>
      <x:c r="I787" t="str">
        <x:v>higher</x:v>
      </x:c>
    </x:row>
    <x:row r="788" ht="15.75" customHeight="1">
      <x:c r="A788" t="str">
        <x:v>RVX-00033</x:v>
      </x:c>
      <x:c r="B788" t="n">
        <x:v>4</x:v>
      </x:c>
      <x:c r="C788" s="15" t="n">
        <x:v>46230</x:v>
      </x:c>
      <x:c r="D788" t="str">
        <x:v>sprint_5m</x:v>
      </x:c>
      <x:c r="E788" t="str">
        <x:v>5m Sprint</x:v>
      </x:c>
      <x:c r="F788" t="str">
        <x:v>Acceleration</x:v>
      </x:c>
      <x:c r="G788" t="n">
        <x:v>1.16</x:v>
      </x:c>
      <x:c r="H788" t="str">
        <x:v>sec</x:v>
      </x:c>
      <x:c r="I788" t="str">
        <x:v>lower</x:v>
      </x:c>
    </x:row>
    <x:row r="789" ht="15.75" customHeight="1">
      <x:c r="A789" t="str">
        <x:v>RVX-00033</x:v>
      </x:c>
      <x:c r="B789" t="n">
        <x:v>4</x:v>
      </x:c>
      <x:c r="C789" s="15" t="n">
        <x:v>46230</x:v>
      </x:c>
      <x:c r="D789" t="str">
        <x:v>sprint_10m</x:v>
      </x:c>
      <x:c r="E789" t="str">
        <x:v>10m Sprint</x:v>
      </x:c>
      <x:c r="F789" t="str">
        <x:v>Acceleration</x:v>
      </x:c>
      <x:c r="G789" t="n">
        <x:v>1.99</x:v>
      </x:c>
      <x:c r="H789" t="str">
        <x:v>sec</x:v>
      </x:c>
      <x:c r="I789" t="str">
        <x:v>lower</x:v>
      </x:c>
    </x:row>
    <x:row r="790" ht="15.75" customHeight="1">
      <x:c r="A790" t="str">
        <x:v>RVX-00033</x:v>
      </x:c>
      <x:c r="B790" t="n">
        <x:v>4</x:v>
      </x:c>
      <x:c r="C790" s="15" t="n">
        <x:v>46230</x:v>
      </x:c>
      <x:c r="D790" t="str">
        <x:v>pro_agility</x:v>
      </x:c>
      <x:c r="E790" t="str">
        <x:v>5-10-5 Pro Agility</x:v>
      </x:c>
      <x:c r="F790" t="str">
        <x:v>Agility</x:v>
      </x:c>
      <x:c r="G790" t="n">
        <x:v>4.97</x:v>
      </x:c>
      <x:c r="H790" t="str">
        <x:v>sec</x:v>
      </x:c>
      <x:c r="I790" t="str">
        <x:v>lower</x:v>
      </x:c>
    </x:row>
    <x:row r="791" ht="15.75" customHeight="1">
      <x:c r="A791" t="str">
        <x:v>RVX-00033</x:v>
      </x:c>
      <x:c r="B791" t="n">
        <x:v>4</x:v>
      </x:c>
      <x:c r="C791" s="15" t="n">
        <x:v>46230</x:v>
      </x:c>
      <x:c r="D791" t="str">
        <x:v>cmj_depth</x:v>
      </x:c>
      <x:c r="E791" t="str">
        <x:v>Countermovement Depth</x:v>
      </x:c>
      <x:c r="F791" t="str">
        <x:v>Movement</x:v>
      </x:c>
      <x:c r="G791" t="n">
        <x:v>28.6</x:v>
      </x:c>
      <x:c r="H791" t="str">
        <x:v>cm</x:v>
      </x:c>
      <x:c r="I791" t="str">
        <x:v>higher</x:v>
      </x:c>
    </x:row>
    <x:row r="792" ht="15.75" customHeight="1">
      <x:c r="A792" t="str">
        <x:v>RVX-00033</x:v>
      </x:c>
      <x:c r="B792" t="n">
        <x:v>4</x:v>
      </x:c>
      <x:c r="C792" s="15" t="n">
        <x:v>46230</x:v>
      </x:c>
      <x:c r="D792" t="str">
        <x:v>peak_force</x:v>
      </x:c>
      <x:c r="E792" t="str">
        <x:v>Peak Force</x:v>
      </x:c>
      <x:c r="F792" t="str">
        <x:v>Strength &amp; Power</x:v>
      </x:c>
      <x:c r="G792" t="n">
        <x:v>1667</x:v>
      </x:c>
      <x:c r="H792" t="str">
        <x:v>N</x:v>
      </x:c>
      <x:c r="I792" t="str">
        <x:v>higher</x:v>
      </x:c>
    </x:row>
    <x:row r="793" ht="15.75" customHeight="1">
      <x:c r="A793" t="str">
        <x:v>RVX-00033</x:v>
      </x:c>
      <x:c r="B793" t="n">
        <x:v>4</x:v>
      </x:c>
      <x:c r="C793" s="15" t="n">
        <x:v>46230</x:v>
      </x:c>
      <x:c r="D793" t="str">
        <x:v>impulse</x:v>
      </x:c>
      <x:c r="E793" t="str">
        <x:v>Impulse-Momentum</x:v>
      </x:c>
      <x:c r="F793" t="str">
        <x:v>Strength &amp; Power</x:v>
      </x:c>
      <x:c r="G793" t="n">
        <x:v>201.6</x:v>
      </x:c>
      <x:c r="H793" t="str">
        <x:v>Ns</x:v>
      </x:c>
      <x:c r="I793" t="str">
        <x:v>higher</x:v>
      </x:c>
    </x:row>
    <x:row r="794" ht="15.75" customHeight="1">
      <x:c r="A794" t="str">
        <x:v>RVX-00034</x:v>
      </x:c>
      <x:c r="B794" t="n">
        <x:v>1</x:v>
      </x:c>
      <x:c r="C794" s="15" t="n">
        <x:v>46146</x:v>
      </x:c>
      <x:c r="D794" t="str">
        <x:v>sprint_5m</x:v>
      </x:c>
      <x:c r="E794" t="str">
        <x:v>5m Sprint</x:v>
      </x:c>
      <x:c r="F794" t="str">
        <x:v>Acceleration</x:v>
      </x:c>
      <x:c r="G794" t="n">
        <x:v>0.95</x:v>
      </x:c>
      <x:c r="H794" t="str">
        <x:v>sec</x:v>
      </x:c>
      <x:c r="I794" t="str">
        <x:v>lower</x:v>
      </x:c>
    </x:row>
    <x:row r="795" ht="15.75" customHeight="1">
      <x:c r="A795" t="str">
        <x:v>RVX-00034</x:v>
      </x:c>
      <x:c r="B795" t="n">
        <x:v>1</x:v>
      </x:c>
      <x:c r="C795" s="15" t="n">
        <x:v>46146</x:v>
      </x:c>
      <x:c r="D795" t="str">
        <x:v>sprint_10m</x:v>
      </x:c>
      <x:c r="E795" t="str">
        <x:v>10m Sprint</x:v>
      </x:c>
      <x:c r="F795" t="str">
        <x:v>Acceleration</x:v>
      </x:c>
      <x:c r="G795" t="n">
        <x:v>1.65</x:v>
      </x:c>
      <x:c r="H795" t="str">
        <x:v>sec</x:v>
      </x:c>
      <x:c r="I795" t="str">
        <x:v>lower</x:v>
      </x:c>
    </x:row>
    <x:row r="796" ht="15.75" customHeight="1">
      <x:c r="A796" t="str">
        <x:v>RVX-00034</x:v>
      </x:c>
      <x:c r="B796" t="n">
        <x:v>1</x:v>
      </x:c>
      <x:c r="C796" s="15" t="n">
        <x:v>46146</x:v>
      </x:c>
      <x:c r="D796" t="str">
        <x:v>pro_agility</x:v>
      </x:c>
      <x:c r="E796" t="str">
        <x:v>5-10-5 Pro Agility</x:v>
      </x:c>
      <x:c r="F796" t="str">
        <x:v>Agility</x:v>
      </x:c>
      <x:c r="G796" t="n">
        <x:v>4.24</x:v>
      </x:c>
      <x:c r="H796" t="str">
        <x:v>sec</x:v>
      </x:c>
      <x:c r="I796" t="str">
        <x:v>lower</x:v>
      </x:c>
    </x:row>
    <x:row r="797" ht="15.75" customHeight="1">
      <x:c r="A797" t="str">
        <x:v>RVX-00034</x:v>
      </x:c>
      <x:c r="B797" t="n">
        <x:v>1</x:v>
      </x:c>
      <x:c r="C797" s="15" t="n">
        <x:v>46146</x:v>
      </x:c>
      <x:c r="D797" t="str">
        <x:v>cmj_depth</x:v>
      </x:c>
      <x:c r="E797" t="str">
        <x:v>Countermovement Depth</x:v>
      </x:c>
      <x:c r="F797" t="str">
        <x:v>Movement</x:v>
      </x:c>
      <x:c r="G797" t="n">
        <x:v>36.9</x:v>
      </x:c>
      <x:c r="H797" t="str">
        <x:v>cm</x:v>
      </x:c>
      <x:c r="I797" t="str">
        <x:v>higher</x:v>
      </x:c>
    </x:row>
    <x:row r="798" ht="15.75" customHeight="1">
      <x:c r="A798" t="str">
        <x:v>RVX-00034</x:v>
      </x:c>
      <x:c r="B798" t="n">
        <x:v>1</x:v>
      </x:c>
      <x:c r="C798" s="15" t="n">
        <x:v>46146</x:v>
      </x:c>
      <x:c r="D798" t="str">
        <x:v>peak_force</x:v>
      </x:c>
      <x:c r="E798" t="str">
        <x:v>Peak Force</x:v>
      </x:c>
      <x:c r="F798" t="str">
        <x:v>Strength &amp; Power</x:v>
      </x:c>
      <x:c r="G798" t="n">
        <x:v>2090</x:v>
      </x:c>
      <x:c r="H798" t="str">
        <x:v>N</x:v>
      </x:c>
      <x:c r="I798" t="str">
        <x:v>higher</x:v>
      </x:c>
    </x:row>
    <x:row r="799" ht="15.75" customHeight="1">
      <x:c r="A799" t="str">
        <x:v>RVX-00034</x:v>
      </x:c>
      <x:c r="B799" t="n">
        <x:v>1</x:v>
      </x:c>
      <x:c r="C799" s="15" t="n">
        <x:v>46146</x:v>
      </x:c>
      <x:c r="D799" t="str">
        <x:v>impulse</x:v>
      </x:c>
      <x:c r="E799" t="str">
        <x:v>Impulse-Momentum</x:v>
      </x:c>
      <x:c r="F799" t="str">
        <x:v>Strength &amp; Power</x:v>
      </x:c>
      <x:c r="G799" t="n">
        <x:v>258.2</x:v>
      </x:c>
      <x:c r="H799" t="str">
        <x:v>Ns</x:v>
      </x:c>
      <x:c r="I799" t="str">
        <x:v>higher</x:v>
      </x:c>
    </x:row>
    <x:row r="800" ht="15.75" customHeight="1">
      <x:c r="A800" t="str">
        <x:v>RVX-00034</x:v>
      </x:c>
      <x:c r="B800" t="n">
        <x:v>2</x:v>
      </x:c>
      <x:c r="C800" s="15" t="n">
        <x:v>46174</x:v>
      </x:c>
      <x:c r="D800" t="str">
        <x:v>sprint_5m</x:v>
      </x:c>
      <x:c r="E800" t="str">
        <x:v>5m Sprint</x:v>
      </x:c>
      <x:c r="F800" t="str">
        <x:v>Acceleration</x:v>
      </x:c>
      <x:c r="G800" t="n">
        <x:v>0.94</x:v>
      </x:c>
      <x:c r="H800" t="str">
        <x:v>sec</x:v>
      </x:c>
      <x:c r="I800" t="str">
        <x:v>lower</x:v>
      </x:c>
    </x:row>
    <x:row r="801" ht="15.75" customHeight="1">
      <x:c r="A801" t="str">
        <x:v>RVX-00034</x:v>
      </x:c>
      <x:c r="B801" t="n">
        <x:v>2</x:v>
      </x:c>
      <x:c r="C801" s="15" t="n">
        <x:v>46174</x:v>
      </x:c>
      <x:c r="D801" t="str">
        <x:v>sprint_10m</x:v>
      </x:c>
      <x:c r="E801" t="str">
        <x:v>10m Sprint</x:v>
      </x:c>
      <x:c r="F801" t="str">
        <x:v>Acceleration</x:v>
      </x:c>
      <x:c r="G801" t="n">
        <x:v>1.55</x:v>
      </x:c>
      <x:c r="H801" t="str">
        <x:v>sec</x:v>
      </x:c>
      <x:c r="I801" t="str">
        <x:v>lower</x:v>
      </x:c>
    </x:row>
    <x:row r="802" ht="15.75" customHeight="1">
      <x:c r="A802" t="str">
        <x:v>RVX-00034</x:v>
      </x:c>
      <x:c r="B802" t="n">
        <x:v>2</x:v>
      </x:c>
      <x:c r="C802" s="15" t="n">
        <x:v>46174</x:v>
      </x:c>
      <x:c r="D802" t="str">
        <x:v>pro_agility</x:v>
      </x:c>
      <x:c r="E802" t="str">
        <x:v>5-10-5 Pro Agility</x:v>
      </x:c>
      <x:c r="F802" t="str">
        <x:v>Agility</x:v>
      </x:c>
      <x:c r="G802" t="n">
        <x:v>4.09</x:v>
      </x:c>
      <x:c r="H802" t="str">
        <x:v>sec</x:v>
      </x:c>
      <x:c r="I802" t="str">
        <x:v>lower</x:v>
      </x:c>
    </x:row>
    <x:row r="803" ht="15.75" customHeight="1">
      <x:c r="A803" t="str">
        <x:v>RVX-00034</x:v>
      </x:c>
      <x:c r="B803" t="n">
        <x:v>2</x:v>
      </x:c>
      <x:c r="C803" s="15" t="n">
        <x:v>46174</x:v>
      </x:c>
      <x:c r="D803" t="str">
        <x:v>cmj_depth</x:v>
      </x:c>
      <x:c r="E803" t="str">
        <x:v>Countermovement Depth</x:v>
      </x:c>
      <x:c r="F803" t="str">
        <x:v>Movement</x:v>
      </x:c>
      <x:c r="G803" t="n">
        <x:v>37.4</x:v>
      </x:c>
      <x:c r="H803" t="str">
        <x:v>cm</x:v>
      </x:c>
      <x:c r="I803" t="str">
        <x:v>higher</x:v>
      </x:c>
    </x:row>
    <x:row r="804" ht="15.75" customHeight="1">
      <x:c r="A804" t="str">
        <x:v>RVX-00034</x:v>
      </x:c>
      <x:c r="B804" t="n">
        <x:v>2</x:v>
      </x:c>
      <x:c r="C804" s="15" t="n">
        <x:v>46174</x:v>
      </x:c>
      <x:c r="D804" t="str">
        <x:v>peak_force</x:v>
      </x:c>
      <x:c r="E804" t="str">
        <x:v>Peak Force</x:v>
      </x:c>
      <x:c r="F804" t="str">
        <x:v>Strength &amp; Power</x:v>
      </x:c>
      <x:c r="G804" t="n">
        <x:v>2120</x:v>
      </x:c>
      <x:c r="H804" t="str">
        <x:v>N</x:v>
      </x:c>
      <x:c r="I804" t="str">
        <x:v>higher</x:v>
      </x:c>
    </x:row>
    <x:row r="805" ht="15.75" customHeight="1">
      <x:c r="A805" t="str">
        <x:v>RVX-00034</x:v>
      </x:c>
      <x:c r="B805" t="n">
        <x:v>2</x:v>
      </x:c>
      <x:c r="C805" s="15" t="n">
        <x:v>46174</x:v>
      </x:c>
      <x:c r="D805" t="str">
        <x:v>impulse</x:v>
      </x:c>
      <x:c r="E805" t="str">
        <x:v>Impulse-Momentum</x:v>
      </x:c>
      <x:c r="F805" t="str">
        <x:v>Strength &amp; Power</x:v>
      </x:c>
      <x:c r="G805" t="n">
        <x:v>265.1</x:v>
      </x:c>
      <x:c r="H805" t="str">
        <x:v>Ns</x:v>
      </x:c>
      <x:c r="I805" t="str">
        <x:v>higher</x:v>
      </x:c>
    </x:row>
    <x:row r="806" ht="15.75" customHeight="1">
      <x:c r="A806" t="str">
        <x:v>RVX-00034</x:v>
      </x:c>
      <x:c r="B806" t="n">
        <x:v>3</x:v>
      </x:c>
      <x:c r="C806" s="15" t="n">
        <x:v>46202</x:v>
      </x:c>
      <x:c r="D806" t="str">
        <x:v>sprint_5m</x:v>
      </x:c>
      <x:c r="E806" t="str">
        <x:v>5m Sprint</x:v>
      </x:c>
      <x:c r="F806" t="str">
        <x:v>Acceleration</x:v>
      </x:c>
      <x:c r="G806" t="n">
        <x:v>0.94</x:v>
      </x:c>
      <x:c r="H806" t="str">
        <x:v>sec</x:v>
      </x:c>
      <x:c r="I806" t="str">
        <x:v>lower</x:v>
      </x:c>
    </x:row>
    <x:row r="807" ht="15.75" customHeight="1">
      <x:c r="A807" t="str">
        <x:v>RVX-00034</x:v>
      </x:c>
      <x:c r="B807" t="n">
        <x:v>3</x:v>
      </x:c>
      <x:c r="C807" s="15" t="n">
        <x:v>46202</x:v>
      </x:c>
      <x:c r="D807" t="str">
        <x:v>sprint_10m</x:v>
      </x:c>
      <x:c r="E807" t="str">
        <x:v>10m Sprint</x:v>
      </x:c>
      <x:c r="F807" t="str">
        <x:v>Acceleration</x:v>
      </x:c>
      <x:c r="G807" t="n">
        <x:v>1.58</x:v>
      </x:c>
      <x:c r="H807" t="str">
        <x:v>sec</x:v>
      </x:c>
      <x:c r="I807" t="str">
        <x:v>lower</x:v>
      </x:c>
    </x:row>
    <x:row r="808" ht="15.75" customHeight="1">
      <x:c r="A808" t="str">
        <x:v>RVX-00034</x:v>
      </x:c>
      <x:c r="B808" t="n">
        <x:v>3</x:v>
      </x:c>
      <x:c r="C808" s="15" t="n">
        <x:v>46202</x:v>
      </x:c>
      <x:c r="D808" t="str">
        <x:v>pro_agility</x:v>
      </x:c>
      <x:c r="E808" t="str">
        <x:v>5-10-5 Pro Agility</x:v>
      </x:c>
      <x:c r="F808" t="str">
        <x:v>Agility</x:v>
      </x:c>
      <x:c r="G808" t="n">
        <x:v>3.91</x:v>
      </x:c>
      <x:c r="H808" t="str">
        <x:v>sec</x:v>
      </x:c>
      <x:c r="I808" t="str">
        <x:v>lower</x:v>
      </x:c>
    </x:row>
    <x:row r="809" ht="15.75" customHeight="1">
      <x:c r="A809" t="str">
        <x:v>RVX-00034</x:v>
      </x:c>
      <x:c r="B809" t="n">
        <x:v>3</x:v>
      </x:c>
      <x:c r="C809" s="15" t="n">
        <x:v>46202</x:v>
      </x:c>
      <x:c r="D809" t="str">
        <x:v>cmj_depth</x:v>
      </x:c>
      <x:c r="E809" t="str">
        <x:v>Countermovement Depth</x:v>
      </x:c>
      <x:c r="F809" t="str">
        <x:v>Movement</x:v>
      </x:c>
      <x:c r="G809" t="n">
        <x:v>38</x:v>
      </x:c>
      <x:c r="H809" t="str">
        <x:v>cm</x:v>
      </x:c>
      <x:c r="I809" t="str">
        <x:v>higher</x:v>
      </x:c>
    </x:row>
    <x:row r="810" ht="15.75" customHeight="1">
      <x:c r="A810" t="str">
        <x:v>RVX-00034</x:v>
      </x:c>
      <x:c r="B810" t="n">
        <x:v>3</x:v>
      </x:c>
      <x:c r="C810" s="15" t="n">
        <x:v>46202</x:v>
      </x:c>
      <x:c r="D810" t="str">
        <x:v>peak_force</x:v>
      </x:c>
      <x:c r="E810" t="str">
        <x:v>Peak Force</x:v>
      </x:c>
      <x:c r="F810" t="str">
        <x:v>Strength &amp; Power</x:v>
      </x:c>
      <x:c r="G810" t="n">
        <x:v>2218</x:v>
      </x:c>
      <x:c r="H810" t="str">
        <x:v>N</x:v>
      </x:c>
      <x:c r="I810" t="str">
        <x:v>higher</x:v>
      </x:c>
    </x:row>
    <x:row r="811" ht="15.75" customHeight="1">
      <x:c r="A811" t="str">
        <x:v>RVX-00034</x:v>
      </x:c>
      <x:c r="B811" t="n">
        <x:v>3</x:v>
      </x:c>
      <x:c r="C811" s="15" t="n">
        <x:v>46202</x:v>
      </x:c>
      <x:c r="D811" t="str">
        <x:v>impulse</x:v>
      </x:c>
      <x:c r="E811" t="str">
        <x:v>Impulse-Momentum</x:v>
      </x:c>
      <x:c r="F811" t="str">
        <x:v>Strength &amp; Power</x:v>
      </x:c>
      <x:c r="G811" t="n">
        <x:v>271.6</x:v>
      </x:c>
      <x:c r="H811" t="str">
        <x:v>Ns</x:v>
      </x:c>
      <x:c r="I811" t="str">
        <x:v>higher</x:v>
      </x:c>
    </x:row>
    <x:row r="812" ht="15.75" customHeight="1">
      <x:c r="A812" t="str">
        <x:v>RVX-00034</x:v>
      </x:c>
      <x:c r="B812" t="n">
        <x:v>4</x:v>
      </x:c>
      <x:c r="C812" s="15" t="n">
        <x:v>46230</x:v>
      </x:c>
      <x:c r="D812" t="str">
        <x:v>sprint_5m</x:v>
      </x:c>
      <x:c r="E812" t="str">
        <x:v>5m Sprint</x:v>
      </x:c>
      <x:c r="F812" t="str">
        <x:v>Acceleration</x:v>
      </x:c>
      <x:c r="G812" t="n">
        <x:v>0.9</x:v>
      </x:c>
      <x:c r="H812" t="str">
        <x:v>sec</x:v>
      </x:c>
      <x:c r="I812" t="str">
        <x:v>lower</x:v>
      </x:c>
    </x:row>
    <x:row r="813" ht="15.75" customHeight="1">
      <x:c r="A813" t="str">
        <x:v>RVX-00034</x:v>
      </x:c>
      <x:c r="B813" t="n">
        <x:v>4</x:v>
      </x:c>
      <x:c r="C813" s="15" t="n">
        <x:v>46230</x:v>
      </x:c>
      <x:c r="D813" t="str">
        <x:v>sprint_10m</x:v>
      </x:c>
      <x:c r="E813" t="str">
        <x:v>10m Sprint</x:v>
      </x:c>
      <x:c r="F813" t="str">
        <x:v>Acceleration</x:v>
      </x:c>
      <x:c r="G813" t="n">
        <x:v>1.52</x:v>
      </x:c>
      <x:c r="H813" t="str">
        <x:v>sec</x:v>
      </x:c>
      <x:c r="I813" t="str">
        <x:v>lower</x:v>
      </x:c>
    </x:row>
    <x:row r="814" ht="15.75" customHeight="1">
      <x:c r="A814" t="str">
        <x:v>RVX-00034</x:v>
      </x:c>
      <x:c r="B814" t="n">
        <x:v>4</x:v>
      </x:c>
      <x:c r="C814" s="15" t="n">
        <x:v>46230</x:v>
      </x:c>
      <x:c r="D814" t="str">
        <x:v>pro_agility</x:v>
      </x:c>
      <x:c r="E814" t="str">
        <x:v>5-10-5 Pro Agility</x:v>
      </x:c>
      <x:c r="F814" t="str">
        <x:v>Agility</x:v>
      </x:c>
      <x:c r="G814" t="n">
        <x:v>3.95</x:v>
      </x:c>
      <x:c r="H814" t="str">
        <x:v>sec</x:v>
      </x:c>
      <x:c r="I814" t="str">
        <x:v>lower</x:v>
      </x:c>
    </x:row>
    <x:row r="815" ht="15.75" customHeight="1">
      <x:c r="A815" t="str">
        <x:v>RVX-00034</x:v>
      </x:c>
      <x:c r="B815" t="n">
        <x:v>4</x:v>
      </x:c>
      <x:c r="C815" s="15" t="n">
        <x:v>46230</x:v>
      </x:c>
      <x:c r="D815" t="str">
        <x:v>cmj_depth</x:v>
      </x:c>
      <x:c r="E815" t="str">
        <x:v>Countermovement Depth</x:v>
      </x:c>
      <x:c r="F815" t="str">
        <x:v>Movement</x:v>
      </x:c>
      <x:c r="G815" t="n">
        <x:v>37.4</x:v>
      </x:c>
      <x:c r="H815" t="str">
        <x:v>cm</x:v>
      </x:c>
      <x:c r="I815" t="str">
        <x:v>higher</x:v>
      </x:c>
    </x:row>
    <x:row r="816" ht="15.75" customHeight="1">
      <x:c r="A816" t="str">
        <x:v>RVX-00034</x:v>
      </x:c>
      <x:c r="B816" t="n">
        <x:v>4</x:v>
      </x:c>
      <x:c r="C816" s="15" t="n">
        <x:v>46230</x:v>
      </x:c>
      <x:c r="D816" t="str">
        <x:v>peak_force</x:v>
      </x:c>
      <x:c r="E816" t="str">
        <x:v>Peak Force</x:v>
      </x:c>
      <x:c r="F816" t="str">
        <x:v>Strength &amp; Power</x:v>
      </x:c>
      <x:c r="G816" t="n">
        <x:v>2198</x:v>
      </x:c>
      <x:c r="H816" t="str">
        <x:v>N</x:v>
      </x:c>
      <x:c r="I816" t="str">
        <x:v>higher</x:v>
      </x:c>
    </x:row>
    <x:row r="817" ht="15.75" customHeight="1">
      <x:c r="A817" t="str">
        <x:v>RVX-00034</x:v>
      </x:c>
      <x:c r="B817" t="n">
        <x:v>4</x:v>
      </x:c>
      <x:c r="C817" s="15" t="n">
        <x:v>46230</x:v>
      </x:c>
      <x:c r="D817" t="str">
        <x:v>impulse</x:v>
      </x:c>
      <x:c r="E817" t="str">
        <x:v>Impulse-Momentum</x:v>
      </x:c>
      <x:c r="F817" t="str">
        <x:v>Strength &amp; Power</x:v>
      </x:c>
      <x:c r="G817" t="n">
        <x:v>268.6</x:v>
      </x:c>
      <x:c r="H817" t="str">
        <x:v>Ns</x:v>
      </x:c>
      <x:c r="I817" t="str">
        <x:v>higher</x:v>
      </x:c>
    </x:row>
    <x:row r="818" ht="15.75" customHeight="1">
      <x:c r="A818" t="str">
        <x:v>RVX-00035</x:v>
      </x:c>
      <x:c r="B818" t="n">
        <x:v>1</x:v>
      </x:c>
      <x:c r="C818" s="15" t="n">
        <x:v>46146</x:v>
      </x:c>
      <x:c r="D818" t="str">
        <x:v>sprint_5m</x:v>
      </x:c>
      <x:c r="E818" t="str">
        <x:v>5m Sprint</x:v>
      </x:c>
      <x:c r="F818" t="str">
        <x:v>Acceleration</x:v>
      </x:c>
      <x:c r="G818" t="n">
        <x:v>1.11</x:v>
      </x:c>
      <x:c r="H818" t="str">
        <x:v>sec</x:v>
      </x:c>
      <x:c r="I818" t="str">
        <x:v>lower</x:v>
      </x:c>
    </x:row>
    <x:row r="819" ht="15.75" customHeight="1">
      <x:c r="A819" t="str">
        <x:v>RVX-00035</x:v>
      </x:c>
      <x:c r="B819" t="n">
        <x:v>1</x:v>
      </x:c>
      <x:c r="C819" s="15" t="n">
        <x:v>46146</x:v>
      </x:c>
      <x:c r="D819" t="str">
        <x:v>sprint_10m</x:v>
      </x:c>
      <x:c r="E819" t="str">
        <x:v>10m Sprint</x:v>
      </x:c>
      <x:c r="F819" t="str">
        <x:v>Acceleration</x:v>
      </x:c>
      <x:c r="G819" t="n">
        <x:v>1.85</x:v>
      </x:c>
      <x:c r="H819" t="str">
        <x:v>sec</x:v>
      </x:c>
      <x:c r="I819" t="str">
        <x:v>lower</x:v>
      </x:c>
    </x:row>
    <x:row r="820" ht="15.75" customHeight="1">
      <x:c r="A820" t="str">
        <x:v>RVX-00035</x:v>
      </x:c>
      <x:c r="B820" t="n">
        <x:v>1</x:v>
      </x:c>
      <x:c r="C820" s="15" t="n">
        <x:v>46146</x:v>
      </x:c>
      <x:c r="D820" t="str">
        <x:v>pro_agility</x:v>
      </x:c>
      <x:c r="E820" t="str">
        <x:v>5-10-5 Pro Agility</x:v>
      </x:c>
      <x:c r="F820" t="str">
        <x:v>Agility</x:v>
      </x:c>
      <x:c r="G820" t="n">
        <x:v>4.75</x:v>
      </x:c>
      <x:c r="H820" t="str">
        <x:v>sec</x:v>
      </x:c>
      <x:c r="I820" t="str">
        <x:v>lower</x:v>
      </x:c>
    </x:row>
    <x:row r="821" ht="15.75" customHeight="1">
      <x:c r="A821" t="str">
        <x:v>RVX-00035</x:v>
      </x:c>
      <x:c r="B821" t="n">
        <x:v>1</x:v>
      </x:c>
      <x:c r="C821" s="15" t="n">
        <x:v>46146</x:v>
      </x:c>
      <x:c r="D821" t="str">
        <x:v>cmj_depth</x:v>
      </x:c>
      <x:c r="E821" t="str">
        <x:v>Countermovement Depth</x:v>
      </x:c>
      <x:c r="F821" t="str">
        <x:v>Movement</x:v>
      </x:c>
      <x:c r="G821" t="n">
        <x:v>29.4</x:v>
      </x:c>
      <x:c r="H821" t="str">
        <x:v>cm</x:v>
      </x:c>
      <x:c r="I821" t="str">
        <x:v>higher</x:v>
      </x:c>
    </x:row>
    <x:row r="822" ht="15.75" customHeight="1">
      <x:c r="A822" t="str">
        <x:v>RVX-00035</x:v>
      </x:c>
      <x:c r="B822" t="n">
        <x:v>1</x:v>
      </x:c>
      <x:c r="C822" s="15" t="n">
        <x:v>46146</x:v>
      </x:c>
      <x:c r="D822" t="str">
        <x:v>peak_force</x:v>
      </x:c>
      <x:c r="E822" t="str">
        <x:v>Peak Force</x:v>
      </x:c>
      <x:c r="F822" t="str">
        <x:v>Strength &amp; Power</x:v>
      </x:c>
      <x:c r="G822" t="n">
        <x:v>1744</x:v>
      </x:c>
      <x:c r="H822" t="str">
        <x:v>N</x:v>
      </x:c>
      <x:c r="I822" t="str">
        <x:v>higher</x:v>
      </x:c>
    </x:row>
    <x:row r="823" ht="15.75" customHeight="1">
      <x:c r="A823" t="str">
        <x:v>RVX-00035</x:v>
      </x:c>
      <x:c r="B823" t="n">
        <x:v>1</x:v>
      </x:c>
      <x:c r="C823" s="15" t="n">
        <x:v>46146</x:v>
      </x:c>
      <x:c r="D823" t="str">
        <x:v>impulse</x:v>
      </x:c>
      <x:c r="E823" t="str">
        <x:v>Impulse-Momentum</x:v>
      </x:c>
      <x:c r="F823" t="str">
        <x:v>Strength &amp; Power</x:v>
      </x:c>
      <x:c r="G823" t="n">
        <x:v>218.3</x:v>
      </x:c>
      <x:c r="H823" t="str">
        <x:v>Ns</x:v>
      </x:c>
      <x:c r="I823" t="str">
        <x:v>higher</x:v>
      </x:c>
    </x:row>
    <x:row r="824" ht="15.75" customHeight="1">
      <x:c r="A824" t="str">
        <x:v>RVX-00035</x:v>
      </x:c>
      <x:c r="B824" t="n">
        <x:v>2</x:v>
      </x:c>
      <x:c r="C824" s="15" t="n">
        <x:v>46174</x:v>
      </x:c>
      <x:c r="D824" t="str">
        <x:v>sprint_5m</x:v>
      </x:c>
      <x:c r="E824" t="str">
        <x:v>5m Sprint</x:v>
      </x:c>
      <x:c r="F824" t="str">
        <x:v>Acceleration</x:v>
      </x:c>
      <x:c r="G824" t="n">
        <x:v>1.08</x:v>
      </x:c>
      <x:c r="H824" t="str">
        <x:v>sec</x:v>
      </x:c>
      <x:c r="I824" t="str">
        <x:v>lower</x:v>
      </x:c>
    </x:row>
    <x:row r="825" ht="15.75" customHeight="1">
      <x:c r="A825" t="str">
        <x:v>RVX-00035</x:v>
      </x:c>
      <x:c r="B825" t="n">
        <x:v>2</x:v>
      </x:c>
      <x:c r="C825" s="15" t="n">
        <x:v>46174</x:v>
      </x:c>
      <x:c r="D825" t="str">
        <x:v>sprint_10m</x:v>
      </x:c>
      <x:c r="E825" t="str">
        <x:v>10m Sprint</x:v>
      </x:c>
      <x:c r="F825" t="str">
        <x:v>Acceleration</x:v>
      </x:c>
      <x:c r="G825" t="n">
        <x:v>1.89</x:v>
      </x:c>
      <x:c r="H825" t="str">
        <x:v>sec</x:v>
      </x:c>
      <x:c r="I825" t="str">
        <x:v>lower</x:v>
      </x:c>
    </x:row>
    <x:row r="826" ht="15.75" customHeight="1">
      <x:c r="A826" t="str">
        <x:v>RVX-00035</x:v>
      </x:c>
      <x:c r="B826" t="n">
        <x:v>2</x:v>
      </x:c>
      <x:c r="C826" s="15" t="n">
        <x:v>46174</x:v>
      </x:c>
      <x:c r="D826" t="str">
        <x:v>pro_agility</x:v>
      </x:c>
      <x:c r="E826" t="str">
        <x:v>5-10-5 Pro Agility</x:v>
      </x:c>
      <x:c r="F826" t="str">
        <x:v>Agility</x:v>
      </x:c>
      <x:c r="G826" t="n">
        <x:v>4.83</x:v>
      </x:c>
      <x:c r="H826" t="str">
        <x:v>sec</x:v>
      </x:c>
      <x:c r="I826" t="str">
        <x:v>lower</x:v>
      </x:c>
    </x:row>
    <x:row r="827" ht="15.75" customHeight="1">
      <x:c r="A827" t="str">
        <x:v>RVX-00035</x:v>
      </x:c>
      <x:c r="B827" t="n">
        <x:v>2</x:v>
      </x:c>
      <x:c r="C827" s="15" t="n">
        <x:v>46174</x:v>
      </x:c>
      <x:c r="D827" t="str">
        <x:v>cmj_depth</x:v>
      </x:c>
      <x:c r="E827" t="str">
        <x:v>Countermovement Depth</x:v>
      </x:c>
      <x:c r="F827" t="str">
        <x:v>Movement</x:v>
      </x:c>
      <x:c r="G827" t="n">
        <x:v>30.7</x:v>
      </x:c>
      <x:c r="H827" t="str">
        <x:v>cm</x:v>
      </x:c>
      <x:c r="I827" t="str">
        <x:v>higher</x:v>
      </x:c>
    </x:row>
    <x:row r="828" ht="15.75" customHeight="1">
      <x:c r="A828" t="str">
        <x:v>RVX-00035</x:v>
      </x:c>
      <x:c r="B828" t="n">
        <x:v>2</x:v>
      </x:c>
      <x:c r="C828" s="15" t="n">
        <x:v>46174</x:v>
      </x:c>
      <x:c r="D828" t="str">
        <x:v>peak_force</x:v>
      </x:c>
      <x:c r="E828" t="str">
        <x:v>Peak Force</x:v>
      </x:c>
      <x:c r="F828" t="str">
        <x:v>Strength &amp; Power</x:v>
      </x:c>
      <x:c r="G828" t="n">
        <x:v>1758</x:v>
      </x:c>
      <x:c r="H828" t="str">
        <x:v>N</x:v>
      </x:c>
      <x:c r="I828" t="str">
        <x:v>higher</x:v>
      </x:c>
    </x:row>
    <x:row r="829" ht="15.75" customHeight="1">
      <x:c r="A829" t="str">
        <x:v>RVX-00035</x:v>
      </x:c>
      <x:c r="B829" t="n">
        <x:v>2</x:v>
      </x:c>
      <x:c r="C829" s="15" t="n">
        <x:v>46174</x:v>
      </x:c>
      <x:c r="D829" t="str">
        <x:v>impulse</x:v>
      </x:c>
      <x:c r="E829" t="str">
        <x:v>Impulse-Momentum</x:v>
      </x:c>
      <x:c r="F829" t="str">
        <x:v>Strength &amp; Power</x:v>
      </x:c>
      <x:c r="G829" t="n">
        <x:v>223.9</x:v>
      </x:c>
      <x:c r="H829" t="str">
        <x:v>Ns</x:v>
      </x:c>
      <x:c r="I829" t="str">
        <x:v>higher</x:v>
      </x:c>
    </x:row>
    <x:row r="830" ht="15.75" customHeight="1">
      <x:c r="A830" t="str">
        <x:v>RVX-00035</x:v>
      </x:c>
      <x:c r="B830" t="n">
        <x:v>3</x:v>
      </x:c>
      <x:c r="C830" s="15" t="n">
        <x:v>46202</x:v>
      </x:c>
      <x:c r="D830" t="str">
        <x:v>sprint_5m</x:v>
      </x:c>
      <x:c r="E830" t="str">
        <x:v>5m Sprint</x:v>
      </x:c>
      <x:c r="F830" t="str">
        <x:v>Acceleration</x:v>
      </x:c>
      <x:c r="G830" t="n">
        <x:v>1.06</x:v>
      </x:c>
      <x:c r="H830" t="str">
        <x:v>sec</x:v>
      </x:c>
      <x:c r="I830" t="str">
        <x:v>lower</x:v>
      </x:c>
    </x:row>
    <x:row r="831" ht="15.75" customHeight="1">
      <x:c r="A831" t="str">
        <x:v>RVX-00035</x:v>
      </x:c>
      <x:c r="B831" t="n">
        <x:v>3</x:v>
      </x:c>
      <x:c r="C831" s="15" t="n">
        <x:v>46202</x:v>
      </x:c>
      <x:c r="D831" t="str">
        <x:v>sprint_10m</x:v>
      </x:c>
      <x:c r="E831" t="str">
        <x:v>10m Sprint</x:v>
      </x:c>
      <x:c r="F831" t="str">
        <x:v>Acceleration</x:v>
      </x:c>
      <x:c r="G831" t="n">
        <x:v>1.84</x:v>
      </x:c>
      <x:c r="H831" t="str">
        <x:v>sec</x:v>
      </x:c>
      <x:c r="I831" t="str">
        <x:v>lower</x:v>
      </x:c>
    </x:row>
    <x:row r="832" ht="15.75" customHeight="1">
      <x:c r="A832" t="str">
        <x:v>RVX-00035</x:v>
      </x:c>
      <x:c r="B832" t="n">
        <x:v>3</x:v>
      </x:c>
      <x:c r="C832" s="15" t="n">
        <x:v>46202</x:v>
      </x:c>
      <x:c r="D832" t="str">
        <x:v>pro_agility</x:v>
      </x:c>
      <x:c r="E832" t="str">
        <x:v>5-10-5 Pro Agility</x:v>
      </x:c>
      <x:c r="F832" t="str">
        <x:v>Agility</x:v>
      </x:c>
      <x:c r="G832" t="n">
        <x:v>4.72</x:v>
      </x:c>
      <x:c r="H832" t="str">
        <x:v>sec</x:v>
      </x:c>
      <x:c r="I832" t="str">
        <x:v>lower</x:v>
      </x:c>
    </x:row>
    <x:row r="833" ht="15.75" customHeight="1">
      <x:c r="A833" t="str">
        <x:v>RVX-00035</x:v>
      </x:c>
      <x:c r="B833" t="n">
        <x:v>3</x:v>
      </x:c>
      <x:c r="C833" s="15" t="n">
        <x:v>46202</x:v>
      </x:c>
      <x:c r="D833" t="str">
        <x:v>cmj_depth</x:v>
      </x:c>
      <x:c r="E833" t="str">
        <x:v>Countermovement Depth</x:v>
      </x:c>
      <x:c r="F833" t="str">
        <x:v>Movement</x:v>
      </x:c>
      <x:c r="G833" t="n">
        <x:v>30.8</x:v>
      </x:c>
      <x:c r="H833" t="str">
        <x:v>cm</x:v>
      </x:c>
      <x:c r="I833" t="str">
        <x:v>higher</x:v>
      </x:c>
    </x:row>
    <x:row r="834" ht="15.75" customHeight="1">
      <x:c r="A834" t="str">
        <x:v>RVX-00035</x:v>
      </x:c>
      <x:c r="B834" t="n">
        <x:v>3</x:v>
      </x:c>
      <x:c r="C834" s="15" t="n">
        <x:v>46202</x:v>
      </x:c>
      <x:c r="D834" t="str">
        <x:v>peak_force</x:v>
      </x:c>
      <x:c r="E834" t="str">
        <x:v>Peak Force</x:v>
      </x:c>
      <x:c r="F834" t="str">
        <x:v>Strength &amp; Power</x:v>
      </x:c>
      <x:c r="G834" t="n">
        <x:v>1817</x:v>
      </x:c>
      <x:c r="H834" t="str">
        <x:v>N</x:v>
      </x:c>
      <x:c r="I834" t="str">
        <x:v>higher</x:v>
      </x:c>
    </x:row>
    <x:row r="835" ht="15.75" customHeight="1">
      <x:c r="A835" t="str">
        <x:v>RVX-00035</x:v>
      </x:c>
      <x:c r="B835" t="n">
        <x:v>3</x:v>
      </x:c>
      <x:c r="C835" s="15" t="n">
        <x:v>46202</x:v>
      </x:c>
      <x:c r="D835" t="str">
        <x:v>impulse</x:v>
      </x:c>
      <x:c r="E835" t="str">
        <x:v>Impulse-Momentum</x:v>
      </x:c>
      <x:c r="F835" t="str">
        <x:v>Strength &amp; Power</x:v>
      </x:c>
      <x:c r="G835" t="n">
        <x:v>221.2</x:v>
      </x:c>
      <x:c r="H835" t="str">
        <x:v>Ns</x:v>
      </x:c>
      <x:c r="I835" t="str">
        <x:v>higher</x:v>
      </x:c>
    </x:row>
    <x:row r="836" ht="15.75" customHeight="1">
      <x:c r="A836" t="str">
        <x:v>RVX-00035</x:v>
      </x:c>
      <x:c r="B836" t="n">
        <x:v>4</x:v>
      </x:c>
      <x:c r="C836" s="15" t="n">
        <x:v>46230</x:v>
      </x:c>
      <x:c r="D836" t="str">
        <x:v>sprint_5m</x:v>
      </x:c>
      <x:c r="E836" t="str">
        <x:v>5m Sprint</x:v>
      </x:c>
      <x:c r="F836" t="str">
        <x:v>Acceleration</x:v>
      </x:c>
      <x:c r="G836" t="n">
        <x:v>1.06</x:v>
      </x:c>
      <x:c r="H836" t="str">
        <x:v>sec</x:v>
      </x:c>
      <x:c r="I836" t="str">
        <x:v>lower</x:v>
      </x:c>
    </x:row>
    <x:row r="837" ht="15.75" customHeight="1">
      <x:c r="A837" t="str">
        <x:v>RVX-00035</x:v>
      </x:c>
      <x:c r="B837" t="n">
        <x:v>4</x:v>
      </x:c>
      <x:c r="C837" s="15" t="n">
        <x:v>46230</x:v>
      </x:c>
      <x:c r="D837" t="str">
        <x:v>sprint_10m</x:v>
      </x:c>
      <x:c r="E837" t="str">
        <x:v>10m Sprint</x:v>
      </x:c>
      <x:c r="F837" t="str">
        <x:v>Acceleration</x:v>
      </x:c>
      <x:c r="G837" t="n">
        <x:v>1.82</x:v>
      </x:c>
      <x:c r="H837" t="str">
        <x:v>sec</x:v>
      </x:c>
      <x:c r="I837" t="str">
        <x:v>lower</x:v>
      </x:c>
    </x:row>
    <x:row r="838" ht="15.75" customHeight="1">
      <x:c r="A838" t="str">
        <x:v>RVX-00035</x:v>
      </x:c>
      <x:c r="B838" t="n">
        <x:v>4</x:v>
      </x:c>
      <x:c r="C838" s="15" t="n">
        <x:v>46230</x:v>
      </x:c>
      <x:c r="D838" t="str">
        <x:v>pro_agility</x:v>
      </x:c>
      <x:c r="E838" t="str">
        <x:v>5-10-5 Pro Agility</x:v>
      </x:c>
      <x:c r="F838" t="str">
        <x:v>Agility</x:v>
      </x:c>
      <x:c r="G838" t="n">
        <x:v>4.5</x:v>
      </x:c>
      <x:c r="H838" t="str">
        <x:v>sec</x:v>
      </x:c>
      <x:c r="I838" t="str">
        <x:v>lower</x:v>
      </x:c>
    </x:row>
    <x:row r="839" ht="15.75" customHeight="1">
      <x:c r="A839" t="str">
        <x:v>RVX-00035</x:v>
      </x:c>
      <x:c r="B839" t="n">
        <x:v>4</x:v>
      </x:c>
      <x:c r="C839" s="15" t="n">
        <x:v>46230</x:v>
      </x:c>
      <x:c r="D839" t="str">
        <x:v>cmj_depth</x:v>
      </x:c>
      <x:c r="E839" t="str">
        <x:v>Countermovement Depth</x:v>
      </x:c>
      <x:c r="F839" t="str">
        <x:v>Movement</x:v>
      </x:c>
      <x:c r="G839" t="n">
        <x:v>31.1</x:v>
      </x:c>
      <x:c r="H839" t="str">
        <x:v>cm</x:v>
      </x:c>
      <x:c r="I839" t="str">
        <x:v>higher</x:v>
      </x:c>
    </x:row>
    <x:row r="840" ht="15.75" customHeight="1">
      <x:c r="A840" t="str">
        <x:v>RVX-00035</x:v>
      </x:c>
      <x:c r="B840" t="n">
        <x:v>4</x:v>
      </x:c>
      <x:c r="C840" s="15" t="n">
        <x:v>46230</x:v>
      </x:c>
      <x:c r="D840" t="str">
        <x:v>peak_force</x:v>
      </x:c>
      <x:c r="E840" t="str">
        <x:v>Peak Force</x:v>
      </x:c>
      <x:c r="F840" t="str">
        <x:v>Strength &amp; Power</x:v>
      </x:c>
      <x:c r="G840" t="n">
        <x:v>1865</x:v>
      </x:c>
      <x:c r="H840" t="str">
        <x:v>N</x:v>
      </x:c>
      <x:c r="I840" t="str">
        <x:v>higher</x:v>
      </x:c>
    </x:row>
    <x:row r="841" ht="15.75" customHeight="1">
      <x:c r="A841" t="str">
        <x:v>RVX-00035</x:v>
      </x:c>
      <x:c r="B841" t="n">
        <x:v>4</x:v>
      </x:c>
      <x:c r="C841" s="15" t="n">
        <x:v>46230</x:v>
      </x:c>
      <x:c r="D841" t="str">
        <x:v>impulse</x:v>
      </x:c>
      <x:c r="E841" t="str">
        <x:v>Impulse-Momentum</x:v>
      </x:c>
      <x:c r="F841" t="str">
        <x:v>Strength &amp; Power</x:v>
      </x:c>
      <x:c r="G841" t="n">
        <x:v>229.7</x:v>
      </x:c>
      <x:c r="H841" t="str">
        <x:v>Ns</x:v>
      </x:c>
      <x:c r="I841" t="str">
        <x:v>higher</x:v>
      </x:c>
    </x:row>
    <x:row r="842" ht="15.75" customHeight="1">
      <x:c r="A842" t="str">
        <x:v>RVX-00036</x:v>
      </x:c>
      <x:c r="B842" t="n">
        <x:v>1</x:v>
      </x:c>
      <x:c r="C842" s="15" t="n">
        <x:v>46146</x:v>
      </x:c>
      <x:c r="D842" t="str">
        <x:v>sprint_5m</x:v>
      </x:c>
      <x:c r="E842" t="str">
        <x:v>5m Sprint</x:v>
      </x:c>
      <x:c r="F842" t="str">
        <x:v>Acceleration</x:v>
      </x:c>
      <x:c r="G842" t="n">
        <x:v>1.21</x:v>
      </x:c>
      <x:c r="H842" t="str">
        <x:v>sec</x:v>
      </x:c>
      <x:c r="I842" t="str">
        <x:v>lower</x:v>
      </x:c>
    </x:row>
    <x:row r="843" ht="15.75" customHeight="1">
      <x:c r="A843" t="str">
        <x:v>RVX-00036</x:v>
      </x:c>
      <x:c r="B843" t="n">
        <x:v>1</x:v>
      </x:c>
      <x:c r="C843" s="15" t="n">
        <x:v>46146</x:v>
      </x:c>
      <x:c r="D843" t="str">
        <x:v>sprint_10m</x:v>
      </x:c>
      <x:c r="E843" t="str">
        <x:v>10m Sprint</x:v>
      </x:c>
      <x:c r="F843" t="str">
        <x:v>Acceleration</x:v>
      </x:c>
      <x:c r="G843" t="n">
        <x:v>2</x:v>
      </x:c>
      <x:c r="H843" t="str">
        <x:v>sec</x:v>
      </x:c>
      <x:c r="I843" t="str">
        <x:v>lower</x:v>
      </x:c>
    </x:row>
    <x:row r="844" ht="15.75" customHeight="1">
      <x:c r="A844" t="str">
        <x:v>RVX-00036</x:v>
      </x:c>
      <x:c r="B844" t="n">
        <x:v>1</x:v>
      </x:c>
      <x:c r="C844" s="15" t="n">
        <x:v>46146</x:v>
      </x:c>
      <x:c r="D844" t="str">
        <x:v>pro_agility</x:v>
      </x:c>
      <x:c r="E844" t="str">
        <x:v>5-10-5 Pro Agility</x:v>
      </x:c>
      <x:c r="F844" t="str">
        <x:v>Agility</x:v>
      </x:c>
      <x:c r="G844" t="n">
        <x:v>5.07</x:v>
      </x:c>
      <x:c r="H844" t="str">
        <x:v>sec</x:v>
      </x:c>
      <x:c r="I844" t="str">
        <x:v>lower</x:v>
      </x:c>
    </x:row>
    <x:row r="845" ht="15.75" customHeight="1">
      <x:c r="A845" t="str">
        <x:v>RVX-00036</x:v>
      </x:c>
      <x:c r="B845" t="n">
        <x:v>1</x:v>
      </x:c>
      <x:c r="C845" s="15" t="n">
        <x:v>46146</x:v>
      </x:c>
      <x:c r="D845" t="str">
        <x:v>cmj_depth</x:v>
      </x:c>
      <x:c r="E845" t="str">
        <x:v>Countermovement Depth</x:v>
      </x:c>
      <x:c r="F845" t="str">
        <x:v>Movement</x:v>
      </x:c>
      <x:c r="G845" t="n">
        <x:v>27.9</x:v>
      </x:c>
      <x:c r="H845" t="str">
        <x:v>cm</x:v>
      </x:c>
      <x:c r="I845" t="str">
        <x:v>higher</x:v>
      </x:c>
    </x:row>
    <x:row r="846" ht="15.75" customHeight="1">
      <x:c r="A846" t="str">
        <x:v>RVX-00036</x:v>
      </x:c>
      <x:c r="B846" t="n">
        <x:v>1</x:v>
      </x:c>
      <x:c r="C846" s="15" t="n">
        <x:v>46146</x:v>
      </x:c>
      <x:c r="D846" t="str">
        <x:v>peak_force</x:v>
      </x:c>
      <x:c r="E846" t="str">
        <x:v>Peak Force</x:v>
      </x:c>
      <x:c r="F846" t="str">
        <x:v>Strength &amp; Power</x:v>
      </x:c>
      <x:c r="G846" t="n">
        <x:v>1680</x:v>
      </x:c>
      <x:c r="H846" t="str">
        <x:v>N</x:v>
      </x:c>
      <x:c r="I846" t="str">
        <x:v>higher</x:v>
      </x:c>
    </x:row>
    <x:row r="847" ht="15.75" customHeight="1">
      <x:c r="A847" t="str">
        <x:v>RVX-00036</x:v>
      </x:c>
      <x:c r="B847" t="n">
        <x:v>1</x:v>
      </x:c>
      <x:c r="C847" s="15" t="n">
        <x:v>46146</x:v>
      </x:c>
      <x:c r="D847" t="str">
        <x:v>impulse</x:v>
      </x:c>
      <x:c r="E847" t="str">
        <x:v>Impulse-Momentum</x:v>
      </x:c>
      <x:c r="F847" t="str">
        <x:v>Strength &amp; Power</x:v>
      </x:c>
      <x:c r="G847" t="n">
        <x:v>202.8</x:v>
      </x:c>
      <x:c r="H847" t="str">
        <x:v>Ns</x:v>
      </x:c>
      <x:c r="I847" t="str">
        <x:v>higher</x:v>
      </x:c>
    </x:row>
    <x:row r="848" ht="15.75" customHeight="1">
      <x:c r="A848" t="str">
        <x:v>RVX-00036</x:v>
      </x:c>
      <x:c r="B848" t="n">
        <x:v>2</x:v>
      </x:c>
      <x:c r="C848" s="15" t="n">
        <x:v>46174</x:v>
      </x:c>
      <x:c r="D848" t="str">
        <x:v>sprint_5m</x:v>
      </x:c>
      <x:c r="E848" t="str">
        <x:v>5m Sprint</x:v>
      </x:c>
      <x:c r="F848" t="str">
        <x:v>Acceleration</x:v>
      </x:c>
      <x:c r="G848" t="n">
        <x:v>1.18</x:v>
      </x:c>
      <x:c r="H848" t="str">
        <x:v>sec</x:v>
      </x:c>
      <x:c r="I848" t="str">
        <x:v>lower</x:v>
      </x:c>
    </x:row>
    <x:row r="849" ht="15.75" customHeight="1">
      <x:c r="A849" t="str">
        <x:v>RVX-00036</x:v>
      </x:c>
      <x:c r="B849" t="n">
        <x:v>2</x:v>
      </x:c>
      <x:c r="C849" s="15" t="n">
        <x:v>46174</x:v>
      </x:c>
      <x:c r="D849" t="str">
        <x:v>sprint_10m</x:v>
      </x:c>
      <x:c r="E849" t="str">
        <x:v>10m Sprint</x:v>
      </x:c>
      <x:c r="F849" t="str">
        <x:v>Acceleration</x:v>
      </x:c>
      <x:c r="G849" t="n">
        <x:v>1.98</x:v>
      </x:c>
      <x:c r="H849" t="str">
        <x:v>sec</x:v>
      </x:c>
      <x:c r="I849" t="str">
        <x:v>lower</x:v>
      </x:c>
    </x:row>
    <x:row r="850" ht="15.75" customHeight="1">
      <x:c r="A850" t="str">
        <x:v>RVX-00036</x:v>
      </x:c>
      <x:c r="B850" t="n">
        <x:v>2</x:v>
      </x:c>
      <x:c r="C850" s="15" t="n">
        <x:v>46174</x:v>
      </x:c>
      <x:c r="D850" t="str">
        <x:v>pro_agility</x:v>
      </x:c>
      <x:c r="E850" t="str">
        <x:v>5-10-5 Pro Agility</x:v>
      </x:c>
      <x:c r="F850" t="str">
        <x:v>Agility</x:v>
      </x:c>
      <x:c r="G850" t="n">
        <x:v>5.2</x:v>
      </x:c>
      <x:c r="H850" t="str">
        <x:v>sec</x:v>
      </x:c>
      <x:c r="I850" t="str">
        <x:v>lower</x:v>
      </x:c>
    </x:row>
    <x:row r="851" ht="15.75" customHeight="1">
      <x:c r="A851" t="str">
        <x:v>RVX-00036</x:v>
      </x:c>
      <x:c r="B851" t="n">
        <x:v>2</x:v>
      </x:c>
      <x:c r="C851" s="15" t="n">
        <x:v>46174</x:v>
      </x:c>
      <x:c r="D851" t="str">
        <x:v>cmj_depth</x:v>
      </x:c>
      <x:c r="E851" t="str">
        <x:v>Countermovement Depth</x:v>
      </x:c>
      <x:c r="F851" t="str">
        <x:v>Movement</x:v>
      </x:c>
      <x:c r="G851" t="n">
        <x:v>29.1</x:v>
      </x:c>
      <x:c r="H851" t="str">
        <x:v>cm</x:v>
      </x:c>
      <x:c r="I851" t="str">
        <x:v>higher</x:v>
      </x:c>
    </x:row>
    <x:row r="852" ht="15.75" customHeight="1">
      <x:c r="A852" t="str">
        <x:v>RVX-00036</x:v>
      </x:c>
      <x:c r="B852" t="n">
        <x:v>2</x:v>
      </x:c>
      <x:c r="C852" s="15" t="n">
        <x:v>46174</x:v>
      </x:c>
      <x:c r="D852" t="str">
        <x:v>peak_force</x:v>
      </x:c>
      <x:c r="E852" t="str">
        <x:v>Peak Force</x:v>
      </x:c>
      <x:c r="F852" t="str">
        <x:v>Strength &amp; Power</x:v>
      </x:c>
      <x:c r="G852" t="n">
        <x:v>1645</x:v>
      </x:c>
      <x:c r="H852" t="str">
        <x:v>N</x:v>
      </x:c>
      <x:c r="I852" t="str">
        <x:v>higher</x:v>
      </x:c>
    </x:row>
    <x:row r="853" ht="15.75" customHeight="1">
      <x:c r="A853" t="str">
        <x:v>RVX-00036</x:v>
      </x:c>
      <x:c r="B853" t="n">
        <x:v>2</x:v>
      </x:c>
      <x:c r="C853" s="15" t="n">
        <x:v>46174</x:v>
      </x:c>
      <x:c r="D853" t="str">
        <x:v>impulse</x:v>
      </x:c>
      <x:c r="E853" t="str">
        <x:v>Impulse-Momentum</x:v>
      </x:c>
      <x:c r="F853" t="str">
        <x:v>Strength &amp; Power</x:v>
      </x:c>
      <x:c r="G853" t="n">
        <x:v>201.8</x:v>
      </x:c>
      <x:c r="H853" t="str">
        <x:v>Ns</x:v>
      </x:c>
      <x:c r="I853" t="str">
        <x:v>higher</x:v>
      </x:c>
    </x:row>
    <x:row r="854" ht="15.75" customHeight="1">
      <x:c r="A854" t="str">
        <x:v>RVX-00036</x:v>
      </x:c>
      <x:c r="B854" t="n">
        <x:v>3</x:v>
      </x:c>
      <x:c r="C854" s="15" t="n">
        <x:v>46202</x:v>
      </x:c>
      <x:c r="D854" t="str">
        <x:v>sprint_5m</x:v>
      </x:c>
      <x:c r="E854" t="str">
        <x:v>5m Sprint</x:v>
      </x:c>
      <x:c r="F854" t="str">
        <x:v>Acceleration</x:v>
      </x:c>
      <x:c r="G854" t="n">
        <x:v>1.15</x:v>
      </x:c>
      <x:c r="H854" t="str">
        <x:v>sec</x:v>
      </x:c>
      <x:c r="I854" t="str">
        <x:v>lower</x:v>
      </x:c>
    </x:row>
    <x:row r="855" ht="15.75" customHeight="1">
      <x:c r="A855" t="str">
        <x:v>RVX-00036</x:v>
      </x:c>
      <x:c r="B855" t="n">
        <x:v>3</x:v>
      </x:c>
      <x:c r="C855" s="15" t="n">
        <x:v>46202</x:v>
      </x:c>
      <x:c r="D855" t="str">
        <x:v>sprint_10m</x:v>
      </x:c>
      <x:c r="E855" t="str">
        <x:v>10m Sprint</x:v>
      </x:c>
      <x:c r="F855" t="str">
        <x:v>Acceleration</x:v>
      </x:c>
      <x:c r="G855" t="n">
        <x:v>1.95</x:v>
      </x:c>
      <x:c r="H855" t="str">
        <x:v>sec</x:v>
      </x:c>
      <x:c r="I855" t="str">
        <x:v>lower</x:v>
      </x:c>
    </x:row>
    <x:row r="856" ht="15.75" customHeight="1">
      <x:c r="A856" t="str">
        <x:v>RVX-00036</x:v>
      </x:c>
      <x:c r="B856" t="n">
        <x:v>3</x:v>
      </x:c>
      <x:c r="C856" s="15" t="n">
        <x:v>46202</x:v>
      </x:c>
      <x:c r="D856" t="str">
        <x:v>pro_agility</x:v>
      </x:c>
      <x:c r="E856" t="str">
        <x:v>5-10-5 Pro Agility</x:v>
      </x:c>
      <x:c r="F856" t="str">
        <x:v>Agility</x:v>
      </x:c>
      <x:c r="G856" t="n">
        <x:v>4.89</x:v>
      </x:c>
      <x:c r="H856" t="str">
        <x:v>sec</x:v>
      </x:c>
      <x:c r="I856" t="str">
        <x:v>lower</x:v>
      </x:c>
    </x:row>
    <x:row r="857" ht="15.75" customHeight="1">
      <x:c r="A857" t="str">
        <x:v>RVX-00036</x:v>
      </x:c>
      <x:c r="B857" t="n">
        <x:v>3</x:v>
      </x:c>
      <x:c r="C857" s="15" t="n">
        <x:v>46202</x:v>
      </x:c>
      <x:c r="D857" t="str">
        <x:v>cmj_depth</x:v>
      </x:c>
      <x:c r="E857" t="str">
        <x:v>Countermovement Depth</x:v>
      </x:c>
      <x:c r="F857" t="str">
        <x:v>Movement</x:v>
      </x:c>
      <x:c r="G857" t="n">
        <x:v>29.6</x:v>
      </x:c>
      <x:c r="H857" t="str">
        <x:v>cm</x:v>
      </x:c>
      <x:c r="I857" t="str">
        <x:v>higher</x:v>
      </x:c>
    </x:row>
    <x:row r="858" ht="15.75" customHeight="1">
      <x:c r="A858" t="str">
        <x:v>RVX-00036</x:v>
      </x:c>
      <x:c r="B858" t="n">
        <x:v>3</x:v>
      </x:c>
      <x:c r="C858" s="15" t="n">
        <x:v>46202</x:v>
      </x:c>
      <x:c r="D858" t="str">
        <x:v>peak_force</x:v>
      </x:c>
      <x:c r="E858" t="str">
        <x:v>Peak Force</x:v>
      </x:c>
      <x:c r="F858" t="str">
        <x:v>Strength &amp; Power</x:v>
      </x:c>
      <x:c r="G858" t="n">
        <x:v>1731</x:v>
      </x:c>
      <x:c r="H858" t="str">
        <x:v>N</x:v>
      </x:c>
      <x:c r="I858" t="str">
        <x:v>higher</x:v>
      </x:c>
    </x:row>
    <x:row r="859" ht="15.75" customHeight="1">
      <x:c r="A859" t="str">
        <x:v>RVX-00036</x:v>
      </x:c>
      <x:c r="B859" t="n">
        <x:v>3</x:v>
      </x:c>
      <x:c r="C859" s="15" t="n">
        <x:v>46202</x:v>
      </x:c>
      <x:c r="D859" t="str">
        <x:v>impulse</x:v>
      </x:c>
      <x:c r="E859" t="str">
        <x:v>Impulse-Momentum</x:v>
      </x:c>
      <x:c r="F859" t="str">
        <x:v>Strength &amp; Power</x:v>
      </x:c>
      <x:c r="G859" t="n">
        <x:v>207.5</x:v>
      </x:c>
      <x:c r="H859" t="str">
        <x:v>Ns</x:v>
      </x:c>
      <x:c r="I859" t="str">
        <x:v>higher</x:v>
      </x:c>
    </x:row>
    <x:row r="860" ht="15.75" customHeight="1">
      <x:c r="A860" t="str">
        <x:v>RVX-00036</x:v>
      </x:c>
      <x:c r="B860" t="n">
        <x:v>4</x:v>
      </x:c>
      <x:c r="C860" s="15" t="n">
        <x:v>46230</x:v>
      </x:c>
      <x:c r="D860" t="str">
        <x:v>sprint_5m</x:v>
      </x:c>
      <x:c r="E860" t="str">
        <x:v>5m Sprint</x:v>
      </x:c>
      <x:c r="F860" t="str">
        <x:v>Acceleration</x:v>
      </x:c>
      <x:c r="G860" t="n">
        <x:v>1.15</x:v>
      </x:c>
      <x:c r="H860" t="str">
        <x:v>sec</x:v>
      </x:c>
      <x:c r="I860" t="str">
        <x:v>lower</x:v>
      </x:c>
    </x:row>
    <x:row r="861" ht="15.75" customHeight="1">
      <x:c r="A861" t="str">
        <x:v>RVX-00036</x:v>
      </x:c>
      <x:c r="B861" t="n">
        <x:v>4</x:v>
      </x:c>
      <x:c r="C861" s="15" t="n">
        <x:v>46230</x:v>
      </x:c>
      <x:c r="D861" t="str">
        <x:v>sprint_10m</x:v>
      </x:c>
      <x:c r="E861" t="str">
        <x:v>10m Sprint</x:v>
      </x:c>
      <x:c r="F861" t="str">
        <x:v>Acceleration</x:v>
      </x:c>
      <x:c r="G861" t="n">
        <x:v>1.96</x:v>
      </x:c>
      <x:c r="H861" t="str">
        <x:v>sec</x:v>
      </x:c>
      <x:c r="I861" t="str">
        <x:v>lower</x:v>
      </x:c>
    </x:row>
    <x:row r="862" ht="15.75" customHeight="1">
      <x:c r="A862" t="str">
        <x:v>RVX-00036</x:v>
      </x:c>
      <x:c r="B862" t="n">
        <x:v>4</x:v>
      </x:c>
      <x:c r="C862" s="15" t="n">
        <x:v>46230</x:v>
      </x:c>
      <x:c r="D862" t="str">
        <x:v>pro_agility</x:v>
      </x:c>
      <x:c r="E862" t="str">
        <x:v>5-10-5 Pro Agility</x:v>
      </x:c>
      <x:c r="F862" t="str">
        <x:v>Agility</x:v>
      </x:c>
      <x:c r="G862" t="n">
        <x:v>4.93</x:v>
      </x:c>
      <x:c r="H862" t="str">
        <x:v>sec</x:v>
      </x:c>
      <x:c r="I862" t="str">
        <x:v>lower</x:v>
      </x:c>
    </x:row>
    <x:row r="863" ht="15.75" customHeight="1">
      <x:c r="A863" t="str">
        <x:v>RVX-00036</x:v>
      </x:c>
      <x:c r="B863" t="n">
        <x:v>4</x:v>
      </x:c>
      <x:c r="C863" s="15" t="n">
        <x:v>46230</x:v>
      </x:c>
      <x:c r="D863" t="str">
        <x:v>cmj_depth</x:v>
      </x:c>
      <x:c r="E863" t="str">
        <x:v>Countermovement Depth</x:v>
      </x:c>
      <x:c r="F863" t="str">
        <x:v>Movement</x:v>
      </x:c>
      <x:c r="G863" t="n">
        <x:v>30.1</x:v>
      </x:c>
      <x:c r="H863" t="str">
        <x:v>cm</x:v>
      </x:c>
      <x:c r="I863" t="str">
        <x:v>higher</x:v>
      </x:c>
    </x:row>
    <x:row r="864" ht="15.75" customHeight="1">
      <x:c r="A864" t="str">
        <x:v>RVX-00036</x:v>
      </x:c>
      <x:c r="B864" t="n">
        <x:v>4</x:v>
      </x:c>
      <x:c r="C864" s="15" t="n">
        <x:v>46230</x:v>
      </x:c>
      <x:c r="D864" t="str">
        <x:v>peak_force</x:v>
      </x:c>
      <x:c r="E864" t="str">
        <x:v>Peak Force</x:v>
      </x:c>
      <x:c r="F864" t="str">
        <x:v>Strength &amp; Power</x:v>
      </x:c>
      <x:c r="G864" t="n">
        <x:v>1710</x:v>
      </x:c>
      <x:c r="H864" t="str">
        <x:v>N</x:v>
      </x:c>
      <x:c r="I864" t="str">
        <x:v>higher</x:v>
      </x:c>
    </x:row>
    <x:row r="865" ht="15.75" customHeight="1">
      <x:c r="A865" t="str">
        <x:v>RVX-00036</x:v>
      </x:c>
      <x:c r="B865" t="n">
        <x:v>4</x:v>
      </x:c>
      <x:c r="C865" s="15" t="n">
        <x:v>46230</x:v>
      </x:c>
      <x:c r="D865" t="str">
        <x:v>impulse</x:v>
      </x:c>
      <x:c r="E865" t="str">
        <x:v>Impulse-Momentum</x:v>
      </x:c>
      <x:c r="F865" t="str">
        <x:v>Strength &amp; Power</x:v>
      </x:c>
      <x:c r="G865" t="n">
        <x:v>209.1</x:v>
      </x:c>
      <x:c r="H865" t="str">
        <x:v>Ns</x:v>
      </x:c>
      <x:c r="I865" t="str">
        <x:v>higher</x:v>
      </x:c>
    </x:row>
    <x:row r="866" ht="15.75" customHeight="1">
      <x:c r="A866" t="str">
        <x:v>RVX-00037</x:v>
      </x:c>
      <x:c r="B866" t="n">
        <x:v>1</x:v>
      </x:c>
      <x:c r="C866" s="15" t="n">
        <x:v>46146</x:v>
      </x:c>
      <x:c r="D866" t="str">
        <x:v>sprint_5m</x:v>
      </x:c>
      <x:c r="E866" t="str">
        <x:v>5m Sprint</x:v>
      </x:c>
      <x:c r="F866" t="str">
        <x:v>Acceleration</x:v>
      </x:c>
      <x:c r="G866" t="n">
        <x:v>1.01</x:v>
      </x:c>
      <x:c r="H866" t="str">
        <x:v>sec</x:v>
      </x:c>
      <x:c r="I866" t="str">
        <x:v>lower</x:v>
      </x:c>
    </x:row>
    <x:row r="867" ht="15.75" customHeight="1">
      <x:c r="A867" t="str">
        <x:v>RVX-00037</x:v>
      </x:c>
      <x:c r="B867" t="n">
        <x:v>1</x:v>
      </x:c>
      <x:c r="C867" s="15" t="n">
        <x:v>46146</x:v>
      </x:c>
      <x:c r="D867" t="str">
        <x:v>sprint_10m</x:v>
      </x:c>
      <x:c r="E867" t="str">
        <x:v>10m Sprint</x:v>
      </x:c>
      <x:c r="F867" t="str">
        <x:v>Acceleration</x:v>
      </x:c>
      <x:c r="G867" t="n">
        <x:v>1.71</x:v>
      </x:c>
      <x:c r="H867" t="str">
        <x:v>sec</x:v>
      </x:c>
      <x:c r="I867" t="str">
        <x:v>lower</x:v>
      </x:c>
    </x:row>
    <x:row r="868" ht="15.75" customHeight="1">
      <x:c r="A868" t="str">
        <x:v>RVX-00037</x:v>
      </x:c>
      <x:c r="B868" t="n">
        <x:v>1</x:v>
      </x:c>
      <x:c r="C868" s="15" t="n">
        <x:v>46146</x:v>
      </x:c>
      <x:c r="D868" t="str">
        <x:v>pro_agility</x:v>
      </x:c>
      <x:c r="E868" t="str">
        <x:v>5-10-5 Pro Agility</x:v>
      </x:c>
      <x:c r="F868" t="str">
        <x:v>Agility</x:v>
      </x:c>
      <x:c r="G868" t="n">
        <x:v>4.3</x:v>
      </x:c>
      <x:c r="H868" t="str">
        <x:v>sec</x:v>
      </x:c>
      <x:c r="I868" t="str">
        <x:v>lower</x:v>
      </x:c>
    </x:row>
    <x:row r="869" ht="15.75" customHeight="1">
      <x:c r="A869" t="str">
        <x:v>RVX-00037</x:v>
      </x:c>
      <x:c r="B869" t="n">
        <x:v>1</x:v>
      </x:c>
      <x:c r="C869" s="15" t="n">
        <x:v>46146</x:v>
      </x:c>
      <x:c r="D869" t="str">
        <x:v>cmj_depth</x:v>
      </x:c>
      <x:c r="E869" t="str">
        <x:v>Countermovement Depth</x:v>
      </x:c>
      <x:c r="F869" t="str">
        <x:v>Movement</x:v>
      </x:c>
      <x:c r="G869" t="n">
        <x:v>31.7</x:v>
      </x:c>
      <x:c r="H869" t="str">
        <x:v>cm</x:v>
      </x:c>
      <x:c r="I869" t="str">
        <x:v>higher</x:v>
      </x:c>
    </x:row>
    <x:row r="870" ht="15.75" customHeight="1">
      <x:c r="A870" t="str">
        <x:v>RVX-00037</x:v>
      </x:c>
      <x:c r="B870" t="n">
        <x:v>1</x:v>
      </x:c>
      <x:c r="C870" s="15" t="n">
        <x:v>46146</x:v>
      </x:c>
      <x:c r="D870" t="str">
        <x:v>peak_force</x:v>
      </x:c>
      <x:c r="E870" t="str">
        <x:v>Peak Force</x:v>
      </x:c>
      <x:c r="F870" t="str">
        <x:v>Strength &amp; Power</x:v>
      </x:c>
      <x:c r="G870" t="n">
        <x:v>1849</x:v>
      </x:c>
      <x:c r="H870" t="str">
        <x:v>N</x:v>
      </x:c>
      <x:c r="I870" t="str">
        <x:v>higher</x:v>
      </x:c>
    </x:row>
    <x:row r="871" ht="15.75" customHeight="1">
      <x:c r="A871" t="str">
        <x:v>RVX-00037</x:v>
      </x:c>
      <x:c r="B871" t="n">
        <x:v>1</x:v>
      </x:c>
      <x:c r="C871" s="15" t="n">
        <x:v>46146</x:v>
      </x:c>
      <x:c r="D871" t="str">
        <x:v>impulse</x:v>
      </x:c>
      <x:c r="E871" t="str">
        <x:v>Impulse-Momentum</x:v>
      </x:c>
      <x:c r="F871" t="str">
        <x:v>Strength &amp; Power</x:v>
      </x:c>
      <x:c r="G871" t="n">
        <x:v>222.7</x:v>
      </x:c>
      <x:c r="H871" t="str">
        <x:v>Ns</x:v>
      </x:c>
      <x:c r="I871" t="str">
        <x:v>higher</x:v>
      </x:c>
    </x:row>
    <x:row r="872" ht="15.75" customHeight="1">
      <x:c r="A872" t="str">
        <x:v>RVX-00037</x:v>
      </x:c>
      <x:c r="B872" t="n">
        <x:v>2</x:v>
      </x:c>
      <x:c r="C872" s="15" t="n">
        <x:v>46174</x:v>
      </x:c>
      <x:c r="D872" t="str">
        <x:v>sprint_5m</x:v>
      </x:c>
      <x:c r="E872" t="str">
        <x:v>5m Sprint</x:v>
      </x:c>
      <x:c r="F872" t="str">
        <x:v>Acceleration</x:v>
      </x:c>
      <x:c r="G872" t="n">
        <x:v>1</x:v>
      </x:c>
      <x:c r="H872" t="str">
        <x:v>sec</x:v>
      </x:c>
      <x:c r="I872" t="str">
        <x:v>lower</x:v>
      </x:c>
    </x:row>
    <x:row r="873" ht="15.75" customHeight="1">
      <x:c r="A873" t="str">
        <x:v>RVX-00037</x:v>
      </x:c>
      <x:c r="B873" t="n">
        <x:v>2</x:v>
      </x:c>
      <x:c r="C873" s="15" t="n">
        <x:v>46174</x:v>
      </x:c>
      <x:c r="D873" t="str">
        <x:v>sprint_10m</x:v>
      </x:c>
      <x:c r="E873" t="str">
        <x:v>10m Sprint</x:v>
      </x:c>
      <x:c r="F873" t="str">
        <x:v>Acceleration</x:v>
      </x:c>
      <x:c r="G873" t="n">
        <x:v>1.65</x:v>
      </x:c>
      <x:c r="H873" t="str">
        <x:v>sec</x:v>
      </x:c>
      <x:c r="I873" t="str">
        <x:v>lower</x:v>
      </x:c>
    </x:row>
    <x:row r="874" ht="15.75" customHeight="1">
      <x:c r="A874" t="str">
        <x:v>RVX-00037</x:v>
      </x:c>
      <x:c r="B874" t="n">
        <x:v>2</x:v>
      </x:c>
      <x:c r="C874" s="15" t="n">
        <x:v>46174</x:v>
      </x:c>
      <x:c r="D874" t="str">
        <x:v>pro_agility</x:v>
      </x:c>
      <x:c r="E874" t="str">
        <x:v>5-10-5 Pro Agility</x:v>
      </x:c>
      <x:c r="F874" t="str">
        <x:v>Agility</x:v>
      </x:c>
      <x:c r="G874" t="n">
        <x:v>4.31</x:v>
      </x:c>
      <x:c r="H874" t="str">
        <x:v>sec</x:v>
      </x:c>
      <x:c r="I874" t="str">
        <x:v>lower</x:v>
      </x:c>
    </x:row>
    <x:row r="875" ht="15.75" customHeight="1">
      <x:c r="A875" t="str">
        <x:v>RVX-00037</x:v>
      </x:c>
      <x:c r="B875" t="n">
        <x:v>2</x:v>
      </x:c>
      <x:c r="C875" s="15" t="n">
        <x:v>46174</x:v>
      </x:c>
      <x:c r="D875" t="str">
        <x:v>cmj_depth</x:v>
      </x:c>
      <x:c r="E875" t="str">
        <x:v>Countermovement Depth</x:v>
      </x:c>
      <x:c r="F875" t="str">
        <x:v>Movement</x:v>
      </x:c>
      <x:c r="G875" t="n">
        <x:v>32.4</x:v>
      </x:c>
      <x:c r="H875" t="str">
        <x:v>cm</x:v>
      </x:c>
      <x:c r="I875" t="str">
        <x:v>higher</x:v>
      </x:c>
    </x:row>
    <x:row r="876" ht="15.75" customHeight="1">
      <x:c r="A876" t="str">
        <x:v>RVX-00037</x:v>
      </x:c>
      <x:c r="B876" t="n">
        <x:v>2</x:v>
      </x:c>
      <x:c r="C876" s="15" t="n">
        <x:v>46174</x:v>
      </x:c>
      <x:c r="D876" t="str">
        <x:v>peak_force</x:v>
      </x:c>
      <x:c r="E876" t="str">
        <x:v>Peak Force</x:v>
      </x:c>
      <x:c r="F876" t="str">
        <x:v>Strength &amp; Power</x:v>
      </x:c>
      <x:c r="G876" t="n">
        <x:v>1900</x:v>
      </x:c>
      <x:c r="H876" t="str">
        <x:v>N</x:v>
      </x:c>
      <x:c r="I876" t="str">
        <x:v>higher</x:v>
      </x:c>
    </x:row>
    <x:row r="877" ht="15.75" customHeight="1">
      <x:c r="A877" t="str">
        <x:v>RVX-00037</x:v>
      </x:c>
      <x:c r="B877" t="n">
        <x:v>2</x:v>
      </x:c>
      <x:c r="C877" s="15" t="n">
        <x:v>46174</x:v>
      </x:c>
      <x:c r="D877" t="str">
        <x:v>impulse</x:v>
      </x:c>
      <x:c r="E877" t="str">
        <x:v>Impulse-Momentum</x:v>
      </x:c>
      <x:c r="F877" t="str">
        <x:v>Strength &amp; Power</x:v>
      </x:c>
      <x:c r="G877" t="n">
        <x:v>230.6</x:v>
      </x:c>
      <x:c r="H877" t="str">
        <x:v>Ns</x:v>
      </x:c>
      <x:c r="I877" t="str">
        <x:v>higher</x:v>
      </x:c>
    </x:row>
    <x:row r="878" ht="15.75" customHeight="1">
      <x:c r="A878" t="str">
        <x:v>RVX-00037</x:v>
      </x:c>
      <x:c r="B878" t="n">
        <x:v>3</x:v>
      </x:c>
      <x:c r="C878" s="15" t="n">
        <x:v>46202</x:v>
      </x:c>
      <x:c r="D878" t="str">
        <x:v>sprint_5m</x:v>
      </x:c>
      <x:c r="E878" t="str">
        <x:v>5m Sprint</x:v>
      </x:c>
      <x:c r="F878" t="str">
        <x:v>Acceleration</x:v>
      </x:c>
      <x:c r="G878" t="n">
        <x:v>0.96</x:v>
      </x:c>
      <x:c r="H878" t="str">
        <x:v>sec</x:v>
      </x:c>
      <x:c r="I878" t="str">
        <x:v>lower</x:v>
      </x:c>
    </x:row>
    <x:row r="879" ht="15.75" customHeight="1">
      <x:c r="A879" t="str">
        <x:v>RVX-00037</x:v>
      </x:c>
      <x:c r="B879" t="n">
        <x:v>3</x:v>
      </x:c>
      <x:c r="C879" s="15" t="n">
        <x:v>46202</x:v>
      </x:c>
      <x:c r="D879" t="str">
        <x:v>sprint_10m</x:v>
      </x:c>
      <x:c r="E879" t="str">
        <x:v>10m Sprint</x:v>
      </x:c>
      <x:c r="F879" t="str">
        <x:v>Acceleration</x:v>
      </x:c>
      <x:c r="G879" t="n">
        <x:v>1.63</x:v>
      </x:c>
      <x:c r="H879" t="str">
        <x:v>sec</x:v>
      </x:c>
      <x:c r="I879" t="str">
        <x:v>lower</x:v>
      </x:c>
    </x:row>
    <x:row r="880" ht="15.75" customHeight="1">
      <x:c r="A880" t="str">
        <x:v>RVX-00037</x:v>
      </x:c>
      <x:c r="B880" t="n">
        <x:v>3</x:v>
      </x:c>
      <x:c r="C880" s="15" t="n">
        <x:v>46202</x:v>
      </x:c>
      <x:c r="D880" t="str">
        <x:v>pro_agility</x:v>
      </x:c>
      <x:c r="E880" t="str">
        <x:v>5-10-5 Pro Agility</x:v>
      </x:c>
      <x:c r="F880" t="str">
        <x:v>Agility</x:v>
      </x:c>
      <x:c r="G880" t="n">
        <x:v>4.13</x:v>
      </x:c>
      <x:c r="H880" t="str">
        <x:v>sec</x:v>
      </x:c>
      <x:c r="I880" t="str">
        <x:v>lower</x:v>
      </x:c>
    </x:row>
    <x:row r="881" ht="15.75" customHeight="1">
      <x:c r="A881" t="str">
        <x:v>RVX-00037</x:v>
      </x:c>
      <x:c r="B881" t="n">
        <x:v>3</x:v>
      </x:c>
      <x:c r="C881" s="15" t="n">
        <x:v>46202</x:v>
      </x:c>
      <x:c r="D881" t="str">
        <x:v>cmj_depth</x:v>
      </x:c>
      <x:c r="E881" t="str">
        <x:v>Countermovement Depth</x:v>
      </x:c>
      <x:c r="F881" t="str">
        <x:v>Movement</x:v>
      </x:c>
      <x:c r="G881" t="n">
        <x:v>32.7</x:v>
      </x:c>
      <x:c r="H881" t="str">
        <x:v>cm</x:v>
      </x:c>
      <x:c r="I881" t="str">
        <x:v>higher</x:v>
      </x:c>
    </x:row>
    <x:row r="882" ht="15.75" customHeight="1">
      <x:c r="A882" t="str">
        <x:v>RVX-00037</x:v>
      </x:c>
      <x:c r="B882" t="n">
        <x:v>3</x:v>
      </x:c>
      <x:c r="C882" s="15" t="n">
        <x:v>46202</x:v>
      </x:c>
      <x:c r="D882" t="str">
        <x:v>peak_force</x:v>
      </x:c>
      <x:c r="E882" t="str">
        <x:v>Peak Force</x:v>
      </x:c>
      <x:c r="F882" t="str">
        <x:v>Strength &amp; Power</x:v>
      </x:c>
      <x:c r="G882" t="n">
        <x:v>1867</x:v>
      </x:c>
      <x:c r="H882" t="str">
        <x:v>N</x:v>
      </x:c>
      <x:c r="I882" t="str">
        <x:v>higher</x:v>
      </x:c>
    </x:row>
    <x:row r="883" ht="15.75" customHeight="1">
      <x:c r="A883" t="str">
        <x:v>RVX-00037</x:v>
      </x:c>
      <x:c r="B883" t="n">
        <x:v>3</x:v>
      </x:c>
      <x:c r="C883" s="15" t="n">
        <x:v>46202</x:v>
      </x:c>
      <x:c r="D883" t="str">
        <x:v>impulse</x:v>
      </x:c>
      <x:c r="E883" t="str">
        <x:v>Impulse-Momentum</x:v>
      </x:c>
      <x:c r="F883" t="str">
        <x:v>Strength &amp; Power</x:v>
      </x:c>
      <x:c r="G883" t="n">
        <x:v>228.9</x:v>
      </x:c>
      <x:c r="H883" t="str">
        <x:v>Ns</x:v>
      </x:c>
      <x:c r="I883" t="str">
        <x:v>higher</x:v>
      </x:c>
    </x:row>
    <x:row r="884" ht="15.75" customHeight="1">
      <x:c r="A884" t="str">
        <x:v>RVX-00037</x:v>
      </x:c>
      <x:c r="B884" t="n">
        <x:v>4</x:v>
      </x:c>
      <x:c r="C884" s="15" t="n">
        <x:v>46230</x:v>
      </x:c>
      <x:c r="D884" t="str">
        <x:v>sprint_5m</x:v>
      </x:c>
      <x:c r="E884" t="str">
        <x:v>5m Sprint</x:v>
      </x:c>
      <x:c r="F884" t="str">
        <x:v>Acceleration</x:v>
      </x:c>
      <x:c r="G884" t="n">
        <x:v>0.98</x:v>
      </x:c>
      <x:c r="H884" t="str">
        <x:v>sec</x:v>
      </x:c>
      <x:c r="I884" t="str">
        <x:v>lower</x:v>
      </x:c>
    </x:row>
    <x:row r="885" ht="15.75" customHeight="1">
      <x:c r="A885" t="str">
        <x:v>RVX-00037</x:v>
      </x:c>
      <x:c r="B885" t="n">
        <x:v>4</x:v>
      </x:c>
      <x:c r="C885" s="15" t="n">
        <x:v>46230</x:v>
      </x:c>
      <x:c r="D885" t="str">
        <x:v>sprint_10m</x:v>
      </x:c>
      <x:c r="E885" t="str">
        <x:v>10m Sprint</x:v>
      </x:c>
      <x:c r="F885" t="str">
        <x:v>Acceleration</x:v>
      </x:c>
      <x:c r="G885" t="n">
        <x:v>1.64</x:v>
      </x:c>
      <x:c r="H885" t="str">
        <x:v>sec</x:v>
      </x:c>
      <x:c r="I885" t="str">
        <x:v>lower</x:v>
      </x:c>
    </x:row>
    <x:row r="886" ht="15.75" customHeight="1">
      <x:c r="A886" t="str">
        <x:v>RVX-00037</x:v>
      </x:c>
      <x:c r="B886" t="n">
        <x:v>4</x:v>
      </x:c>
      <x:c r="C886" s="15" t="n">
        <x:v>46230</x:v>
      </x:c>
      <x:c r="D886" t="str">
        <x:v>pro_agility</x:v>
      </x:c>
      <x:c r="E886" t="str">
        <x:v>5-10-5 Pro Agility</x:v>
      </x:c>
      <x:c r="F886" t="str">
        <x:v>Agility</x:v>
      </x:c>
      <x:c r="G886" t="n">
        <x:v>4.09</x:v>
      </x:c>
      <x:c r="H886" t="str">
        <x:v>sec</x:v>
      </x:c>
      <x:c r="I886" t="str">
        <x:v>lower</x:v>
      </x:c>
    </x:row>
    <x:row r="887" ht="15.75" customHeight="1">
      <x:c r="A887" t="str">
        <x:v>RVX-00037</x:v>
      </x:c>
      <x:c r="B887" t="n">
        <x:v>4</x:v>
      </x:c>
      <x:c r="C887" s="15" t="n">
        <x:v>46230</x:v>
      </x:c>
      <x:c r="D887" t="str">
        <x:v>cmj_depth</x:v>
      </x:c>
      <x:c r="E887" t="str">
        <x:v>Countermovement Depth</x:v>
      </x:c>
      <x:c r="F887" t="str">
        <x:v>Movement</x:v>
      </x:c>
      <x:c r="G887" t="n">
        <x:v>33.2</x:v>
      </x:c>
      <x:c r="H887" t="str">
        <x:v>cm</x:v>
      </x:c>
      <x:c r="I887" t="str">
        <x:v>higher</x:v>
      </x:c>
    </x:row>
    <x:row r="888" ht="15.75" customHeight="1">
      <x:c r="A888" t="str">
        <x:v>RVX-00037</x:v>
      </x:c>
      <x:c r="B888" t="n">
        <x:v>4</x:v>
      </x:c>
      <x:c r="C888" s="15" t="n">
        <x:v>46230</x:v>
      </x:c>
      <x:c r="D888" t="str">
        <x:v>peak_force</x:v>
      </x:c>
      <x:c r="E888" t="str">
        <x:v>Peak Force</x:v>
      </x:c>
      <x:c r="F888" t="str">
        <x:v>Strength &amp; Power</x:v>
      </x:c>
      <x:c r="G888" t="n">
        <x:v>1923</x:v>
      </x:c>
      <x:c r="H888" t="str">
        <x:v>N</x:v>
      </x:c>
      <x:c r="I888" t="str">
        <x:v>higher</x:v>
      </x:c>
    </x:row>
    <x:row r="889" ht="15.75" customHeight="1">
      <x:c r="A889" t="str">
        <x:v>RVX-00037</x:v>
      </x:c>
      <x:c r="B889" t="n">
        <x:v>4</x:v>
      </x:c>
      <x:c r="C889" s="15" t="n">
        <x:v>46230</x:v>
      </x:c>
      <x:c r="D889" t="str">
        <x:v>impulse</x:v>
      </x:c>
      <x:c r="E889" t="str">
        <x:v>Impulse-Momentum</x:v>
      </x:c>
      <x:c r="F889" t="str">
        <x:v>Strength &amp; Power</x:v>
      </x:c>
      <x:c r="G889" t="n">
        <x:v>237.5</x:v>
      </x:c>
      <x:c r="H889" t="str">
        <x:v>Ns</x:v>
      </x:c>
      <x:c r="I889" t="str">
        <x:v>higher</x:v>
      </x:c>
    </x:row>
    <x:row r="890" ht="15.75" customHeight="1">
      <x:c r="A890" t="str">
        <x:v>RVX-00038</x:v>
      </x:c>
      <x:c r="B890" t="n">
        <x:v>1</x:v>
      </x:c>
      <x:c r="C890" s="15" t="n">
        <x:v>46146</x:v>
      </x:c>
      <x:c r="D890" t="str">
        <x:v>sprint_5m</x:v>
      </x:c>
      <x:c r="E890" t="str">
        <x:v>5m Sprint</x:v>
      </x:c>
      <x:c r="F890" t="str">
        <x:v>Acceleration</x:v>
      </x:c>
      <x:c r="G890" t="n">
        <x:v>1.07</x:v>
      </x:c>
      <x:c r="H890" t="str">
        <x:v>sec</x:v>
      </x:c>
      <x:c r="I890" t="str">
        <x:v>lower</x:v>
      </x:c>
    </x:row>
    <x:row r="891" ht="15.75" customHeight="1">
      <x:c r="A891" t="str">
        <x:v>RVX-00038</x:v>
      </x:c>
      <x:c r="B891" t="n">
        <x:v>1</x:v>
      </x:c>
      <x:c r="C891" s="15" t="n">
        <x:v>46146</x:v>
      </x:c>
      <x:c r="D891" t="str">
        <x:v>sprint_10m</x:v>
      </x:c>
      <x:c r="E891" t="str">
        <x:v>10m Sprint</x:v>
      </x:c>
      <x:c r="F891" t="str">
        <x:v>Acceleration</x:v>
      </x:c>
      <x:c r="G891" t="n">
        <x:v>1.79</x:v>
      </x:c>
      <x:c r="H891" t="str">
        <x:v>sec</x:v>
      </x:c>
      <x:c r="I891" t="str">
        <x:v>lower</x:v>
      </x:c>
    </x:row>
    <x:row r="892" ht="15.75" customHeight="1">
      <x:c r="A892" t="str">
        <x:v>RVX-00038</x:v>
      </x:c>
      <x:c r="B892" t="n">
        <x:v>1</x:v>
      </x:c>
      <x:c r="C892" s="15" t="n">
        <x:v>46146</x:v>
      </x:c>
      <x:c r="D892" t="str">
        <x:v>pro_agility</x:v>
      </x:c>
      <x:c r="E892" t="str">
        <x:v>5-10-5 Pro Agility</x:v>
      </x:c>
      <x:c r="F892" t="str">
        <x:v>Agility</x:v>
      </x:c>
      <x:c r="G892" t="n">
        <x:v>4.74</x:v>
      </x:c>
      <x:c r="H892" t="str">
        <x:v>sec</x:v>
      </x:c>
      <x:c r="I892" t="str">
        <x:v>lower</x:v>
      </x:c>
    </x:row>
    <x:row r="893" ht="15.75" customHeight="1">
      <x:c r="A893" t="str">
        <x:v>RVX-00038</x:v>
      </x:c>
      <x:c r="B893" t="n">
        <x:v>1</x:v>
      </x:c>
      <x:c r="C893" s="15" t="n">
        <x:v>46146</x:v>
      </x:c>
      <x:c r="D893" t="str">
        <x:v>cmj_depth</x:v>
      </x:c>
      <x:c r="E893" t="str">
        <x:v>Countermovement Depth</x:v>
      </x:c>
      <x:c r="F893" t="str">
        <x:v>Movement</x:v>
      </x:c>
      <x:c r="G893" t="n">
        <x:v>30.8</x:v>
      </x:c>
      <x:c r="H893" t="str">
        <x:v>cm</x:v>
      </x:c>
      <x:c r="I893" t="str">
        <x:v>higher</x:v>
      </x:c>
    </x:row>
    <x:row r="894" ht="15.75" customHeight="1">
      <x:c r="A894" t="str">
        <x:v>RVX-00038</x:v>
      </x:c>
      <x:c r="B894" t="n">
        <x:v>1</x:v>
      </x:c>
      <x:c r="C894" s="15" t="n">
        <x:v>46146</x:v>
      </x:c>
      <x:c r="D894" t="str">
        <x:v>peak_force</x:v>
      </x:c>
      <x:c r="E894" t="str">
        <x:v>Peak Force</x:v>
      </x:c>
      <x:c r="F894" t="str">
        <x:v>Strength &amp; Power</x:v>
      </x:c>
      <x:c r="G894" t="n">
        <x:v>1830</x:v>
      </x:c>
      <x:c r="H894" t="str">
        <x:v>N</x:v>
      </x:c>
      <x:c r="I894" t="str">
        <x:v>higher</x:v>
      </x:c>
    </x:row>
    <x:row r="895" ht="15.75" customHeight="1">
      <x:c r="A895" t="str">
        <x:v>RVX-00038</x:v>
      </x:c>
      <x:c r="B895" t="n">
        <x:v>1</x:v>
      </x:c>
      <x:c r="C895" s="15" t="n">
        <x:v>46146</x:v>
      </x:c>
      <x:c r="D895" t="str">
        <x:v>impulse</x:v>
      </x:c>
      <x:c r="E895" t="str">
        <x:v>Impulse-Momentum</x:v>
      </x:c>
      <x:c r="F895" t="str">
        <x:v>Strength &amp; Power</x:v>
      </x:c>
      <x:c r="G895" t="n">
        <x:v>221.6</x:v>
      </x:c>
      <x:c r="H895" t="str">
        <x:v>Ns</x:v>
      </x:c>
      <x:c r="I895" t="str">
        <x:v>higher</x:v>
      </x:c>
    </x:row>
    <x:row r="896" ht="15.75" customHeight="1">
      <x:c r="A896" t="str">
        <x:v>RVX-00038</x:v>
      </x:c>
      <x:c r="B896" t="n">
        <x:v>2</x:v>
      </x:c>
      <x:c r="C896" s="15" t="n">
        <x:v>46174</x:v>
      </x:c>
      <x:c r="D896" t="str">
        <x:v>sprint_5m</x:v>
      </x:c>
      <x:c r="E896" t="str">
        <x:v>5m Sprint</x:v>
      </x:c>
      <x:c r="F896" t="str">
        <x:v>Acceleration</x:v>
      </x:c>
      <x:c r="G896" t="n">
        <x:v>1.07</x:v>
      </x:c>
      <x:c r="H896" t="str">
        <x:v>sec</x:v>
      </x:c>
      <x:c r="I896" t="str">
        <x:v>lower</x:v>
      </x:c>
    </x:row>
    <x:row r="897" ht="15.75" customHeight="1">
      <x:c r="A897" t="str">
        <x:v>RVX-00038</x:v>
      </x:c>
      <x:c r="B897" t="n">
        <x:v>2</x:v>
      </x:c>
      <x:c r="C897" s="15" t="n">
        <x:v>46174</x:v>
      </x:c>
      <x:c r="D897" t="str">
        <x:v>sprint_10m</x:v>
      </x:c>
      <x:c r="E897" t="str">
        <x:v>10m Sprint</x:v>
      </x:c>
      <x:c r="F897" t="str">
        <x:v>Acceleration</x:v>
      </x:c>
      <x:c r="G897" t="n">
        <x:v>1.76</x:v>
      </x:c>
      <x:c r="H897" t="str">
        <x:v>sec</x:v>
      </x:c>
      <x:c r="I897" t="str">
        <x:v>lower</x:v>
      </x:c>
    </x:row>
    <x:row r="898" ht="15.75" customHeight="1">
      <x:c r="A898" t="str">
        <x:v>RVX-00038</x:v>
      </x:c>
      <x:c r="B898" t="n">
        <x:v>2</x:v>
      </x:c>
      <x:c r="C898" s="15" t="n">
        <x:v>46174</x:v>
      </x:c>
      <x:c r="D898" t="str">
        <x:v>pro_agility</x:v>
      </x:c>
      <x:c r="E898" t="str">
        <x:v>5-10-5 Pro Agility</x:v>
      </x:c>
      <x:c r="F898" t="str">
        <x:v>Agility</x:v>
      </x:c>
      <x:c r="G898" t="n">
        <x:v>4.52</x:v>
      </x:c>
      <x:c r="H898" t="str">
        <x:v>sec</x:v>
      </x:c>
      <x:c r="I898" t="str">
        <x:v>lower</x:v>
      </x:c>
    </x:row>
    <x:row r="899" ht="15.75" customHeight="1">
      <x:c r="A899" t="str">
        <x:v>RVX-00038</x:v>
      </x:c>
      <x:c r="B899" t="n">
        <x:v>2</x:v>
      </x:c>
      <x:c r="C899" s="15" t="n">
        <x:v>46174</x:v>
      </x:c>
      <x:c r="D899" t="str">
        <x:v>cmj_depth</x:v>
      </x:c>
      <x:c r="E899" t="str">
        <x:v>Countermovement Depth</x:v>
      </x:c>
      <x:c r="F899" t="str">
        <x:v>Movement</x:v>
      </x:c>
      <x:c r="G899" t="n">
        <x:v>31.8</x:v>
      </x:c>
      <x:c r="H899" t="str">
        <x:v>cm</x:v>
      </x:c>
      <x:c r="I899" t="str">
        <x:v>higher</x:v>
      </x:c>
    </x:row>
    <x:row r="900" ht="15.75" customHeight="1">
      <x:c r="A900" t="str">
        <x:v>RVX-00038</x:v>
      </x:c>
      <x:c r="B900" t="n">
        <x:v>2</x:v>
      </x:c>
      <x:c r="C900" s="15" t="n">
        <x:v>46174</x:v>
      </x:c>
      <x:c r="D900" t="str">
        <x:v>peak_force</x:v>
      </x:c>
      <x:c r="E900" t="str">
        <x:v>Peak Force</x:v>
      </x:c>
      <x:c r="F900" t="str">
        <x:v>Strength &amp; Power</x:v>
      </x:c>
      <x:c r="G900" t="n">
        <x:v>1873</x:v>
      </x:c>
      <x:c r="H900" t="str">
        <x:v>N</x:v>
      </x:c>
      <x:c r="I900" t="str">
        <x:v>higher</x:v>
      </x:c>
    </x:row>
    <x:row r="901" ht="15.75" customHeight="1">
      <x:c r="A901" t="str">
        <x:v>RVX-00038</x:v>
      </x:c>
      <x:c r="B901" t="n">
        <x:v>2</x:v>
      </x:c>
      <x:c r="C901" s="15" t="n">
        <x:v>46174</x:v>
      </x:c>
      <x:c r="D901" t="str">
        <x:v>impulse</x:v>
      </x:c>
      <x:c r="E901" t="str">
        <x:v>Impulse-Momentum</x:v>
      </x:c>
      <x:c r="F901" t="str">
        <x:v>Strength &amp; Power</x:v>
      </x:c>
      <x:c r="G901" t="n">
        <x:v>228.9</x:v>
      </x:c>
      <x:c r="H901" t="str">
        <x:v>Ns</x:v>
      </x:c>
      <x:c r="I901" t="str">
        <x:v>higher</x:v>
      </x:c>
    </x:row>
    <x:row r="902" ht="15.75" customHeight="1">
      <x:c r="A902" t="str">
        <x:v>RVX-00038</x:v>
      </x:c>
      <x:c r="B902" t="n">
        <x:v>3</x:v>
      </x:c>
      <x:c r="C902" s="15" t="n">
        <x:v>46202</x:v>
      </x:c>
      <x:c r="D902" t="str">
        <x:v>sprint_5m</x:v>
      </x:c>
      <x:c r="E902" t="str">
        <x:v>5m Sprint</x:v>
      </x:c>
      <x:c r="F902" t="str">
        <x:v>Acceleration</x:v>
      </x:c>
      <x:c r="G902" t="n">
        <x:v>1.04</x:v>
      </x:c>
      <x:c r="H902" t="str">
        <x:v>sec</x:v>
      </x:c>
      <x:c r="I902" t="str">
        <x:v>lower</x:v>
      </x:c>
    </x:row>
    <x:row r="903" ht="15.75" customHeight="1">
      <x:c r="A903" t="str">
        <x:v>RVX-00038</x:v>
      </x:c>
      <x:c r="B903" t="n">
        <x:v>3</x:v>
      </x:c>
      <x:c r="C903" s="15" t="n">
        <x:v>46202</x:v>
      </x:c>
      <x:c r="D903" t="str">
        <x:v>sprint_10m</x:v>
      </x:c>
      <x:c r="E903" t="str">
        <x:v>10m Sprint</x:v>
      </x:c>
      <x:c r="F903" t="str">
        <x:v>Acceleration</x:v>
      </x:c>
      <x:c r="G903" t="n">
        <x:v>1.8</x:v>
      </x:c>
      <x:c r="H903" t="str">
        <x:v>sec</x:v>
      </x:c>
      <x:c r="I903" t="str">
        <x:v>lower</x:v>
      </x:c>
    </x:row>
    <x:row r="904" ht="15.75" customHeight="1">
      <x:c r="A904" t="str">
        <x:v>RVX-00038</x:v>
      </x:c>
      <x:c r="B904" t="n">
        <x:v>3</x:v>
      </x:c>
      <x:c r="C904" s="15" t="n">
        <x:v>46202</x:v>
      </x:c>
      <x:c r="D904" t="str">
        <x:v>pro_agility</x:v>
      </x:c>
      <x:c r="E904" t="str">
        <x:v>5-10-5 Pro Agility</x:v>
      </x:c>
      <x:c r="F904" t="str">
        <x:v>Agility</x:v>
      </x:c>
      <x:c r="G904" t="n">
        <x:v>4.57</x:v>
      </x:c>
      <x:c r="H904" t="str">
        <x:v>sec</x:v>
      </x:c>
      <x:c r="I904" t="str">
        <x:v>lower</x:v>
      </x:c>
    </x:row>
    <x:row r="905" ht="15.75" customHeight="1">
      <x:c r="A905" t="str">
        <x:v>RVX-00038</x:v>
      </x:c>
      <x:c r="B905" t="n">
        <x:v>3</x:v>
      </x:c>
      <x:c r="C905" s="15" t="n">
        <x:v>46202</x:v>
      </x:c>
      <x:c r="D905" t="str">
        <x:v>cmj_depth</x:v>
      </x:c>
      <x:c r="E905" t="str">
        <x:v>Countermovement Depth</x:v>
      </x:c>
      <x:c r="F905" t="str">
        <x:v>Movement</x:v>
      </x:c>
      <x:c r="G905" t="n">
        <x:v>32.6</x:v>
      </x:c>
      <x:c r="H905" t="str">
        <x:v>cm</x:v>
      </x:c>
      <x:c r="I905" t="str">
        <x:v>higher</x:v>
      </x:c>
    </x:row>
    <x:row r="906" ht="15.75" customHeight="1">
      <x:c r="A906" t="str">
        <x:v>RVX-00038</x:v>
      </x:c>
      <x:c r="B906" t="n">
        <x:v>3</x:v>
      </x:c>
      <x:c r="C906" s="15" t="n">
        <x:v>46202</x:v>
      </x:c>
      <x:c r="D906" t="str">
        <x:v>peak_force</x:v>
      </x:c>
      <x:c r="E906" t="str">
        <x:v>Peak Force</x:v>
      </x:c>
      <x:c r="F906" t="str">
        <x:v>Strength &amp; Power</x:v>
      </x:c>
      <x:c r="G906" t="n">
        <x:v>1871</x:v>
      </x:c>
      <x:c r="H906" t="str">
        <x:v>N</x:v>
      </x:c>
      <x:c r="I906" t="str">
        <x:v>higher</x:v>
      </x:c>
    </x:row>
    <x:row r="907" ht="15.75" customHeight="1">
      <x:c r="A907" t="str">
        <x:v>RVX-00038</x:v>
      </x:c>
      <x:c r="B907" t="n">
        <x:v>3</x:v>
      </x:c>
      <x:c r="C907" s="15" t="n">
        <x:v>46202</x:v>
      </x:c>
      <x:c r="D907" t="str">
        <x:v>impulse</x:v>
      </x:c>
      <x:c r="E907" t="str">
        <x:v>Impulse-Momentum</x:v>
      </x:c>
      <x:c r="F907" t="str">
        <x:v>Strength &amp; Power</x:v>
      </x:c>
      <x:c r="G907" t="n">
        <x:v>227.9</x:v>
      </x:c>
      <x:c r="H907" t="str">
        <x:v>Ns</x:v>
      </x:c>
      <x:c r="I907" t="str">
        <x:v>higher</x:v>
      </x:c>
    </x:row>
    <x:row r="908" ht="15.75" customHeight="1">
      <x:c r="A908" t="str">
        <x:v>RVX-00038</x:v>
      </x:c>
      <x:c r="B908" t="n">
        <x:v>4</x:v>
      </x:c>
      <x:c r="C908" s="15" t="n">
        <x:v>46230</x:v>
      </x:c>
      <x:c r="D908" t="str">
        <x:v>sprint_5m</x:v>
      </x:c>
      <x:c r="E908" t="str">
        <x:v>5m Sprint</x:v>
      </x:c>
      <x:c r="F908" t="str">
        <x:v>Acceleration</x:v>
      </x:c>
      <x:c r="G908" t="n">
        <x:v>1.05</x:v>
      </x:c>
      <x:c r="H908" t="str">
        <x:v>sec</x:v>
      </x:c>
      <x:c r="I908" t="str">
        <x:v>lower</x:v>
      </x:c>
    </x:row>
    <x:row r="909" ht="15.75" customHeight="1">
      <x:c r="A909" t="str">
        <x:v>RVX-00038</x:v>
      </x:c>
      <x:c r="B909" t="n">
        <x:v>4</x:v>
      </x:c>
      <x:c r="C909" s="15" t="n">
        <x:v>46230</x:v>
      </x:c>
      <x:c r="D909" t="str">
        <x:v>sprint_10m</x:v>
      </x:c>
      <x:c r="E909" t="str">
        <x:v>10m Sprint</x:v>
      </x:c>
      <x:c r="F909" t="str">
        <x:v>Acceleration</x:v>
      </x:c>
      <x:c r="G909" t="n">
        <x:v>1.72</x:v>
      </x:c>
      <x:c r="H909" t="str">
        <x:v>sec</x:v>
      </x:c>
      <x:c r="I909" t="str">
        <x:v>lower</x:v>
      </x:c>
    </x:row>
    <x:row r="910" ht="15.75" customHeight="1">
      <x:c r="A910" t="str">
        <x:v>RVX-00038</x:v>
      </x:c>
      <x:c r="B910" t="n">
        <x:v>4</x:v>
      </x:c>
      <x:c r="C910" s="15" t="n">
        <x:v>46230</x:v>
      </x:c>
      <x:c r="D910" t="str">
        <x:v>pro_agility</x:v>
      </x:c>
      <x:c r="E910" t="str">
        <x:v>5-10-5 Pro Agility</x:v>
      </x:c>
      <x:c r="F910" t="str">
        <x:v>Agility</x:v>
      </x:c>
      <x:c r="G910" t="n">
        <x:v>4.5</x:v>
      </x:c>
      <x:c r="H910" t="str">
        <x:v>sec</x:v>
      </x:c>
      <x:c r="I910" t="str">
        <x:v>lower</x:v>
      </x:c>
    </x:row>
    <x:row r="911" ht="15.75" customHeight="1">
      <x:c r="A911" t="str">
        <x:v>RVX-00038</x:v>
      </x:c>
      <x:c r="B911" t="n">
        <x:v>4</x:v>
      </x:c>
      <x:c r="C911" s="15" t="n">
        <x:v>46230</x:v>
      </x:c>
      <x:c r="D911" t="str">
        <x:v>cmj_depth</x:v>
      </x:c>
      <x:c r="E911" t="str">
        <x:v>Countermovement Depth</x:v>
      </x:c>
      <x:c r="F911" t="str">
        <x:v>Movement</x:v>
      </x:c>
      <x:c r="G911" t="n">
        <x:v>33.5</x:v>
      </x:c>
      <x:c r="H911" t="str">
        <x:v>cm</x:v>
      </x:c>
      <x:c r="I911" t="str">
        <x:v>higher</x:v>
      </x:c>
    </x:row>
    <x:row r="912" ht="15.75" customHeight="1">
      <x:c r="A912" t="str">
        <x:v>RVX-00038</x:v>
      </x:c>
      <x:c r="B912" t="n">
        <x:v>4</x:v>
      </x:c>
      <x:c r="C912" s="15" t="n">
        <x:v>46230</x:v>
      </x:c>
      <x:c r="D912" t="str">
        <x:v>peak_force</x:v>
      </x:c>
      <x:c r="E912" t="str">
        <x:v>Peak Force</x:v>
      </x:c>
      <x:c r="F912" t="str">
        <x:v>Strength &amp; Power</x:v>
      </x:c>
      <x:c r="G912" t="n">
        <x:v>1904</x:v>
      </x:c>
      <x:c r="H912" t="str">
        <x:v>N</x:v>
      </x:c>
      <x:c r="I912" t="str">
        <x:v>higher</x:v>
      </x:c>
    </x:row>
    <x:row r="913" ht="15.75" customHeight="1">
      <x:c r="A913" t="str">
        <x:v>RVX-00038</x:v>
      </x:c>
      <x:c r="B913" t="n">
        <x:v>4</x:v>
      </x:c>
      <x:c r="C913" s="15" t="n">
        <x:v>46230</x:v>
      </x:c>
      <x:c r="D913" t="str">
        <x:v>impulse</x:v>
      </x:c>
      <x:c r="E913" t="str">
        <x:v>Impulse-Momentum</x:v>
      </x:c>
      <x:c r="F913" t="str">
        <x:v>Strength &amp; Power</x:v>
      </x:c>
      <x:c r="G913" t="n">
        <x:v>235</x:v>
      </x:c>
      <x:c r="H913" t="str">
        <x:v>Ns</x:v>
      </x:c>
      <x:c r="I913" t="str">
        <x:v>higher</x:v>
      </x:c>
    </x:row>
    <x:row r="914" ht="15.75" customHeight="1">
      <x:c r="A914" t="str">
        <x:v>RVX-00039</x:v>
      </x:c>
      <x:c r="B914" t="n">
        <x:v>1</x:v>
      </x:c>
      <x:c r="C914" s="15" t="n">
        <x:v>46146</x:v>
      </x:c>
      <x:c r="D914" t="str">
        <x:v>sprint_5m</x:v>
      </x:c>
      <x:c r="E914" t="str">
        <x:v>5m Sprint</x:v>
      </x:c>
      <x:c r="F914" t="str">
        <x:v>Acceleration</x:v>
      </x:c>
      <x:c r="G914" t="n">
        <x:v>1.28</x:v>
      </x:c>
      <x:c r="H914" t="str">
        <x:v>sec</x:v>
      </x:c>
      <x:c r="I914" t="str">
        <x:v>lower</x:v>
      </x:c>
    </x:row>
    <x:row r="915" ht="15.75" customHeight="1">
      <x:c r="A915" t="str">
        <x:v>RVX-00039</x:v>
      </x:c>
      <x:c r="B915" t="n">
        <x:v>1</x:v>
      </x:c>
      <x:c r="C915" s="15" t="n">
        <x:v>46146</x:v>
      </x:c>
      <x:c r="D915" t="str">
        <x:v>sprint_10m</x:v>
      </x:c>
      <x:c r="E915" t="str">
        <x:v>10m Sprint</x:v>
      </x:c>
      <x:c r="F915" t="str">
        <x:v>Acceleration</x:v>
      </x:c>
      <x:c r="G915" t="n">
        <x:v>2.1</x:v>
      </x:c>
      <x:c r="H915" t="str">
        <x:v>sec</x:v>
      </x:c>
      <x:c r="I915" t="str">
        <x:v>lower</x:v>
      </x:c>
    </x:row>
    <x:row r="916" ht="15.75" customHeight="1">
      <x:c r="A916" t="str">
        <x:v>RVX-00039</x:v>
      </x:c>
      <x:c r="B916" t="n">
        <x:v>1</x:v>
      </x:c>
      <x:c r="C916" s="15" t="n">
        <x:v>46146</x:v>
      </x:c>
      <x:c r="D916" t="str">
        <x:v>pro_agility</x:v>
      </x:c>
      <x:c r="E916" t="str">
        <x:v>5-10-5 Pro Agility</x:v>
      </x:c>
      <x:c r="F916" t="str">
        <x:v>Agility</x:v>
      </x:c>
      <x:c r="G916" t="n">
        <x:v>5.46</x:v>
      </x:c>
      <x:c r="H916" t="str">
        <x:v>sec</x:v>
      </x:c>
      <x:c r="I916" t="str">
        <x:v>lower</x:v>
      </x:c>
    </x:row>
    <x:row r="917" ht="15.75" customHeight="1">
      <x:c r="A917" t="str">
        <x:v>RVX-00039</x:v>
      </x:c>
      <x:c r="B917" t="n">
        <x:v>1</x:v>
      </x:c>
      <x:c r="C917" s="15" t="n">
        <x:v>46146</x:v>
      </x:c>
      <x:c r="D917" t="str">
        <x:v>cmj_depth</x:v>
      </x:c>
      <x:c r="E917" t="str">
        <x:v>Countermovement Depth</x:v>
      </x:c>
      <x:c r="F917" t="str">
        <x:v>Movement</x:v>
      </x:c>
      <x:c r="G917" t="n">
        <x:v>26.2</x:v>
      </x:c>
      <x:c r="H917" t="str">
        <x:v>cm</x:v>
      </x:c>
      <x:c r="I917" t="str">
        <x:v>higher</x:v>
      </x:c>
    </x:row>
    <x:row r="918" ht="15.75" customHeight="1">
      <x:c r="A918" t="str">
        <x:v>RVX-00039</x:v>
      </x:c>
      <x:c r="B918" t="n">
        <x:v>1</x:v>
      </x:c>
      <x:c r="C918" s="15" t="n">
        <x:v>46146</x:v>
      </x:c>
      <x:c r="D918" t="str">
        <x:v>peak_force</x:v>
      </x:c>
      <x:c r="E918" t="str">
        <x:v>Peak Force</x:v>
      </x:c>
      <x:c r="F918" t="str">
        <x:v>Strength &amp; Power</x:v>
      </x:c>
      <x:c r="G918" t="n">
        <x:v>1495</x:v>
      </x:c>
      <x:c r="H918" t="str">
        <x:v>N</x:v>
      </x:c>
      <x:c r="I918" t="str">
        <x:v>higher</x:v>
      </x:c>
    </x:row>
    <x:row r="919" ht="15.75" customHeight="1">
      <x:c r="A919" t="str">
        <x:v>RVX-00039</x:v>
      </x:c>
      <x:c r="B919" t="n">
        <x:v>1</x:v>
      </x:c>
      <x:c r="C919" s="15" t="n">
        <x:v>46146</x:v>
      </x:c>
      <x:c r="D919" t="str">
        <x:v>impulse</x:v>
      </x:c>
      <x:c r="E919" t="str">
        <x:v>Impulse-Momentum</x:v>
      </x:c>
      <x:c r="F919" t="str">
        <x:v>Strength &amp; Power</x:v>
      </x:c>
      <x:c r="G919" t="n">
        <x:v>182.3</x:v>
      </x:c>
      <x:c r="H919" t="str">
        <x:v>Ns</x:v>
      </x:c>
      <x:c r="I919" t="str">
        <x:v>higher</x:v>
      </x:c>
    </x:row>
    <x:row r="920" ht="15.75" customHeight="1">
      <x:c r="A920" t="str">
        <x:v>RVX-00039</x:v>
      </x:c>
      <x:c r="B920" t="n">
        <x:v>2</x:v>
      </x:c>
      <x:c r="C920" s="15" t="n">
        <x:v>46174</x:v>
      </x:c>
      <x:c r="D920" t="str">
        <x:v>sprint_5m</x:v>
      </x:c>
      <x:c r="E920" t="str">
        <x:v>5m Sprint</x:v>
      </x:c>
      <x:c r="F920" t="str">
        <x:v>Acceleration</x:v>
      </x:c>
      <x:c r="G920" t="n">
        <x:v>1.23</x:v>
      </x:c>
      <x:c r="H920" t="str">
        <x:v>sec</x:v>
      </x:c>
      <x:c r="I920" t="str">
        <x:v>lower</x:v>
      </x:c>
    </x:row>
    <x:row r="921" ht="15.75" customHeight="1">
      <x:c r="A921" t="str">
        <x:v>RVX-00039</x:v>
      </x:c>
      <x:c r="B921" t="n">
        <x:v>2</x:v>
      </x:c>
      <x:c r="C921" s="15" t="n">
        <x:v>46174</x:v>
      </x:c>
      <x:c r="D921" t="str">
        <x:v>sprint_10m</x:v>
      </x:c>
      <x:c r="E921" t="str">
        <x:v>10m Sprint</x:v>
      </x:c>
      <x:c r="F921" t="str">
        <x:v>Acceleration</x:v>
      </x:c>
      <x:c r="G921" t="n">
        <x:v>2.02</x:v>
      </x:c>
      <x:c r="H921" t="str">
        <x:v>sec</x:v>
      </x:c>
      <x:c r="I921" t="str">
        <x:v>lower</x:v>
      </x:c>
    </x:row>
    <x:row r="922" ht="15.75" customHeight="1">
      <x:c r="A922" t="str">
        <x:v>RVX-00039</x:v>
      </x:c>
      <x:c r="B922" t="n">
        <x:v>2</x:v>
      </x:c>
      <x:c r="C922" s="15" t="n">
        <x:v>46174</x:v>
      </x:c>
      <x:c r="D922" t="str">
        <x:v>pro_agility</x:v>
      </x:c>
      <x:c r="E922" t="str">
        <x:v>5-10-5 Pro Agility</x:v>
      </x:c>
      <x:c r="F922" t="str">
        <x:v>Agility</x:v>
      </x:c>
      <x:c r="G922" t="n">
        <x:v>5.23</x:v>
      </x:c>
      <x:c r="H922" t="str">
        <x:v>sec</x:v>
      </x:c>
      <x:c r="I922" t="str">
        <x:v>lower</x:v>
      </x:c>
    </x:row>
    <x:row r="923" ht="15.75" customHeight="1">
      <x:c r="A923" t="str">
        <x:v>RVX-00039</x:v>
      </x:c>
      <x:c r="B923" t="n">
        <x:v>2</x:v>
      </x:c>
      <x:c r="C923" s="15" t="n">
        <x:v>46174</x:v>
      </x:c>
      <x:c r="D923" t="str">
        <x:v>cmj_depth</x:v>
      </x:c>
      <x:c r="E923" t="str">
        <x:v>Countermovement Depth</x:v>
      </x:c>
      <x:c r="F923" t="str">
        <x:v>Movement</x:v>
      </x:c>
      <x:c r="G923" t="n">
        <x:v>26.2</x:v>
      </x:c>
      <x:c r="H923" t="str">
        <x:v>cm</x:v>
      </x:c>
      <x:c r="I923" t="str">
        <x:v>higher</x:v>
      </x:c>
    </x:row>
    <x:row r="924" ht="15.75" customHeight="1">
      <x:c r="A924" t="str">
        <x:v>RVX-00039</x:v>
      </x:c>
      <x:c r="B924" t="n">
        <x:v>2</x:v>
      </x:c>
      <x:c r="C924" s="15" t="n">
        <x:v>46174</x:v>
      </x:c>
      <x:c r="D924" t="str">
        <x:v>peak_force</x:v>
      </x:c>
      <x:c r="E924" t="str">
        <x:v>Peak Force</x:v>
      </x:c>
      <x:c r="F924" t="str">
        <x:v>Strength &amp; Power</x:v>
      </x:c>
      <x:c r="G924" t="n">
        <x:v>1501</x:v>
      </x:c>
      <x:c r="H924" t="str">
        <x:v>N</x:v>
      </x:c>
      <x:c r="I924" t="str">
        <x:v>higher</x:v>
      </x:c>
    </x:row>
    <x:row r="925" ht="15.75" customHeight="1">
      <x:c r="A925" t="str">
        <x:v>RVX-00039</x:v>
      </x:c>
      <x:c r="B925" t="n">
        <x:v>2</x:v>
      </x:c>
      <x:c r="C925" s="15" t="n">
        <x:v>46174</x:v>
      </x:c>
      <x:c r="D925" t="str">
        <x:v>impulse</x:v>
      </x:c>
      <x:c r="E925" t="str">
        <x:v>Impulse-Momentum</x:v>
      </x:c>
      <x:c r="F925" t="str">
        <x:v>Strength &amp; Power</x:v>
      </x:c>
      <x:c r="G925" t="n">
        <x:v>184.6</x:v>
      </x:c>
      <x:c r="H925" t="str">
        <x:v>Ns</x:v>
      </x:c>
      <x:c r="I925" t="str">
        <x:v>higher</x:v>
      </x:c>
    </x:row>
    <x:row r="926" ht="15.75" customHeight="1">
      <x:c r="A926" t="str">
        <x:v>RVX-00039</x:v>
      </x:c>
      <x:c r="B926" t="n">
        <x:v>3</x:v>
      </x:c>
      <x:c r="C926" s="15" t="n">
        <x:v>46202</x:v>
      </x:c>
      <x:c r="D926" t="str">
        <x:v>sprint_5m</x:v>
      </x:c>
      <x:c r="E926" t="str">
        <x:v>5m Sprint</x:v>
      </x:c>
      <x:c r="F926" t="str">
        <x:v>Acceleration</x:v>
      </x:c>
      <x:c r="G926" t="n">
        <x:v>1.18</x:v>
      </x:c>
      <x:c r="H926" t="str">
        <x:v>sec</x:v>
      </x:c>
      <x:c r="I926" t="str">
        <x:v>lower</x:v>
      </x:c>
    </x:row>
    <x:row r="927" ht="15.75" customHeight="1">
      <x:c r="A927" t="str">
        <x:v>RVX-00039</x:v>
      </x:c>
      <x:c r="B927" t="n">
        <x:v>3</x:v>
      </x:c>
      <x:c r="C927" s="15" t="n">
        <x:v>46202</x:v>
      </x:c>
      <x:c r="D927" t="str">
        <x:v>sprint_10m</x:v>
      </x:c>
      <x:c r="E927" t="str">
        <x:v>10m Sprint</x:v>
      </x:c>
      <x:c r="F927" t="str">
        <x:v>Acceleration</x:v>
      </x:c>
      <x:c r="G927" t="n">
        <x:v>2.05</x:v>
      </x:c>
      <x:c r="H927" t="str">
        <x:v>sec</x:v>
      </x:c>
      <x:c r="I927" t="str">
        <x:v>lower</x:v>
      </x:c>
    </x:row>
    <x:row r="928" ht="15.75" customHeight="1">
      <x:c r="A928" t="str">
        <x:v>RVX-00039</x:v>
      </x:c>
      <x:c r="B928" t="n">
        <x:v>3</x:v>
      </x:c>
      <x:c r="C928" s="15" t="n">
        <x:v>46202</x:v>
      </x:c>
      <x:c r="D928" t="str">
        <x:v>pro_agility</x:v>
      </x:c>
      <x:c r="E928" t="str">
        <x:v>5-10-5 Pro Agility</x:v>
      </x:c>
      <x:c r="F928" t="str">
        <x:v>Agility</x:v>
      </x:c>
      <x:c r="G928" t="n">
        <x:v>5.09</x:v>
      </x:c>
      <x:c r="H928" t="str">
        <x:v>sec</x:v>
      </x:c>
      <x:c r="I928" t="str">
        <x:v>lower</x:v>
      </x:c>
    </x:row>
    <x:row r="929" ht="15.75" customHeight="1">
      <x:c r="A929" t="str">
        <x:v>RVX-00039</x:v>
      </x:c>
      <x:c r="B929" t="n">
        <x:v>3</x:v>
      </x:c>
      <x:c r="C929" s="15" t="n">
        <x:v>46202</x:v>
      </x:c>
      <x:c r="D929" t="str">
        <x:v>cmj_depth</x:v>
      </x:c>
      <x:c r="E929" t="str">
        <x:v>Countermovement Depth</x:v>
      </x:c>
      <x:c r="F929" t="str">
        <x:v>Movement</x:v>
      </x:c>
      <x:c r="G929" t="n">
        <x:v>26</x:v>
      </x:c>
      <x:c r="H929" t="str">
        <x:v>cm</x:v>
      </x:c>
      <x:c r="I929" t="str">
        <x:v>higher</x:v>
      </x:c>
    </x:row>
    <x:row r="930" ht="15.75" customHeight="1">
      <x:c r="A930" t="str">
        <x:v>RVX-00039</x:v>
      </x:c>
      <x:c r="B930" t="n">
        <x:v>3</x:v>
      </x:c>
      <x:c r="C930" s="15" t="n">
        <x:v>46202</x:v>
      </x:c>
      <x:c r="D930" t="str">
        <x:v>peak_force</x:v>
      </x:c>
      <x:c r="E930" t="str">
        <x:v>Peak Force</x:v>
      </x:c>
      <x:c r="F930" t="str">
        <x:v>Strength &amp; Power</x:v>
      </x:c>
      <x:c r="G930" t="n">
        <x:v>1526</x:v>
      </x:c>
      <x:c r="H930" t="str">
        <x:v>N</x:v>
      </x:c>
      <x:c r="I930" t="str">
        <x:v>higher</x:v>
      </x:c>
    </x:row>
    <x:row r="931" ht="15.75" customHeight="1">
      <x:c r="A931" t="str">
        <x:v>RVX-00039</x:v>
      </x:c>
      <x:c r="B931" t="n">
        <x:v>3</x:v>
      </x:c>
      <x:c r="C931" s="15" t="n">
        <x:v>46202</x:v>
      </x:c>
      <x:c r="D931" t="str">
        <x:v>impulse</x:v>
      </x:c>
      <x:c r="E931" t="str">
        <x:v>Impulse-Momentum</x:v>
      </x:c>
      <x:c r="F931" t="str">
        <x:v>Strength &amp; Power</x:v>
      </x:c>
      <x:c r="G931" t="n">
        <x:v>190</x:v>
      </x:c>
      <x:c r="H931" t="str">
        <x:v>Ns</x:v>
      </x:c>
      <x:c r="I931" t="str">
        <x:v>higher</x:v>
      </x:c>
    </x:row>
    <x:row r="932" ht="15.75" customHeight="1">
      <x:c r="A932" t="str">
        <x:v>RVX-00039</x:v>
      </x:c>
      <x:c r="B932" t="n">
        <x:v>4</x:v>
      </x:c>
      <x:c r="C932" s="15" t="n">
        <x:v>46230</x:v>
      </x:c>
      <x:c r="D932" t="str">
        <x:v>sprint_5m</x:v>
      </x:c>
      <x:c r="E932" t="str">
        <x:v>5m Sprint</x:v>
      </x:c>
      <x:c r="F932" t="str">
        <x:v>Acceleration</x:v>
      </x:c>
      <x:c r="G932" t="n">
        <x:v>1.2</x:v>
      </x:c>
      <x:c r="H932" t="str">
        <x:v>sec</x:v>
      </x:c>
      <x:c r="I932" t="str">
        <x:v>lower</x:v>
      </x:c>
    </x:row>
    <x:row r="933" ht="15.75" customHeight="1">
      <x:c r="A933" t="str">
        <x:v>RVX-00039</x:v>
      </x:c>
      <x:c r="B933" t="n">
        <x:v>4</x:v>
      </x:c>
      <x:c r="C933" s="15" t="n">
        <x:v>46230</x:v>
      </x:c>
      <x:c r="D933" t="str">
        <x:v>sprint_10m</x:v>
      </x:c>
      <x:c r="E933" t="str">
        <x:v>10m Sprint</x:v>
      </x:c>
      <x:c r="F933" t="str">
        <x:v>Acceleration</x:v>
      </x:c>
      <x:c r="G933" t="n">
        <x:v>2</x:v>
      </x:c>
      <x:c r="H933" t="str">
        <x:v>sec</x:v>
      </x:c>
      <x:c r="I933" t="str">
        <x:v>lower</x:v>
      </x:c>
    </x:row>
    <x:row r="934" ht="15.75" customHeight="1">
      <x:c r="A934" t="str">
        <x:v>RVX-00039</x:v>
      </x:c>
      <x:c r="B934" t="n">
        <x:v>4</x:v>
      </x:c>
      <x:c r="C934" s="15" t="n">
        <x:v>46230</x:v>
      </x:c>
      <x:c r="D934" t="str">
        <x:v>pro_agility</x:v>
      </x:c>
      <x:c r="E934" t="str">
        <x:v>5-10-5 Pro Agility</x:v>
      </x:c>
      <x:c r="F934" t="str">
        <x:v>Agility</x:v>
      </x:c>
      <x:c r="G934" t="n">
        <x:v>5.15</x:v>
      </x:c>
      <x:c r="H934" t="str">
        <x:v>sec</x:v>
      </x:c>
      <x:c r="I934" t="str">
        <x:v>lower</x:v>
      </x:c>
    </x:row>
    <x:row r="935" ht="15.75" customHeight="1">
      <x:c r="A935" t="str">
        <x:v>RVX-00039</x:v>
      </x:c>
      <x:c r="B935" t="n">
        <x:v>4</x:v>
      </x:c>
      <x:c r="C935" s="15" t="n">
        <x:v>46230</x:v>
      </x:c>
      <x:c r="D935" t="str">
        <x:v>cmj_depth</x:v>
      </x:c>
      <x:c r="E935" t="str">
        <x:v>Countermovement Depth</x:v>
      </x:c>
      <x:c r="F935" t="str">
        <x:v>Movement</x:v>
      </x:c>
      <x:c r="G935" t="n">
        <x:v>26.9</x:v>
      </x:c>
      <x:c r="H935" t="str">
        <x:v>cm</x:v>
      </x:c>
      <x:c r="I935" t="str">
        <x:v>higher</x:v>
      </x:c>
    </x:row>
    <x:row r="936" ht="15.75" customHeight="1">
      <x:c r="A936" t="str">
        <x:v>RVX-00039</x:v>
      </x:c>
      <x:c r="B936" t="n">
        <x:v>4</x:v>
      </x:c>
      <x:c r="C936" s="15" t="n">
        <x:v>46230</x:v>
      </x:c>
      <x:c r="D936" t="str">
        <x:v>peak_force</x:v>
      </x:c>
      <x:c r="E936" t="str">
        <x:v>Peak Force</x:v>
      </x:c>
      <x:c r="F936" t="str">
        <x:v>Strength &amp; Power</x:v>
      </x:c>
      <x:c r="G936" t="n">
        <x:v>1552</x:v>
      </x:c>
      <x:c r="H936" t="str">
        <x:v>N</x:v>
      </x:c>
      <x:c r="I936" t="str">
        <x:v>higher</x:v>
      </x:c>
    </x:row>
    <x:row r="937" ht="15.75" customHeight="1">
      <x:c r="A937" t="str">
        <x:v>RVX-00039</x:v>
      </x:c>
      <x:c r="B937" t="n">
        <x:v>4</x:v>
      </x:c>
      <x:c r="C937" s="15" t="n">
        <x:v>46230</x:v>
      </x:c>
      <x:c r="D937" t="str">
        <x:v>impulse</x:v>
      </x:c>
      <x:c r="E937" t="str">
        <x:v>Impulse-Momentum</x:v>
      </x:c>
      <x:c r="F937" t="str">
        <x:v>Strength &amp; Power</x:v>
      </x:c>
      <x:c r="G937" t="n">
        <x:v>189.9</x:v>
      </x:c>
      <x:c r="H937" t="str">
        <x:v>Ns</x:v>
      </x:c>
      <x:c r="I937" t="str">
        <x:v>higher</x:v>
      </x:c>
    </x:row>
    <x:row r="938" ht="15.75" customHeight="1">
      <x:c r="A938" t="str">
        <x:v>RVX-00040</x:v>
      </x:c>
      <x:c r="B938" t="n">
        <x:v>1</x:v>
      </x:c>
      <x:c r="C938" s="15" t="n">
        <x:v>46146</x:v>
      </x:c>
      <x:c r="D938" t="str">
        <x:v>sprint_5m</x:v>
      </x:c>
      <x:c r="E938" t="str">
        <x:v>5m Sprint</x:v>
      </x:c>
      <x:c r="F938" t="str">
        <x:v>Acceleration</x:v>
      </x:c>
      <x:c r="G938" t="n">
        <x:v>0.98</x:v>
      </x:c>
      <x:c r="H938" t="str">
        <x:v>sec</x:v>
      </x:c>
      <x:c r="I938" t="str">
        <x:v>lower</x:v>
      </x:c>
    </x:row>
    <x:row r="939" ht="15.75" customHeight="1">
      <x:c r="A939" t="str">
        <x:v>RVX-00040</x:v>
      </x:c>
      <x:c r="B939" t="n">
        <x:v>1</x:v>
      </x:c>
      <x:c r="C939" s="15" t="n">
        <x:v>46146</x:v>
      </x:c>
      <x:c r="D939" t="str">
        <x:v>sprint_10m</x:v>
      </x:c>
      <x:c r="E939" t="str">
        <x:v>10m Sprint</x:v>
      </x:c>
      <x:c r="F939" t="str">
        <x:v>Acceleration</x:v>
      </x:c>
      <x:c r="G939" t="n">
        <x:v>1.64</x:v>
      </x:c>
      <x:c r="H939" t="str">
        <x:v>sec</x:v>
      </x:c>
      <x:c r="I939" t="str">
        <x:v>lower</x:v>
      </x:c>
    </x:row>
    <x:row r="940" ht="15.75" customHeight="1">
      <x:c r="A940" t="str">
        <x:v>RVX-00040</x:v>
      </x:c>
      <x:c r="B940" t="n">
        <x:v>1</x:v>
      </x:c>
      <x:c r="C940" s="15" t="n">
        <x:v>46146</x:v>
      </x:c>
      <x:c r="D940" t="str">
        <x:v>pro_agility</x:v>
      </x:c>
      <x:c r="E940" t="str">
        <x:v>5-10-5 Pro Agility</x:v>
      </x:c>
      <x:c r="F940" t="str">
        <x:v>Agility</x:v>
      </x:c>
      <x:c r="G940" t="n">
        <x:v>4.13</x:v>
      </x:c>
      <x:c r="H940" t="str">
        <x:v>sec</x:v>
      </x:c>
      <x:c r="I940" t="str">
        <x:v>lower</x:v>
      </x:c>
    </x:row>
    <x:row r="941" ht="15.75" customHeight="1">
      <x:c r="A941" t="str">
        <x:v>RVX-00040</x:v>
      </x:c>
      <x:c r="B941" t="n">
        <x:v>1</x:v>
      </x:c>
      <x:c r="C941" s="15" t="n">
        <x:v>46146</x:v>
      </x:c>
      <x:c r="D941" t="str">
        <x:v>cmj_depth</x:v>
      </x:c>
      <x:c r="E941" t="str">
        <x:v>Countermovement Depth</x:v>
      </x:c>
      <x:c r="F941" t="str">
        <x:v>Movement</x:v>
      </x:c>
      <x:c r="G941" t="n">
        <x:v>34.9</x:v>
      </x:c>
      <x:c r="H941" t="str">
        <x:v>cm</x:v>
      </x:c>
      <x:c r="I941" t="str">
        <x:v>higher</x:v>
      </x:c>
    </x:row>
    <x:row r="942" ht="15.75" customHeight="1">
      <x:c r="A942" t="str">
        <x:v>RVX-00040</x:v>
      </x:c>
      <x:c r="B942" t="n">
        <x:v>1</x:v>
      </x:c>
      <x:c r="C942" s="15" t="n">
        <x:v>46146</x:v>
      </x:c>
      <x:c r="D942" t="str">
        <x:v>peak_force</x:v>
      </x:c>
      <x:c r="E942" t="str">
        <x:v>Peak Force</x:v>
      </x:c>
      <x:c r="F942" t="str">
        <x:v>Strength &amp; Power</x:v>
      </x:c>
      <x:c r="G942" t="n">
        <x:v>2000</x:v>
      </x:c>
      <x:c r="H942" t="str">
        <x:v>N</x:v>
      </x:c>
      <x:c r="I942" t="str">
        <x:v>higher</x:v>
      </x:c>
    </x:row>
    <x:row r="943" ht="15.75" customHeight="1">
      <x:c r="A943" t="str">
        <x:v>RVX-00040</x:v>
      </x:c>
      <x:c r="B943" t="n">
        <x:v>1</x:v>
      </x:c>
      <x:c r="C943" s="15" t="n">
        <x:v>46146</x:v>
      </x:c>
      <x:c r="D943" t="str">
        <x:v>impulse</x:v>
      </x:c>
      <x:c r="E943" t="str">
        <x:v>Impulse-Momentum</x:v>
      </x:c>
      <x:c r="F943" t="str">
        <x:v>Strength &amp; Power</x:v>
      </x:c>
      <x:c r="G943" t="n">
        <x:v>248.7</x:v>
      </x:c>
      <x:c r="H943" t="str">
        <x:v>Ns</x:v>
      </x:c>
      <x:c r="I943" t="str">
        <x:v>higher</x:v>
      </x:c>
    </x:row>
    <x:row r="944" ht="15.75" customHeight="1">
      <x:c r="A944" t="str">
        <x:v>RVX-00040</x:v>
      </x:c>
      <x:c r="B944" t="n">
        <x:v>2</x:v>
      </x:c>
      <x:c r="C944" s="15" t="n">
        <x:v>46174</x:v>
      </x:c>
      <x:c r="D944" t="str">
        <x:v>sprint_5m</x:v>
      </x:c>
      <x:c r="E944" t="str">
        <x:v>5m Sprint</x:v>
      </x:c>
      <x:c r="F944" t="str">
        <x:v>Acceleration</x:v>
      </x:c>
      <x:c r="G944" t="n">
        <x:v>0.94</x:v>
      </x:c>
      <x:c r="H944" t="str">
        <x:v>sec</x:v>
      </x:c>
      <x:c r="I944" t="str">
        <x:v>lower</x:v>
      </x:c>
    </x:row>
    <x:row r="945" ht="15.75" customHeight="1">
      <x:c r="A945" t="str">
        <x:v>RVX-00040</x:v>
      </x:c>
      <x:c r="B945" t="n">
        <x:v>2</x:v>
      </x:c>
      <x:c r="C945" s="15" t="n">
        <x:v>46174</x:v>
      </x:c>
      <x:c r="D945" t="str">
        <x:v>sprint_10m</x:v>
      </x:c>
      <x:c r="E945" t="str">
        <x:v>10m Sprint</x:v>
      </x:c>
      <x:c r="F945" t="str">
        <x:v>Acceleration</x:v>
      </x:c>
      <x:c r="G945" t="n">
        <x:v>1.62</x:v>
      </x:c>
      <x:c r="H945" t="str">
        <x:v>sec</x:v>
      </x:c>
      <x:c r="I945" t="str">
        <x:v>lower</x:v>
      </x:c>
    </x:row>
    <x:row r="946" ht="15.75" customHeight="1">
      <x:c r="A946" t="str">
        <x:v>RVX-00040</x:v>
      </x:c>
      <x:c r="B946" t="n">
        <x:v>2</x:v>
      </x:c>
      <x:c r="C946" s="15" t="n">
        <x:v>46174</x:v>
      </x:c>
      <x:c r="D946" t="str">
        <x:v>pro_agility</x:v>
      </x:c>
      <x:c r="E946" t="str">
        <x:v>5-10-5 Pro Agility</x:v>
      </x:c>
      <x:c r="F946" t="str">
        <x:v>Agility</x:v>
      </x:c>
      <x:c r="G946" t="n">
        <x:v>4.2</x:v>
      </x:c>
      <x:c r="H946" t="str">
        <x:v>sec</x:v>
      </x:c>
      <x:c r="I946" t="str">
        <x:v>lower</x:v>
      </x:c>
    </x:row>
    <x:row r="947" ht="15.75" customHeight="1">
      <x:c r="A947" t="str">
        <x:v>RVX-00040</x:v>
      </x:c>
      <x:c r="B947" t="n">
        <x:v>2</x:v>
      </x:c>
      <x:c r="C947" s="15" t="n">
        <x:v>46174</x:v>
      </x:c>
      <x:c r="D947" t="str">
        <x:v>cmj_depth</x:v>
      </x:c>
      <x:c r="E947" t="str">
        <x:v>Countermovement Depth</x:v>
      </x:c>
      <x:c r="F947" t="str">
        <x:v>Movement</x:v>
      </x:c>
      <x:c r="G947" t="n">
        <x:v>35.2</x:v>
      </x:c>
      <x:c r="H947" t="str">
        <x:v>cm</x:v>
      </x:c>
      <x:c r="I947" t="str">
        <x:v>higher</x:v>
      </x:c>
    </x:row>
    <x:row r="948" ht="15.75" customHeight="1">
      <x:c r="A948" t="str">
        <x:v>RVX-00040</x:v>
      </x:c>
      <x:c r="B948" t="n">
        <x:v>2</x:v>
      </x:c>
      <x:c r="C948" s="15" t="n">
        <x:v>46174</x:v>
      </x:c>
      <x:c r="D948" t="str">
        <x:v>peak_force</x:v>
      </x:c>
      <x:c r="E948" t="str">
        <x:v>Peak Force</x:v>
      </x:c>
      <x:c r="F948" t="str">
        <x:v>Strength &amp; Power</x:v>
      </x:c>
      <x:c r="G948" t="n">
        <x:v>2085</x:v>
      </x:c>
      <x:c r="H948" t="str">
        <x:v>N</x:v>
      </x:c>
      <x:c r="I948" t="str">
        <x:v>higher</x:v>
      </x:c>
    </x:row>
    <x:row r="949" ht="15.75" customHeight="1">
      <x:c r="A949" t="str">
        <x:v>RVX-00040</x:v>
      </x:c>
      <x:c r="B949" t="n">
        <x:v>2</x:v>
      </x:c>
      <x:c r="C949" s="15" t="n">
        <x:v>46174</x:v>
      </x:c>
      <x:c r="D949" t="str">
        <x:v>impulse</x:v>
      </x:c>
      <x:c r="E949" t="str">
        <x:v>Impulse-Momentum</x:v>
      </x:c>
      <x:c r="F949" t="str">
        <x:v>Strength &amp; Power</x:v>
      </x:c>
      <x:c r="G949" t="n">
        <x:v>256.5</x:v>
      </x:c>
      <x:c r="H949" t="str">
        <x:v>Ns</x:v>
      </x:c>
      <x:c r="I949" t="str">
        <x:v>higher</x:v>
      </x:c>
    </x:row>
    <x:row r="950" ht="15.75" customHeight="1">
      <x:c r="A950" t="str">
        <x:v>RVX-00040</x:v>
      </x:c>
      <x:c r="B950" t="n">
        <x:v>3</x:v>
      </x:c>
      <x:c r="C950" s="15" t="n">
        <x:v>46202</x:v>
      </x:c>
      <x:c r="D950" t="str">
        <x:v>sprint_5m</x:v>
      </x:c>
      <x:c r="E950" t="str">
        <x:v>5m Sprint</x:v>
      </x:c>
      <x:c r="F950" t="str">
        <x:v>Acceleration</x:v>
      </x:c>
      <x:c r="G950" t="n">
        <x:v>0.96</x:v>
      </x:c>
      <x:c r="H950" t="str">
        <x:v>sec</x:v>
      </x:c>
      <x:c r="I950" t="str">
        <x:v>lower</x:v>
      </x:c>
    </x:row>
    <x:row r="951" ht="15.75" customHeight="1">
      <x:c r="A951" t="str">
        <x:v>RVX-00040</x:v>
      </x:c>
      <x:c r="B951" t="n">
        <x:v>3</x:v>
      </x:c>
      <x:c r="C951" s="15" t="n">
        <x:v>46202</x:v>
      </x:c>
      <x:c r="D951" t="str">
        <x:v>sprint_10m</x:v>
      </x:c>
      <x:c r="E951" t="str">
        <x:v>10m Sprint</x:v>
      </x:c>
      <x:c r="F951" t="str">
        <x:v>Acceleration</x:v>
      </x:c>
      <x:c r="G951" t="n">
        <x:v>1.59</x:v>
      </x:c>
      <x:c r="H951" t="str">
        <x:v>sec</x:v>
      </x:c>
      <x:c r="I951" t="str">
        <x:v>lower</x:v>
      </x:c>
    </x:row>
    <x:row r="952" ht="15.75" customHeight="1">
      <x:c r="A952" t="str">
        <x:v>RVX-00040</x:v>
      </x:c>
      <x:c r="B952" t="n">
        <x:v>3</x:v>
      </x:c>
      <x:c r="C952" s="15" t="n">
        <x:v>46202</x:v>
      </x:c>
      <x:c r="D952" t="str">
        <x:v>pro_agility</x:v>
      </x:c>
      <x:c r="E952" t="str">
        <x:v>5-10-5 Pro Agility</x:v>
      </x:c>
      <x:c r="F952" t="str">
        <x:v>Agility</x:v>
      </x:c>
      <x:c r="G952" t="n">
        <x:v>4.06</x:v>
      </x:c>
      <x:c r="H952" t="str">
        <x:v>sec</x:v>
      </x:c>
      <x:c r="I952" t="str">
        <x:v>lower</x:v>
      </x:c>
    </x:row>
    <x:row r="953" ht="15.75" customHeight="1">
      <x:c r="A953" t="str">
        <x:v>RVX-00040</x:v>
      </x:c>
      <x:c r="B953" t="n">
        <x:v>3</x:v>
      </x:c>
      <x:c r="C953" s="15" t="n">
        <x:v>46202</x:v>
      </x:c>
      <x:c r="D953" t="str">
        <x:v>cmj_depth</x:v>
      </x:c>
      <x:c r="E953" t="str">
        <x:v>Countermovement Depth</x:v>
      </x:c>
      <x:c r="F953" t="str">
        <x:v>Movement</x:v>
      </x:c>
      <x:c r="G953" t="n">
        <x:v>36.4</x:v>
      </x:c>
      <x:c r="H953" t="str">
        <x:v>cm</x:v>
      </x:c>
      <x:c r="I953" t="str">
        <x:v>higher</x:v>
      </x:c>
    </x:row>
    <x:row r="954" ht="15.75" customHeight="1">
      <x:c r="A954" t="str">
        <x:v>RVX-00040</x:v>
      </x:c>
      <x:c r="B954" t="n">
        <x:v>3</x:v>
      </x:c>
      <x:c r="C954" s="15" t="n">
        <x:v>46202</x:v>
      </x:c>
      <x:c r="D954" t="str">
        <x:v>peak_force</x:v>
      </x:c>
      <x:c r="E954" t="str">
        <x:v>Peak Force</x:v>
      </x:c>
      <x:c r="F954" t="str">
        <x:v>Strength &amp; Power</x:v>
      </x:c>
      <x:c r="G954" t="n">
        <x:v>2099</x:v>
      </x:c>
      <x:c r="H954" t="str">
        <x:v>N</x:v>
      </x:c>
      <x:c r="I954" t="str">
        <x:v>higher</x:v>
      </x:c>
    </x:row>
    <x:row r="955" ht="15.75" customHeight="1">
      <x:c r="A955" t="str">
        <x:v>RVX-00040</x:v>
      </x:c>
      <x:c r="B955" t="n">
        <x:v>3</x:v>
      </x:c>
      <x:c r="C955" s="15" t="n">
        <x:v>46202</x:v>
      </x:c>
      <x:c r="D955" t="str">
        <x:v>impulse</x:v>
      </x:c>
      <x:c r="E955" t="str">
        <x:v>Impulse-Momentum</x:v>
      </x:c>
      <x:c r="F955" t="str">
        <x:v>Strength &amp; Power</x:v>
      </x:c>
      <x:c r="G955" t="n">
        <x:v>253.7</x:v>
      </x:c>
      <x:c r="H955" t="str">
        <x:v>Ns</x:v>
      </x:c>
      <x:c r="I955" t="str">
        <x:v>higher</x:v>
      </x:c>
    </x:row>
    <x:row r="956" ht="15.75" customHeight="1">
      <x:c r="A956" t="str">
        <x:v>RVX-00040</x:v>
      </x:c>
      <x:c r="B956" t="n">
        <x:v>4</x:v>
      </x:c>
      <x:c r="C956" s="15" t="n">
        <x:v>46230</x:v>
      </x:c>
      <x:c r="D956" t="str">
        <x:v>sprint_5m</x:v>
      </x:c>
      <x:c r="E956" t="str">
        <x:v>5m Sprint</x:v>
      </x:c>
      <x:c r="F956" t="str">
        <x:v>Acceleration</x:v>
      </x:c>
      <x:c r="G956" t="n">
        <x:v>0.95</x:v>
      </x:c>
      <x:c r="H956" t="str">
        <x:v>sec</x:v>
      </x:c>
      <x:c r="I956" t="str">
        <x:v>lower</x:v>
      </x:c>
    </x:row>
    <x:row r="957" ht="15.75" customHeight="1">
      <x:c r="A957" t="str">
        <x:v>RVX-00040</x:v>
      </x:c>
      <x:c r="B957" t="n">
        <x:v>4</x:v>
      </x:c>
      <x:c r="C957" s="15" t="n">
        <x:v>46230</x:v>
      </x:c>
      <x:c r="D957" t="str">
        <x:v>sprint_10m</x:v>
      </x:c>
      <x:c r="E957" t="str">
        <x:v>10m Sprint</x:v>
      </x:c>
      <x:c r="F957" t="str">
        <x:v>Acceleration</x:v>
      </x:c>
      <x:c r="G957" t="n">
        <x:v>1.57</x:v>
      </x:c>
      <x:c r="H957" t="str">
        <x:v>sec</x:v>
      </x:c>
      <x:c r="I957" t="str">
        <x:v>lower</x:v>
      </x:c>
    </x:row>
    <x:row r="958" ht="15.75" customHeight="1">
      <x:c r="A958" t="str">
        <x:v>RVX-00040</x:v>
      </x:c>
      <x:c r="B958" t="n">
        <x:v>4</x:v>
      </x:c>
      <x:c r="C958" s="15" t="n">
        <x:v>46230</x:v>
      </x:c>
      <x:c r="D958" t="str">
        <x:v>pro_agility</x:v>
      </x:c>
      <x:c r="E958" t="str">
        <x:v>5-10-5 Pro Agility</x:v>
      </x:c>
      <x:c r="F958" t="str">
        <x:v>Agility</x:v>
      </x:c>
      <x:c r="G958" t="n">
        <x:v>3.89</x:v>
      </x:c>
      <x:c r="H958" t="str">
        <x:v>sec</x:v>
      </x:c>
      <x:c r="I958" t="str">
        <x:v>lower</x:v>
      </x:c>
    </x:row>
    <x:row r="959" ht="15.75" customHeight="1">
      <x:c r="A959" t="str">
        <x:v>RVX-00040</x:v>
      </x:c>
      <x:c r="B959" t="n">
        <x:v>4</x:v>
      </x:c>
      <x:c r="C959" s="15" t="n">
        <x:v>46230</x:v>
      </x:c>
      <x:c r="D959" t="str">
        <x:v>cmj_depth</x:v>
      </x:c>
      <x:c r="E959" t="str">
        <x:v>Countermovement Depth</x:v>
      </x:c>
      <x:c r="F959" t="str">
        <x:v>Movement</x:v>
      </x:c>
      <x:c r="G959" t="n">
        <x:v>37</x:v>
      </x:c>
      <x:c r="H959" t="str">
        <x:v>cm</x:v>
      </x:c>
      <x:c r="I959" t="str">
        <x:v>higher</x:v>
      </x:c>
    </x:row>
    <x:row r="960" ht="15.75" customHeight="1">
      <x:c r="A960" t="str">
        <x:v>RVX-00040</x:v>
      </x:c>
      <x:c r="B960" t="n">
        <x:v>4</x:v>
      </x:c>
      <x:c r="C960" s="15" t="n">
        <x:v>46230</x:v>
      </x:c>
      <x:c r="D960" t="str">
        <x:v>peak_force</x:v>
      </x:c>
      <x:c r="E960" t="str">
        <x:v>Peak Force</x:v>
      </x:c>
      <x:c r="F960" t="str">
        <x:v>Strength &amp; Power</x:v>
      </x:c>
      <x:c r="G960" t="n">
        <x:v>2113</x:v>
      </x:c>
      <x:c r="H960" t="str">
        <x:v>N</x:v>
      </x:c>
      <x:c r="I960" t="str">
        <x:v>higher</x:v>
      </x:c>
    </x:row>
    <x:row r="961" ht="15.75" customHeight="1">
      <x:c r="A961" t="str">
        <x:v>RVX-00040</x:v>
      </x:c>
      <x:c r="B961" t="n">
        <x:v>4</x:v>
      </x:c>
      <x:c r="C961" s="15" t="n">
        <x:v>46230</x:v>
      </x:c>
      <x:c r="D961" t="str">
        <x:v>impulse</x:v>
      </x:c>
      <x:c r="E961" t="str">
        <x:v>Impulse-Momentum</x:v>
      </x:c>
      <x:c r="F961" t="str">
        <x:v>Strength &amp; Power</x:v>
      </x:c>
      <x:c r="G961" t="n">
        <x:v>256.3</x:v>
      </x:c>
      <x:c r="H961" t="str">
        <x:v>Ns</x:v>
      </x:c>
      <x:c r="I961" t="str">
        <x:v>higher</x:v>
      </x:c>
    </x:row>
    <x:row r="962" ht="15.75" customHeight="1">
      <x:c r="A962" t="str">
        <x:v>RVX-00041</x:v>
      </x:c>
      <x:c r="B962" t="n">
        <x:v>1</x:v>
      </x:c>
      <x:c r="C962" s="15" t="n">
        <x:v>46146</x:v>
      </x:c>
      <x:c r="D962" t="str">
        <x:v>sprint_5m</x:v>
      </x:c>
      <x:c r="E962" t="str">
        <x:v>5m Sprint</x:v>
      </x:c>
      <x:c r="F962" t="str">
        <x:v>Acceleration</x:v>
      </x:c>
      <x:c r="G962" t="n">
        <x:v>1.11</x:v>
      </x:c>
      <x:c r="H962" t="str">
        <x:v>sec</x:v>
      </x:c>
      <x:c r="I962" t="str">
        <x:v>lower</x:v>
      </x:c>
    </x:row>
    <x:row r="963" ht="15.75" customHeight="1">
      <x:c r="A963" t="str">
        <x:v>RVX-00041</x:v>
      </x:c>
      <x:c r="B963" t="n">
        <x:v>1</x:v>
      </x:c>
      <x:c r="C963" s="15" t="n">
        <x:v>46146</x:v>
      </x:c>
      <x:c r="D963" t="str">
        <x:v>sprint_10m</x:v>
      </x:c>
      <x:c r="E963" t="str">
        <x:v>10m Sprint</x:v>
      </x:c>
      <x:c r="F963" t="str">
        <x:v>Acceleration</x:v>
      </x:c>
      <x:c r="G963" t="n">
        <x:v>1.92</x:v>
      </x:c>
      <x:c r="H963" t="str">
        <x:v>sec</x:v>
      </x:c>
      <x:c r="I963" t="str">
        <x:v>lower</x:v>
      </x:c>
    </x:row>
    <x:row r="964" ht="15.75" customHeight="1">
      <x:c r="A964" t="str">
        <x:v>RVX-00041</x:v>
      </x:c>
      <x:c r="B964" t="n">
        <x:v>1</x:v>
      </x:c>
      <x:c r="C964" s="15" t="n">
        <x:v>46146</x:v>
      </x:c>
      <x:c r="D964" t="str">
        <x:v>pro_agility</x:v>
      </x:c>
      <x:c r="E964" t="str">
        <x:v>5-10-5 Pro Agility</x:v>
      </x:c>
      <x:c r="F964" t="str">
        <x:v>Agility</x:v>
      </x:c>
      <x:c r="G964" t="n">
        <x:v>4.91</x:v>
      </x:c>
      <x:c r="H964" t="str">
        <x:v>sec</x:v>
      </x:c>
      <x:c r="I964" t="str">
        <x:v>lower</x:v>
      </x:c>
    </x:row>
    <x:row r="965" ht="15.75" customHeight="1">
      <x:c r="A965" t="str">
        <x:v>RVX-00041</x:v>
      </x:c>
      <x:c r="B965" t="n">
        <x:v>1</x:v>
      </x:c>
      <x:c r="C965" s="15" t="n">
        <x:v>46146</x:v>
      </x:c>
      <x:c r="D965" t="str">
        <x:v>cmj_depth</x:v>
      </x:c>
      <x:c r="E965" t="str">
        <x:v>Countermovement Depth</x:v>
      </x:c>
      <x:c r="F965" t="str">
        <x:v>Movement</x:v>
      </x:c>
      <x:c r="G965" t="n">
        <x:v>28.8</x:v>
      </x:c>
      <x:c r="H965" t="str">
        <x:v>cm</x:v>
      </x:c>
      <x:c r="I965" t="str">
        <x:v>higher</x:v>
      </x:c>
    </x:row>
    <x:row r="966" ht="15.75" customHeight="1">
      <x:c r="A966" t="str">
        <x:v>RVX-00041</x:v>
      </x:c>
      <x:c r="B966" t="n">
        <x:v>1</x:v>
      </x:c>
      <x:c r="C966" s="15" t="n">
        <x:v>46146</x:v>
      </x:c>
      <x:c r="D966" t="str">
        <x:v>peak_force</x:v>
      </x:c>
      <x:c r="E966" t="str">
        <x:v>Peak Force</x:v>
      </x:c>
      <x:c r="F966" t="str">
        <x:v>Strength &amp; Power</x:v>
      </x:c>
      <x:c r="G966" t="n">
        <x:v>1676</x:v>
      </x:c>
      <x:c r="H966" t="str">
        <x:v>N</x:v>
      </x:c>
      <x:c r="I966" t="str">
        <x:v>higher</x:v>
      </x:c>
    </x:row>
    <x:row r="967" ht="15.75" customHeight="1">
      <x:c r="A967" t="str">
        <x:v>RVX-00041</x:v>
      </x:c>
      <x:c r="B967" t="n">
        <x:v>1</x:v>
      </x:c>
      <x:c r="C967" s="15" t="n">
        <x:v>46146</x:v>
      </x:c>
      <x:c r="D967" t="str">
        <x:v>impulse</x:v>
      </x:c>
      <x:c r="E967" t="str">
        <x:v>Impulse-Momentum</x:v>
      </x:c>
      <x:c r="F967" t="str">
        <x:v>Strength &amp; Power</x:v>
      </x:c>
      <x:c r="G967" t="n">
        <x:v>206.8</x:v>
      </x:c>
      <x:c r="H967" t="str">
        <x:v>Ns</x:v>
      </x:c>
      <x:c r="I967" t="str">
        <x:v>higher</x:v>
      </x:c>
    </x:row>
    <x:row r="968" ht="15.75" customHeight="1">
      <x:c r="A968" t="str">
        <x:v>RVX-00041</x:v>
      </x:c>
      <x:c r="B968" t="n">
        <x:v>2</x:v>
      </x:c>
      <x:c r="C968" s="15" t="n">
        <x:v>46174</x:v>
      </x:c>
      <x:c r="D968" t="str">
        <x:v>sprint_5m</x:v>
      </x:c>
      <x:c r="E968" t="str">
        <x:v>5m Sprint</x:v>
      </x:c>
      <x:c r="F968" t="str">
        <x:v>Acceleration</x:v>
      </x:c>
      <x:c r="G968" t="n">
        <x:v>1.1</x:v>
      </x:c>
      <x:c r="H968" t="str">
        <x:v>sec</x:v>
      </x:c>
      <x:c r="I968" t="str">
        <x:v>lower</x:v>
      </x:c>
    </x:row>
    <x:row r="969" ht="15.75" customHeight="1">
      <x:c r="A969" t="str">
        <x:v>RVX-00041</x:v>
      </x:c>
      <x:c r="B969" t="n">
        <x:v>2</x:v>
      </x:c>
      <x:c r="C969" s="15" t="n">
        <x:v>46174</x:v>
      </x:c>
      <x:c r="D969" t="str">
        <x:v>sprint_10m</x:v>
      </x:c>
      <x:c r="E969" t="str">
        <x:v>10m Sprint</x:v>
      </x:c>
      <x:c r="F969" t="str">
        <x:v>Acceleration</x:v>
      </x:c>
      <x:c r="G969" t="n">
        <x:v>1.89</x:v>
      </x:c>
      <x:c r="H969" t="str">
        <x:v>sec</x:v>
      </x:c>
      <x:c r="I969" t="str">
        <x:v>lower</x:v>
      </x:c>
    </x:row>
    <x:row r="970" ht="15.75" customHeight="1">
      <x:c r="A970" t="str">
        <x:v>RVX-00041</x:v>
      </x:c>
      <x:c r="B970" t="n">
        <x:v>2</x:v>
      </x:c>
      <x:c r="C970" s="15" t="n">
        <x:v>46174</x:v>
      </x:c>
      <x:c r="D970" t="str">
        <x:v>pro_agility</x:v>
      </x:c>
      <x:c r="E970" t="str">
        <x:v>5-10-5 Pro Agility</x:v>
      </x:c>
      <x:c r="F970" t="str">
        <x:v>Agility</x:v>
      </x:c>
      <x:c r="G970" t="n">
        <x:v>4.83</x:v>
      </x:c>
      <x:c r="H970" t="str">
        <x:v>sec</x:v>
      </x:c>
      <x:c r="I970" t="str">
        <x:v>lower</x:v>
      </x:c>
    </x:row>
    <x:row r="971" ht="15.75" customHeight="1">
      <x:c r="A971" t="str">
        <x:v>RVX-00041</x:v>
      </x:c>
      <x:c r="B971" t="n">
        <x:v>2</x:v>
      </x:c>
      <x:c r="C971" s="15" t="n">
        <x:v>46174</x:v>
      </x:c>
      <x:c r="D971" t="str">
        <x:v>cmj_depth</x:v>
      </x:c>
      <x:c r="E971" t="str">
        <x:v>Countermovement Depth</x:v>
      </x:c>
      <x:c r="F971" t="str">
        <x:v>Movement</x:v>
      </x:c>
      <x:c r="G971" t="n">
        <x:v>28.6</x:v>
      </x:c>
      <x:c r="H971" t="str">
        <x:v>cm</x:v>
      </x:c>
      <x:c r="I971" t="str">
        <x:v>higher</x:v>
      </x:c>
    </x:row>
    <x:row r="972" ht="15.75" customHeight="1">
      <x:c r="A972" t="str">
        <x:v>RVX-00041</x:v>
      </x:c>
      <x:c r="B972" t="n">
        <x:v>2</x:v>
      </x:c>
      <x:c r="C972" s="15" t="n">
        <x:v>46174</x:v>
      </x:c>
      <x:c r="D972" t="str">
        <x:v>peak_force</x:v>
      </x:c>
      <x:c r="E972" t="str">
        <x:v>Peak Force</x:v>
      </x:c>
      <x:c r="F972" t="str">
        <x:v>Strength &amp; Power</x:v>
      </x:c>
      <x:c r="G972" t="n">
        <x:v>1694</x:v>
      </x:c>
      <x:c r="H972" t="str">
        <x:v>N</x:v>
      </x:c>
      <x:c r="I972" t="str">
        <x:v>higher</x:v>
      </x:c>
    </x:row>
    <x:row r="973" ht="15.75" customHeight="1">
      <x:c r="A973" t="str">
        <x:v>RVX-00041</x:v>
      </x:c>
      <x:c r="B973" t="n">
        <x:v>2</x:v>
      </x:c>
      <x:c r="C973" s="15" t="n">
        <x:v>46174</x:v>
      </x:c>
      <x:c r="D973" t="str">
        <x:v>impulse</x:v>
      </x:c>
      <x:c r="E973" t="str">
        <x:v>Impulse-Momentum</x:v>
      </x:c>
      <x:c r="F973" t="str">
        <x:v>Strength &amp; Power</x:v>
      </x:c>
      <x:c r="G973" t="n">
        <x:v>207.3</x:v>
      </x:c>
      <x:c r="H973" t="str">
        <x:v>Ns</x:v>
      </x:c>
      <x:c r="I973" t="str">
        <x:v>higher</x:v>
      </x:c>
    </x:row>
    <x:row r="974" ht="15.75" customHeight="1">
      <x:c r="A974" t="str">
        <x:v>RVX-00041</x:v>
      </x:c>
      <x:c r="B974" t="n">
        <x:v>3</x:v>
      </x:c>
      <x:c r="C974" s="15" t="n">
        <x:v>46202</x:v>
      </x:c>
      <x:c r="D974" t="str">
        <x:v>sprint_5m</x:v>
      </x:c>
      <x:c r="E974" t="str">
        <x:v>5m Sprint</x:v>
      </x:c>
      <x:c r="F974" t="str">
        <x:v>Acceleration</x:v>
      </x:c>
      <x:c r="G974" t="n">
        <x:v>1.09</x:v>
      </x:c>
      <x:c r="H974" t="str">
        <x:v>sec</x:v>
      </x:c>
      <x:c r="I974" t="str">
        <x:v>lower</x:v>
      </x:c>
    </x:row>
    <x:row r="975" ht="15.75" customHeight="1">
      <x:c r="A975" t="str">
        <x:v>RVX-00041</x:v>
      </x:c>
      <x:c r="B975" t="n">
        <x:v>3</x:v>
      </x:c>
      <x:c r="C975" s="15" t="n">
        <x:v>46202</x:v>
      </x:c>
      <x:c r="D975" t="str">
        <x:v>sprint_10m</x:v>
      </x:c>
      <x:c r="E975" t="str">
        <x:v>10m Sprint</x:v>
      </x:c>
      <x:c r="F975" t="str">
        <x:v>Acceleration</x:v>
      </x:c>
      <x:c r="G975" t="n">
        <x:v>1.82</x:v>
      </x:c>
      <x:c r="H975" t="str">
        <x:v>sec</x:v>
      </x:c>
      <x:c r="I975" t="str">
        <x:v>lower</x:v>
      </x:c>
    </x:row>
    <x:row r="976" ht="15.75" customHeight="1">
      <x:c r="A976" t="str">
        <x:v>RVX-00041</x:v>
      </x:c>
      <x:c r="B976" t="n">
        <x:v>3</x:v>
      </x:c>
      <x:c r="C976" s="15" t="n">
        <x:v>46202</x:v>
      </x:c>
      <x:c r="D976" t="str">
        <x:v>pro_agility</x:v>
      </x:c>
      <x:c r="E976" t="str">
        <x:v>5-10-5 Pro Agility</x:v>
      </x:c>
      <x:c r="F976" t="str">
        <x:v>Agility</x:v>
      </x:c>
      <x:c r="G976" t="n">
        <x:v>4.61</x:v>
      </x:c>
      <x:c r="H976" t="str">
        <x:v>sec</x:v>
      </x:c>
      <x:c r="I976" t="str">
        <x:v>lower</x:v>
      </x:c>
    </x:row>
    <x:row r="977" ht="15.75" customHeight="1">
      <x:c r="A977" t="str">
        <x:v>RVX-00041</x:v>
      </x:c>
      <x:c r="B977" t="n">
        <x:v>3</x:v>
      </x:c>
      <x:c r="C977" s="15" t="n">
        <x:v>46202</x:v>
      </x:c>
      <x:c r="D977" t="str">
        <x:v>cmj_depth</x:v>
      </x:c>
      <x:c r="E977" t="str">
        <x:v>Countermovement Depth</x:v>
      </x:c>
      <x:c r="F977" t="str">
        <x:v>Movement</x:v>
      </x:c>
      <x:c r="G977" t="n">
        <x:v>30</x:v>
      </x:c>
      <x:c r="H977" t="str">
        <x:v>cm</x:v>
      </x:c>
      <x:c r="I977" t="str">
        <x:v>higher</x:v>
      </x:c>
    </x:row>
    <x:row r="978" ht="15.75" customHeight="1">
      <x:c r="A978" t="str">
        <x:v>RVX-00041</x:v>
      </x:c>
      <x:c r="B978" t="n">
        <x:v>3</x:v>
      </x:c>
      <x:c r="C978" s="15" t="n">
        <x:v>46202</x:v>
      </x:c>
      <x:c r="D978" t="str">
        <x:v>peak_force</x:v>
      </x:c>
      <x:c r="E978" t="str">
        <x:v>Peak Force</x:v>
      </x:c>
      <x:c r="F978" t="str">
        <x:v>Strength &amp; Power</x:v>
      </x:c>
      <x:c r="G978" t="n">
        <x:v>1752</x:v>
      </x:c>
      <x:c r="H978" t="str">
        <x:v>N</x:v>
      </x:c>
      <x:c r="I978" t="str">
        <x:v>higher</x:v>
      </x:c>
    </x:row>
    <x:row r="979" ht="15.75" customHeight="1">
      <x:c r="A979" t="str">
        <x:v>RVX-00041</x:v>
      </x:c>
      <x:c r="B979" t="n">
        <x:v>3</x:v>
      </x:c>
      <x:c r="C979" s="15" t="n">
        <x:v>46202</x:v>
      </x:c>
      <x:c r="D979" t="str">
        <x:v>impulse</x:v>
      </x:c>
      <x:c r="E979" t="str">
        <x:v>Impulse-Momentum</x:v>
      </x:c>
      <x:c r="F979" t="str">
        <x:v>Strength &amp; Power</x:v>
      </x:c>
      <x:c r="G979" t="n">
        <x:v>209.7</x:v>
      </x:c>
      <x:c r="H979" t="str">
        <x:v>Ns</x:v>
      </x:c>
      <x:c r="I979" t="str">
        <x:v>higher</x:v>
      </x:c>
    </x:row>
    <x:row r="980" ht="15.75" customHeight="1">
      <x:c r="A980" t="str">
        <x:v>RVX-00041</x:v>
      </x:c>
      <x:c r="B980" t="n">
        <x:v>4</x:v>
      </x:c>
      <x:c r="C980" s="15" t="n">
        <x:v>46230</x:v>
      </x:c>
      <x:c r="D980" t="str">
        <x:v>sprint_5m</x:v>
      </x:c>
      <x:c r="E980" t="str">
        <x:v>5m Sprint</x:v>
      </x:c>
      <x:c r="F980" t="str">
        <x:v>Acceleration</x:v>
      </x:c>
      <x:c r="G980" t="n">
        <x:v>1.06</x:v>
      </x:c>
      <x:c r="H980" t="str">
        <x:v>sec</x:v>
      </x:c>
      <x:c r="I980" t="str">
        <x:v>lower</x:v>
      </x:c>
    </x:row>
    <x:row r="981" ht="15.75" customHeight="1">
      <x:c r="A981" t="str">
        <x:v>RVX-00041</x:v>
      </x:c>
      <x:c r="B981" t="n">
        <x:v>4</x:v>
      </x:c>
      <x:c r="C981" s="15" t="n">
        <x:v>46230</x:v>
      </x:c>
      <x:c r="D981" t="str">
        <x:v>sprint_10m</x:v>
      </x:c>
      <x:c r="E981" t="str">
        <x:v>10m Sprint</x:v>
      </x:c>
      <x:c r="F981" t="str">
        <x:v>Acceleration</x:v>
      </x:c>
      <x:c r="G981" t="n">
        <x:v>1.84</x:v>
      </x:c>
      <x:c r="H981" t="str">
        <x:v>sec</x:v>
      </x:c>
      <x:c r="I981" t="str">
        <x:v>lower</x:v>
      </x:c>
    </x:row>
    <x:row r="982" ht="15.75" customHeight="1">
      <x:c r="A982" t="str">
        <x:v>RVX-00041</x:v>
      </x:c>
      <x:c r="B982" t="n">
        <x:v>4</x:v>
      </x:c>
      <x:c r="C982" s="15" t="n">
        <x:v>46230</x:v>
      </x:c>
      <x:c r="D982" t="str">
        <x:v>pro_agility</x:v>
      </x:c>
      <x:c r="E982" t="str">
        <x:v>5-10-5 Pro Agility</x:v>
      </x:c>
      <x:c r="F982" t="str">
        <x:v>Agility</x:v>
      </x:c>
      <x:c r="G982" t="n">
        <x:v>4.55</x:v>
      </x:c>
      <x:c r="H982" t="str">
        <x:v>sec</x:v>
      </x:c>
      <x:c r="I982" t="str">
        <x:v>lower</x:v>
      </x:c>
    </x:row>
    <x:row r="983" ht="15.75" customHeight="1">
      <x:c r="A983" t="str">
        <x:v>RVX-00041</x:v>
      </x:c>
      <x:c r="B983" t="n">
        <x:v>4</x:v>
      </x:c>
      <x:c r="C983" s="15" t="n">
        <x:v>46230</x:v>
      </x:c>
      <x:c r="D983" t="str">
        <x:v>cmj_depth</x:v>
      </x:c>
      <x:c r="E983" t="str">
        <x:v>Countermovement Depth</x:v>
      </x:c>
      <x:c r="F983" t="str">
        <x:v>Movement</x:v>
      </x:c>
      <x:c r="G983" t="n">
        <x:v>30.2</x:v>
      </x:c>
      <x:c r="H983" t="str">
        <x:v>cm</x:v>
      </x:c>
      <x:c r="I983" t="str">
        <x:v>higher</x:v>
      </x:c>
    </x:row>
    <x:row r="984" ht="15.75" customHeight="1">
      <x:c r="A984" t="str">
        <x:v>RVX-00041</x:v>
      </x:c>
      <x:c r="B984" t="n">
        <x:v>4</x:v>
      </x:c>
      <x:c r="C984" s="15" t="n">
        <x:v>46230</x:v>
      </x:c>
      <x:c r="D984" t="str">
        <x:v>peak_force</x:v>
      </x:c>
      <x:c r="E984" t="str">
        <x:v>Peak Force</x:v>
      </x:c>
      <x:c r="F984" t="str">
        <x:v>Strength &amp; Power</x:v>
      </x:c>
      <x:c r="G984" t="n">
        <x:v>1713</x:v>
      </x:c>
      <x:c r="H984" t="str">
        <x:v>N</x:v>
      </x:c>
      <x:c r="I984" t="str">
        <x:v>higher</x:v>
      </x:c>
    </x:row>
    <x:row r="985" ht="15.75" customHeight="1">
      <x:c r="A985" t="str">
        <x:v>RVX-00041</x:v>
      </x:c>
      <x:c r="B985" t="n">
        <x:v>4</x:v>
      </x:c>
      <x:c r="C985" s="15" t="n">
        <x:v>46230</x:v>
      </x:c>
      <x:c r="D985" t="str">
        <x:v>impulse</x:v>
      </x:c>
      <x:c r="E985" t="str">
        <x:v>Impulse-Momentum</x:v>
      </x:c>
      <x:c r="F985" t="str">
        <x:v>Strength &amp; Power</x:v>
      </x:c>
      <x:c r="G985" t="n">
        <x:v>211.9</x:v>
      </x:c>
      <x:c r="H985" t="str">
        <x:v>Ns</x:v>
      </x:c>
      <x:c r="I985" t="str">
        <x:v>higher</x:v>
      </x:c>
    </x:row>
    <x:row r="986" ht="15.75" customHeight="1">
      <x:c r="A986" t="str">
        <x:v>RVX-00042</x:v>
      </x:c>
      <x:c r="B986" t="n">
        <x:v>1</x:v>
      </x:c>
      <x:c r="C986" s="15" t="n">
        <x:v>46146</x:v>
      </x:c>
      <x:c r="D986" t="str">
        <x:v>sprint_5m</x:v>
      </x:c>
      <x:c r="E986" t="str">
        <x:v>5m Sprint</x:v>
      </x:c>
      <x:c r="F986" t="str">
        <x:v>Acceleration</x:v>
      </x:c>
      <x:c r="G986" t="n">
        <x:v>1.21</x:v>
      </x:c>
      <x:c r="H986" t="str">
        <x:v>sec</x:v>
      </x:c>
      <x:c r="I986" t="str">
        <x:v>lower</x:v>
      </x:c>
    </x:row>
    <x:row r="987" ht="15.75" customHeight="1">
      <x:c r="A987" t="str">
        <x:v>RVX-00042</x:v>
      </x:c>
      <x:c r="B987" t="n">
        <x:v>1</x:v>
      </x:c>
      <x:c r="C987" s="15" t="n">
        <x:v>46146</x:v>
      </x:c>
      <x:c r="D987" t="str">
        <x:v>sprint_10m</x:v>
      </x:c>
      <x:c r="E987" t="str">
        <x:v>10m Sprint</x:v>
      </x:c>
      <x:c r="F987" t="str">
        <x:v>Acceleration</x:v>
      </x:c>
      <x:c r="G987" t="n">
        <x:v>2.05</x:v>
      </x:c>
      <x:c r="H987" t="str">
        <x:v>sec</x:v>
      </x:c>
      <x:c r="I987" t="str">
        <x:v>lower</x:v>
      </x:c>
    </x:row>
    <x:row r="988" ht="15.75" customHeight="1">
      <x:c r="A988" t="str">
        <x:v>RVX-00042</x:v>
      </x:c>
      <x:c r="B988" t="n">
        <x:v>1</x:v>
      </x:c>
      <x:c r="C988" s="15" t="n">
        <x:v>46146</x:v>
      </x:c>
      <x:c r="D988" t="str">
        <x:v>pro_agility</x:v>
      </x:c>
      <x:c r="E988" t="str">
        <x:v>5-10-5 Pro Agility</x:v>
      </x:c>
      <x:c r="F988" t="str">
        <x:v>Agility</x:v>
      </x:c>
      <x:c r="G988" t="n">
        <x:v>5.06</x:v>
      </x:c>
      <x:c r="H988" t="str">
        <x:v>sec</x:v>
      </x:c>
      <x:c r="I988" t="str">
        <x:v>lower</x:v>
      </x:c>
    </x:row>
    <x:row r="989" ht="15.75" customHeight="1">
      <x:c r="A989" t="str">
        <x:v>RVX-00042</x:v>
      </x:c>
      <x:c r="B989" t="n">
        <x:v>1</x:v>
      </x:c>
      <x:c r="C989" s="15" t="n">
        <x:v>46146</x:v>
      </x:c>
      <x:c r="D989" t="str">
        <x:v>cmj_depth</x:v>
      </x:c>
      <x:c r="E989" t="str">
        <x:v>Countermovement Depth</x:v>
      </x:c>
      <x:c r="F989" t="str">
        <x:v>Movement</x:v>
      </x:c>
      <x:c r="G989" t="n">
        <x:v>27.7</x:v>
      </x:c>
      <x:c r="H989" t="str">
        <x:v>cm</x:v>
      </x:c>
      <x:c r="I989" t="str">
        <x:v>higher</x:v>
      </x:c>
    </x:row>
    <x:row r="990" ht="15.75" customHeight="1">
      <x:c r="A990" t="str">
        <x:v>RVX-00042</x:v>
      </x:c>
      <x:c r="B990" t="n">
        <x:v>1</x:v>
      </x:c>
      <x:c r="C990" s="15" t="n">
        <x:v>46146</x:v>
      </x:c>
      <x:c r="D990" t="str">
        <x:v>peak_force</x:v>
      </x:c>
      <x:c r="E990" t="str">
        <x:v>Peak Force</x:v>
      </x:c>
      <x:c r="F990" t="str">
        <x:v>Strength &amp; Power</x:v>
      </x:c>
      <x:c r="G990" t="n">
        <x:v>1657</x:v>
      </x:c>
      <x:c r="H990" t="str">
        <x:v>N</x:v>
      </x:c>
      <x:c r="I990" t="str">
        <x:v>higher</x:v>
      </x:c>
    </x:row>
    <x:row r="991" ht="15.75" customHeight="1">
      <x:c r="A991" t="str">
        <x:v>RVX-00042</x:v>
      </x:c>
      <x:c r="B991" t="n">
        <x:v>1</x:v>
      </x:c>
      <x:c r="C991" s="15" t="n">
        <x:v>46146</x:v>
      </x:c>
      <x:c r="D991" t="str">
        <x:v>impulse</x:v>
      </x:c>
      <x:c r="E991" t="str">
        <x:v>Impulse-Momentum</x:v>
      </x:c>
      <x:c r="F991" t="str">
        <x:v>Strength &amp; Power</x:v>
      </x:c>
      <x:c r="G991" t="n">
        <x:v>200.2</x:v>
      </x:c>
      <x:c r="H991" t="str">
        <x:v>Ns</x:v>
      </x:c>
      <x:c r="I991" t="str">
        <x:v>higher</x:v>
      </x:c>
    </x:row>
    <x:row r="992" ht="15.75" customHeight="1">
      <x:c r="A992" t="str">
        <x:v>RVX-00042</x:v>
      </x:c>
      <x:c r="B992" t="n">
        <x:v>2</x:v>
      </x:c>
      <x:c r="C992" s="15" t="n">
        <x:v>46174</x:v>
      </x:c>
      <x:c r="D992" t="str">
        <x:v>sprint_5m</x:v>
      </x:c>
      <x:c r="E992" t="str">
        <x:v>5m Sprint</x:v>
      </x:c>
      <x:c r="F992" t="str">
        <x:v>Acceleration</x:v>
      </x:c>
      <x:c r="G992" t="n">
        <x:v>1.16</x:v>
      </x:c>
      <x:c r="H992" t="str">
        <x:v>sec</x:v>
      </x:c>
      <x:c r="I992" t="str">
        <x:v>lower</x:v>
      </x:c>
    </x:row>
    <x:row r="993" ht="15.75" customHeight="1">
      <x:c r="A993" t="str">
        <x:v>RVX-00042</x:v>
      </x:c>
      <x:c r="B993" t="n">
        <x:v>2</x:v>
      </x:c>
      <x:c r="C993" s="15" t="n">
        <x:v>46174</x:v>
      </x:c>
      <x:c r="D993" t="str">
        <x:v>sprint_10m</x:v>
      </x:c>
      <x:c r="E993" t="str">
        <x:v>10m Sprint</x:v>
      </x:c>
      <x:c r="F993" t="str">
        <x:v>Acceleration</x:v>
      </x:c>
      <x:c r="G993" t="n">
        <x:v>1.95</x:v>
      </x:c>
      <x:c r="H993" t="str">
        <x:v>sec</x:v>
      </x:c>
      <x:c r="I993" t="str">
        <x:v>lower</x:v>
      </x:c>
    </x:row>
    <x:row r="994" ht="15.75" customHeight="1">
      <x:c r="A994" t="str">
        <x:v>RVX-00042</x:v>
      </x:c>
      <x:c r="B994" t="n">
        <x:v>2</x:v>
      </x:c>
      <x:c r="C994" s="15" t="n">
        <x:v>46174</x:v>
      </x:c>
      <x:c r="D994" t="str">
        <x:v>pro_agility</x:v>
      </x:c>
      <x:c r="E994" t="str">
        <x:v>5-10-5 Pro Agility</x:v>
      </x:c>
      <x:c r="F994" t="str">
        <x:v>Agility</x:v>
      </x:c>
      <x:c r="G994" t="n">
        <x:v>5.19</x:v>
      </x:c>
      <x:c r="H994" t="str">
        <x:v>sec</x:v>
      </x:c>
      <x:c r="I994" t="str">
        <x:v>lower</x:v>
      </x:c>
    </x:row>
    <x:row r="995" ht="15.75" customHeight="1">
      <x:c r="A995" t="str">
        <x:v>RVX-00042</x:v>
      </x:c>
      <x:c r="B995" t="n">
        <x:v>2</x:v>
      </x:c>
      <x:c r="C995" s="15" t="n">
        <x:v>46174</x:v>
      </x:c>
      <x:c r="D995" t="str">
        <x:v>cmj_depth</x:v>
      </x:c>
      <x:c r="E995" t="str">
        <x:v>Countermovement Depth</x:v>
      </x:c>
      <x:c r="F995" t="str">
        <x:v>Movement</x:v>
      </x:c>
      <x:c r="G995" t="n">
        <x:v>29</x:v>
      </x:c>
      <x:c r="H995" t="str">
        <x:v>cm</x:v>
      </x:c>
      <x:c r="I995" t="str">
        <x:v>higher</x:v>
      </x:c>
    </x:row>
    <x:row r="996" ht="15.75" customHeight="1">
      <x:c r="A996" t="str">
        <x:v>RVX-00042</x:v>
      </x:c>
      <x:c r="B996" t="n">
        <x:v>2</x:v>
      </x:c>
      <x:c r="C996" s="15" t="n">
        <x:v>46174</x:v>
      </x:c>
      <x:c r="D996" t="str">
        <x:v>peak_force</x:v>
      </x:c>
      <x:c r="E996" t="str">
        <x:v>Peak Force</x:v>
      </x:c>
      <x:c r="F996" t="str">
        <x:v>Strength &amp; Power</x:v>
      </x:c>
      <x:c r="G996" t="n">
        <x:v>1642</x:v>
      </x:c>
      <x:c r="H996" t="str">
        <x:v>N</x:v>
      </x:c>
      <x:c r="I996" t="str">
        <x:v>higher</x:v>
      </x:c>
    </x:row>
    <x:row r="997" ht="15.75" customHeight="1">
      <x:c r="A997" t="str">
        <x:v>RVX-00042</x:v>
      </x:c>
      <x:c r="B997" t="n">
        <x:v>2</x:v>
      </x:c>
      <x:c r="C997" s="15" t="n">
        <x:v>46174</x:v>
      </x:c>
      <x:c r="D997" t="str">
        <x:v>impulse</x:v>
      </x:c>
      <x:c r="E997" t="str">
        <x:v>Impulse-Momentum</x:v>
      </x:c>
      <x:c r="F997" t="str">
        <x:v>Strength &amp; Power</x:v>
      </x:c>
      <x:c r="G997" t="n">
        <x:v>203.4</x:v>
      </x:c>
      <x:c r="H997" t="str">
        <x:v>Ns</x:v>
      </x:c>
      <x:c r="I997" t="str">
        <x:v>higher</x:v>
      </x:c>
    </x:row>
    <x:row r="998" ht="15.75" customHeight="1">
      <x:c r="A998" t="str">
        <x:v>RVX-00042</x:v>
      </x:c>
      <x:c r="B998" t="n">
        <x:v>3</x:v>
      </x:c>
      <x:c r="C998" s="15" t="n">
        <x:v>46202</x:v>
      </x:c>
      <x:c r="D998" t="str">
        <x:v>sprint_5m</x:v>
      </x:c>
      <x:c r="E998" t="str">
        <x:v>5m Sprint</x:v>
      </x:c>
      <x:c r="F998" t="str">
        <x:v>Acceleration</x:v>
      </x:c>
      <x:c r="G998" t="n">
        <x:v>1.14</x:v>
      </x:c>
      <x:c r="H998" t="str">
        <x:v>sec</x:v>
      </x:c>
      <x:c r="I998" t="str">
        <x:v>lower</x:v>
      </x:c>
    </x:row>
    <x:row r="999" ht="15.75" customHeight="1">
      <x:c r="A999" t="str">
        <x:v>RVX-00042</x:v>
      </x:c>
      <x:c r="B999" t="n">
        <x:v>3</x:v>
      </x:c>
      <x:c r="C999" s="15" t="n">
        <x:v>46202</x:v>
      </x:c>
      <x:c r="D999" t="str">
        <x:v>sprint_10m</x:v>
      </x:c>
      <x:c r="E999" t="str">
        <x:v>10m Sprint</x:v>
      </x:c>
      <x:c r="F999" t="str">
        <x:v>Acceleration</x:v>
      </x:c>
      <x:c r="G999" t="n">
        <x:v>1.97</x:v>
      </x:c>
      <x:c r="H999" t="str">
        <x:v>sec</x:v>
      </x:c>
      <x:c r="I999" t="str">
        <x:v>lower</x:v>
      </x:c>
    </x:row>
    <x:row r="1000" ht="15.75" customHeight="1">
      <x:c r="A1000" t="str">
        <x:v>RVX-00042</x:v>
      </x:c>
      <x:c r="B1000" t="n">
        <x:v>3</x:v>
      </x:c>
      <x:c r="C1000" s="15" t="n">
        <x:v>46202</x:v>
      </x:c>
      <x:c r="D1000" t="str">
        <x:v>pro_agility</x:v>
      </x:c>
      <x:c r="E1000" t="str">
        <x:v>5-10-5 Pro Agility</x:v>
      </x:c>
      <x:c r="F1000" t="str">
        <x:v>Agility</x:v>
      </x:c>
      <x:c r="G1000" t="n">
        <x:v>5.11</x:v>
      </x:c>
      <x:c r="H1000" t="str">
        <x:v>sec</x:v>
      </x:c>
      <x:c r="I1000" t="str">
        <x:v>lower</x:v>
      </x:c>
    </x:row>
    <x:row r="1001">
      <x:c r="A1001" t="str">
        <x:v>RVX-00042</x:v>
      </x:c>
      <x:c r="B1001" t="n">
        <x:v>3</x:v>
      </x:c>
      <x:c r="C1001" s="15" t="n">
        <x:v>46202</x:v>
      </x:c>
      <x:c r="D1001" t="str">
        <x:v>cmj_depth</x:v>
      </x:c>
      <x:c r="E1001" t="str">
        <x:v>Countermovement Depth</x:v>
      </x:c>
      <x:c r="F1001" t="str">
        <x:v>Movement</x:v>
      </x:c>
      <x:c r="G1001" t="n">
        <x:v>28.6</x:v>
      </x:c>
      <x:c r="H1001" t="str">
        <x:v>cm</x:v>
      </x:c>
      <x:c r="I1001" t="str">
        <x:v>higher</x:v>
      </x:c>
    </x:row>
    <x:row r="1002">
      <x:c r="A1002" t="str">
        <x:v>RVX-00042</x:v>
      </x:c>
      <x:c r="B1002" t="n">
        <x:v>3</x:v>
      </x:c>
      <x:c r="C1002" s="15" t="n">
        <x:v>46202</x:v>
      </x:c>
      <x:c r="D1002" t="str">
        <x:v>peak_force</x:v>
      </x:c>
      <x:c r="E1002" t="str">
        <x:v>Peak Force</x:v>
      </x:c>
      <x:c r="F1002" t="str">
        <x:v>Strength &amp; Power</x:v>
      </x:c>
      <x:c r="G1002" t="n">
        <x:v>1677</x:v>
      </x:c>
      <x:c r="H1002" t="str">
        <x:v>N</x:v>
      </x:c>
      <x:c r="I1002" t="str">
        <x:v>higher</x:v>
      </x:c>
    </x:row>
    <x:row r="1003">
      <x:c r="A1003" t="str">
        <x:v>RVX-00042</x:v>
      </x:c>
      <x:c r="B1003" t="n">
        <x:v>3</x:v>
      </x:c>
      <x:c r="C1003" s="15" t="n">
        <x:v>46202</x:v>
      </x:c>
      <x:c r="D1003" t="str">
        <x:v>impulse</x:v>
      </x:c>
      <x:c r="E1003" t="str">
        <x:v>Impulse-Momentum</x:v>
      </x:c>
      <x:c r="F1003" t="str">
        <x:v>Strength &amp; Power</x:v>
      </x:c>
      <x:c r="G1003" t="n">
        <x:v>214.9</x:v>
      </x:c>
      <x:c r="H1003" t="str">
        <x:v>Ns</x:v>
      </x:c>
      <x:c r="I1003" t="str">
        <x:v>higher</x:v>
      </x:c>
    </x:row>
    <x:row r="1004">
      <x:c r="A1004" t="str">
        <x:v>RVX-00042</x:v>
      </x:c>
      <x:c r="B1004" t="n">
        <x:v>4</x:v>
      </x:c>
      <x:c r="C1004" s="15" t="n">
        <x:v>46230</x:v>
      </x:c>
      <x:c r="D1004" t="str">
        <x:v>sprint_5m</x:v>
      </x:c>
      <x:c r="E1004" t="str">
        <x:v>5m Sprint</x:v>
      </x:c>
      <x:c r="F1004" t="str">
        <x:v>Acceleration</x:v>
      </x:c>
      <x:c r="G1004" t="n">
        <x:v>1.16</x:v>
      </x:c>
      <x:c r="H1004" t="str">
        <x:v>sec</x:v>
      </x:c>
      <x:c r="I1004" t="str">
        <x:v>lower</x:v>
      </x:c>
    </x:row>
    <x:row r="1005">
      <x:c r="A1005" t="str">
        <x:v>RVX-00042</x:v>
      </x:c>
      <x:c r="B1005" t="n">
        <x:v>4</x:v>
      </x:c>
      <x:c r="C1005" s="15" t="n">
        <x:v>46230</x:v>
      </x:c>
      <x:c r="D1005" t="str">
        <x:v>sprint_10m</x:v>
      </x:c>
      <x:c r="E1005" t="str">
        <x:v>10m Sprint</x:v>
      </x:c>
      <x:c r="F1005" t="str">
        <x:v>Acceleration</x:v>
      </x:c>
      <x:c r="G1005" t="n">
        <x:v>1.89</x:v>
      </x:c>
      <x:c r="H1005" t="str">
        <x:v>sec</x:v>
      </x:c>
      <x:c r="I1005" t="str">
        <x:v>lower</x:v>
      </x:c>
    </x:row>
    <x:row r="1006">
      <x:c r="A1006" t="str">
        <x:v>RVX-00042</x:v>
      </x:c>
      <x:c r="B1006" t="n">
        <x:v>4</x:v>
      </x:c>
      <x:c r="C1006" s="15" t="n">
        <x:v>46230</x:v>
      </x:c>
      <x:c r="D1006" t="str">
        <x:v>pro_agility</x:v>
      </x:c>
      <x:c r="E1006" t="str">
        <x:v>5-10-5 Pro Agility</x:v>
      </x:c>
      <x:c r="F1006" t="str">
        <x:v>Agility</x:v>
      </x:c>
      <x:c r="G1006" t="n">
        <x:v>4.93</x:v>
      </x:c>
      <x:c r="H1006" t="str">
        <x:v>sec</x:v>
      </x:c>
      <x:c r="I1006" t="str">
        <x:v>lower</x:v>
      </x:c>
    </x:row>
    <x:row r="1007">
      <x:c r="A1007" t="str">
        <x:v>RVX-00042</x:v>
      </x:c>
      <x:c r="B1007" t="n">
        <x:v>4</x:v>
      </x:c>
      <x:c r="C1007" s="15" t="n">
        <x:v>46230</x:v>
      </x:c>
      <x:c r="D1007" t="str">
        <x:v>cmj_depth</x:v>
      </x:c>
      <x:c r="E1007" t="str">
        <x:v>Countermovement Depth</x:v>
      </x:c>
      <x:c r="F1007" t="str">
        <x:v>Movement</x:v>
      </x:c>
      <x:c r="G1007" t="n">
        <x:v>30.6</x:v>
      </x:c>
      <x:c r="H1007" t="str">
        <x:v>cm</x:v>
      </x:c>
      <x:c r="I1007" t="str">
        <x:v>higher</x:v>
      </x:c>
    </x:row>
    <x:row r="1008">
      <x:c r="A1008" t="str">
        <x:v>RVX-00042</x:v>
      </x:c>
      <x:c r="B1008" t="n">
        <x:v>4</x:v>
      </x:c>
      <x:c r="C1008" s="15" t="n">
        <x:v>46230</x:v>
      </x:c>
      <x:c r="D1008" t="str">
        <x:v>peak_force</x:v>
      </x:c>
      <x:c r="E1008" t="str">
        <x:v>Peak Force</x:v>
      </x:c>
      <x:c r="F1008" t="str">
        <x:v>Strength &amp; Power</x:v>
      </x:c>
      <x:c r="G1008" t="n">
        <x:v>1715</x:v>
      </x:c>
      <x:c r="H1008" t="str">
        <x:v>N</x:v>
      </x:c>
      <x:c r="I1008" t="str">
        <x:v>higher</x:v>
      </x:c>
    </x:row>
    <x:row r="1009">
      <x:c r="A1009" t="str">
        <x:v>RVX-00042</x:v>
      </x:c>
      <x:c r="B1009" t="n">
        <x:v>4</x:v>
      </x:c>
      <x:c r="C1009" s="15" t="n">
        <x:v>46230</x:v>
      </x:c>
      <x:c r="D1009" t="str">
        <x:v>impulse</x:v>
      </x:c>
      <x:c r="E1009" t="str">
        <x:v>Impulse-Momentum</x:v>
      </x:c>
      <x:c r="F1009" t="str">
        <x:v>Strength &amp; Power</x:v>
      </x:c>
      <x:c r="G1009" t="n">
        <x:v>209.8</x:v>
      </x:c>
      <x:c r="H1009" t="str">
        <x:v>Ns</x:v>
      </x:c>
      <x:c r="I1009" t="str">
        <x:v>higher</x:v>
      </x:c>
    </x:row>
    <x:row r="1010">
      <x:c r="A1010" t="str">
        <x:v>RVX-00043</x:v>
      </x:c>
      <x:c r="B1010" t="n">
        <x:v>1</x:v>
      </x:c>
      <x:c r="C1010" s="15" t="n">
        <x:v>46146</x:v>
      </x:c>
      <x:c r="D1010" t="str">
        <x:v>sprint_5m</x:v>
      </x:c>
      <x:c r="E1010" t="str">
        <x:v>5m Sprint</x:v>
      </x:c>
      <x:c r="F1010" t="str">
        <x:v>Acceleration</x:v>
      </x:c>
      <x:c r="G1010" t="n">
        <x:v>1.01</x:v>
      </x:c>
      <x:c r="H1010" t="str">
        <x:v>sec</x:v>
      </x:c>
      <x:c r="I1010" t="str">
        <x:v>lower</x:v>
      </x:c>
    </x:row>
    <x:row r="1011">
      <x:c r="A1011" t="str">
        <x:v>RVX-00043</x:v>
      </x:c>
      <x:c r="B1011" t="n">
        <x:v>1</x:v>
      </x:c>
      <x:c r="C1011" s="15" t="n">
        <x:v>46146</x:v>
      </x:c>
      <x:c r="D1011" t="str">
        <x:v>sprint_10m</x:v>
      </x:c>
      <x:c r="E1011" t="str">
        <x:v>10m Sprint</x:v>
      </x:c>
      <x:c r="F1011" t="str">
        <x:v>Acceleration</x:v>
      </x:c>
      <x:c r="G1011" t="n">
        <x:v>1.75</x:v>
      </x:c>
      <x:c r="H1011" t="str">
        <x:v>sec</x:v>
      </x:c>
      <x:c r="I1011" t="str">
        <x:v>lower</x:v>
      </x:c>
    </x:row>
    <x:row r="1012">
      <x:c r="A1012" t="str">
        <x:v>RVX-00043</x:v>
      </x:c>
      <x:c r="B1012" t="n">
        <x:v>1</x:v>
      </x:c>
      <x:c r="C1012" s="15" t="n">
        <x:v>46146</x:v>
      </x:c>
      <x:c r="D1012" t="str">
        <x:v>pro_agility</x:v>
      </x:c>
      <x:c r="E1012" t="str">
        <x:v>5-10-5 Pro Agility</x:v>
      </x:c>
      <x:c r="F1012" t="str">
        <x:v>Agility</x:v>
      </x:c>
      <x:c r="G1012" t="n">
        <x:v>4.4</x:v>
      </x:c>
      <x:c r="H1012" t="str">
        <x:v>sec</x:v>
      </x:c>
      <x:c r="I1012" t="str">
        <x:v>lower</x:v>
      </x:c>
    </x:row>
    <x:row r="1013">
      <x:c r="A1013" t="str">
        <x:v>RVX-00043</x:v>
      </x:c>
      <x:c r="B1013" t="n">
        <x:v>1</x:v>
      </x:c>
      <x:c r="C1013" s="15" t="n">
        <x:v>46146</x:v>
      </x:c>
      <x:c r="D1013" t="str">
        <x:v>cmj_depth</x:v>
      </x:c>
      <x:c r="E1013" t="str">
        <x:v>Countermovement Depth</x:v>
      </x:c>
      <x:c r="F1013" t="str">
        <x:v>Movement</x:v>
      </x:c>
      <x:c r="G1013" t="n">
        <x:v>31.3</x:v>
      </x:c>
      <x:c r="H1013" t="str">
        <x:v>cm</x:v>
      </x:c>
      <x:c r="I1013" t="str">
        <x:v>higher</x:v>
      </x:c>
    </x:row>
    <x:row r="1014">
      <x:c r="A1014" t="str">
        <x:v>RVX-00043</x:v>
      </x:c>
      <x:c r="B1014" t="n">
        <x:v>1</x:v>
      </x:c>
      <x:c r="C1014" s="15" t="n">
        <x:v>46146</x:v>
      </x:c>
      <x:c r="D1014" t="str">
        <x:v>peak_force</x:v>
      </x:c>
      <x:c r="E1014" t="str">
        <x:v>Peak Force</x:v>
      </x:c>
      <x:c r="F1014" t="str">
        <x:v>Strength &amp; Power</x:v>
      </x:c>
      <x:c r="G1014" t="n">
        <x:v>1810</x:v>
      </x:c>
      <x:c r="H1014" t="str">
        <x:v>N</x:v>
      </x:c>
      <x:c r="I1014" t="str">
        <x:v>higher</x:v>
      </x:c>
    </x:row>
    <x:row r="1015">
      <x:c r="A1015" t="str">
        <x:v>RVX-00043</x:v>
      </x:c>
      <x:c r="B1015" t="n">
        <x:v>1</x:v>
      </x:c>
      <x:c r="C1015" s="15" t="n">
        <x:v>46146</x:v>
      </x:c>
      <x:c r="D1015" t="str">
        <x:v>impulse</x:v>
      </x:c>
      <x:c r="E1015" t="str">
        <x:v>Impulse-Momentum</x:v>
      </x:c>
      <x:c r="F1015" t="str">
        <x:v>Strength &amp; Power</x:v>
      </x:c>
      <x:c r="G1015" t="n">
        <x:v>226.2</x:v>
      </x:c>
      <x:c r="H1015" t="str">
        <x:v>Ns</x:v>
      </x:c>
      <x:c r="I1015" t="str">
        <x:v>higher</x:v>
      </x:c>
    </x:row>
    <x:row r="1016">
      <x:c r="A1016" t="str">
        <x:v>RVX-00043</x:v>
      </x:c>
      <x:c r="B1016" t="n">
        <x:v>2</x:v>
      </x:c>
      <x:c r="C1016" s="15" t="n">
        <x:v>46174</x:v>
      </x:c>
      <x:c r="D1016" t="str">
        <x:v>sprint_5m</x:v>
      </x:c>
      <x:c r="E1016" t="str">
        <x:v>5m Sprint</x:v>
      </x:c>
      <x:c r="F1016" t="str">
        <x:v>Acceleration</x:v>
      </x:c>
      <x:c r="G1016" t="n">
        <x:v>1.02</x:v>
      </x:c>
      <x:c r="H1016" t="str">
        <x:v>sec</x:v>
      </x:c>
      <x:c r="I1016" t="str">
        <x:v>lower</x:v>
      </x:c>
    </x:row>
    <x:row r="1017">
      <x:c r="A1017" t="str">
        <x:v>RVX-00043</x:v>
      </x:c>
      <x:c r="B1017" t="n">
        <x:v>2</x:v>
      </x:c>
      <x:c r="C1017" s="15" t="n">
        <x:v>46174</x:v>
      </x:c>
      <x:c r="D1017" t="str">
        <x:v>sprint_10m</x:v>
      </x:c>
      <x:c r="E1017" t="str">
        <x:v>10m Sprint</x:v>
      </x:c>
      <x:c r="F1017" t="str">
        <x:v>Acceleration</x:v>
      </x:c>
      <x:c r="G1017" t="n">
        <x:v>1.72</x:v>
      </x:c>
      <x:c r="H1017" t="str">
        <x:v>sec</x:v>
      </x:c>
      <x:c r="I1017" t="str">
        <x:v>lower</x:v>
      </x:c>
    </x:row>
    <x:row r="1018">
      <x:c r="A1018" t="str">
        <x:v>RVX-00043</x:v>
      </x:c>
      <x:c r="B1018" t="n">
        <x:v>2</x:v>
      </x:c>
      <x:c r="C1018" s="15" t="n">
        <x:v>46174</x:v>
      </x:c>
      <x:c r="D1018" t="str">
        <x:v>pro_agility</x:v>
      </x:c>
      <x:c r="E1018" t="str">
        <x:v>5-10-5 Pro Agility</x:v>
      </x:c>
      <x:c r="F1018" t="str">
        <x:v>Agility</x:v>
      </x:c>
      <x:c r="G1018" t="n">
        <x:v>4.25</x:v>
      </x:c>
      <x:c r="H1018" t="str">
        <x:v>sec</x:v>
      </x:c>
      <x:c r="I1018" t="str">
        <x:v>lower</x:v>
      </x:c>
    </x:row>
    <x:row r="1019">
      <x:c r="A1019" t="str">
        <x:v>RVX-00043</x:v>
      </x:c>
      <x:c r="B1019" t="n">
        <x:v>2</x:v>
      </x:c>
      <x:c r="C1019" s="15" t="n">
        <x:v>46174</x:v>
      </x:c>
      <x:c r="D1019" t="str">
        <x:v>cmj_depth</x:v>
      </x:c>
      <x:c r="E1019" t="str">
        <x:v>Countermovement Depth</x:v>
      </x:c>
      <x:c r="F1019" t="str">
        <x:v>Movement</x:v>
      </x:c>
      <x:c r="G1019" t="n">
        <x:v>32.6</x:v>
      </x:c>
      <x:c r="H1019" t="str">
        <x:v>cm</x:v>
      </x:c>
      <x:c r="I1019" t="str">
        <x:v>higher</x:v>
      </x:c>
    </x:row>
    <x:row r="1020">
      <x:c r="A1020" t="str">
        <x:v>RVX-00043</x:v>
      </x:c>
      <x:c r="B1020" t="n">
        <x:v>2</x:v>
      </x:c>
      <x:c r="C1020" s="15" t="n">
        <x:v>46174</x:v>
      </x:c>
      <x:c r="D1020" t="str">
        <x:v>peak_force</x:v>
      </x:c>
      <x:c r="E1020" t="str">
        <x:v>Peak Force</x:v>
      </x:c>
      <x:c r="F1020" t="str">
        <x:v>Strength &amp; Power</x:v>
      </x:c>
      <x:c r="G1020" t="n">
        <x:v>1861</x:v>
      </x:c>
      <x:c r="H1020" t="str">
        <x:v>N</x:v>
      </x:c>
      <x:c r="I1020" t="str">
        <x:v>higher</x:v>
      </x:c>
    </x:row>
    <x:row r="1021">
      <x:c r="A1021" t="str">
        <x:v>RVX-00043</x:v>
      </x:c>
      <x:c r="B1021" t="n">
        <x:v>2</x:v>
      </x:c>
      <x:c r="C1021" s="15" t="n">
        <x:v>46174</x:v>
      </x:c>
      <x:c r="D1021" t="str">
        <x:v>impulse</x:v>
      </x:c>
      <x:c r="E1021" t="str">
        <x:v>Impulse-Momentum</x:v>
      </x:c>
      <x:c r="F1021" t="str">
        <x:v>Strength &amp; Power</x:v>
      </x:c>
      <x:c r="G1021" t="n">
        <x:v>228.6</x:v>
      </x:c>
      <x:c r="H1021" t="str">
        <x:v>Ns</x:v>
      </x:c>
      <x:c r="I1021" t="str">
        <x:v>higher</x:v>
      </x:c>
    </x:row>
    <x:row r="1022">
      <x:c r="A1022" t="str">
        <x:v>RVX-00043</x:v>
      </x:c>
      <x:c r="B1022" t="n">
        <x:v>3</x:v>
      </x:c>
      <x:c r="C1022" s="15" t="n">
        <x:v>46202</x:v>
      </x:c>
      <x:c r="D1022" t="str">
        <x:v>sprint_5m</x:v>
      </x:c>
      <x:c r="E1022" t="str">
        <x:v>5m Sprint</x:v>
      </x:c>
      <x:c r="F1022" t="str">
        <x:v>Acceleration</x:v>
      </x:c>
      <x:c r="G1022" t="n">
        <x:v>0.99</x:v>
      </x:c>
      <x:c r="H1022" t="str">
        <x:v>sec</x:v>
      </x:c>
      <x:c r="I1022" t="str">
        <x:v>lower</x:v>
      </x:c>
    </x:row>
    <x:row r="1023">
      <x:c r="A1023" t="str">
        <x:v>RVX-00043</x:v>
      </x:c>
      <x:c r="B1023" t="n">
        <x:v>3</x:v>
      </x:c>
      <x:c r="C1023" s="15" t="n">
        <x:v>46202</x:v>
      </x:c>
      <x:c r="D1023" t="str">
        <x:v>sprint_10m</x:v>
      </x:c>
      <x:c r="E1023" t="str">
        <x:v>10m Sprint</x:v>
      </x:c>
      <x:c r="F1023" t="str">
        <x:v>Acceleration</x:v>
      </x:c>
      <x:c r="G1023" t="n">
        <x:v>1.66</x:v>
      </x:c>
      <x:c r="H1023" t="str">
        <x:v>sec</x:v>
      </x:c>
      <x:c r="I1023" t="str">
        <x:v>lower</x:v>
      </x:c>
    </x:row>
    <x:row r="1024">
      <x:c r="A1024" t="str">
        <x:v>RVX-00043</x:v>
      </x:c>
      <x:c r="B1024" t="n">
        <x:v>3</x:v>
      </x:c>
      <x:c r="C1024" s="15" t="n">
        <x:v>46202</x:v>
      </x:c>
      <x:c r="D1024" t="str">
        <x:v>pro_agility</x:v>
      </x:c>
      <x:c r="E1024" t="str">
        <x:v>5-10-5 Pro Agility</x:v>
      </x:c>
      <x:c r="F1024" t="str">
        <x:v>Agility</x:v>
      </x:c>
      <x:c r="G1024" t="n">
        <x:v>4.21</x:v>
      </x:c>
      <x:c r="H1024" t="str">
        <x:v>sec</x:v>
      </x:c>
      <x:c r="I1024" t="str">
        <x:v>lower</x:v>
      </x:c>
    </x:row>
    <x:row r="1025">
      <x:c r="A1025" t="str">
        <x:v>RVX-00043</x:v>
      </x:c>
      <x:c r="B1025" t="n">
        <x:v>3</x:v>
      </x:c>
      <x:c r="C1025" s="15" t="n">
        <x:v>46202</x:v>
      </x:c>
      <x:c r="D1025" t="str">
        <x:v>cmj_depth</x:v>
      </x:c>
      <x:c r="E1025" t="str">
        <x:v>Countermovement Depth</x:v>
      </x:c>
      <x:c r="F1025" t="str">
        <x:v>Movement</x:v>
      </x:c>
      <x:c r="G1025" t="n">
        <x:v>32</x:v>
      </x:c>
      <x:c r="H1025" t="str">
        <x:v>cm</x:v>
      </x:c>
      <x:c r="I1025" t="str">
        <x:v>higher</x:v>
      </x:c>
    </x:row>
    <x:row r="1026">
      <x:c r="A1026" t="str">
        <x:v>RVX-00043</x:v>
      </x:c>
      <x:c r="B1026" t="n">
        <x:v>3</x:v>
      </x:c>
      <x:c r="C1026" s="15" t="n">
        <x:v>46202</x:v>
      </x:c>
      <x:c r="D1026" t="str">
        <x:v>peak_force</x:v>
      </x:c>
      <x:c r="E1026" t="str">
        <x:v>Peak Force</x:v>
      </x:c>
      <x:c r="F1026" t="str">
        <x:v>Strength &amp; Power</x:v>
      </x:c>
      <x:c r="G1026" t="n">
        <x:v>1896</x:v>
      </x:c>
      <x:c r="H1026" t="str">
        <x:v>N</x:v>
      </x:c>
      <x:c r="I1026" t="str">
        <x:v>higher</x:v>
      </x:c>
    </x:row>
    <x:row r="1027">
      <x:c r="A1027" t="str">
        <x:v>RVX-00043</x:v>
      </x:c>
      <x:c r="B1027" t="n">
        <x:v>3</x:v>
      </x:c>
      <x:c r="C1027" s="15" t="n">
        <x:v>46202</x:v>
      </x:c>
      <x:c r="D1027" t="str">
        <x:v>impulse</x:v>
      </x:c>
      <x:c r="E1027" t="str">
        <x:v>Impulse-Momentum</x:v>
      </x:c>
      <x:c r="F1027" t="str">
        <x:v>Strength &amp; Power</x:v>
      </x:c>
      <x:c r="G1027" t="n">
        <x:v>234.4</x:v>
      </x:c>
      <x:c r="H1027" t="str">
        <x:v>Ns</x:v>
      </x:c>
      <x:c r="I1027" t="str">
        <x:v>higher</x:v>
      </x:c>
    </x:row>
    <x:row r="1028">
      <x:c r="A1028" t="str">
        <x:v>RVX-00043</x:v>
      </x:c>
      <x:c r="B1028" t="n">
        <x:v>4</x:v>
      </x:c>
      <x:c r="C1028" s="15" t="n">
        <x:v>46230</x:v>
      </x:c>
      <x:c r="D1028" t="str">
        <x:v>sprint_5m</x:v>
      </x:c>
      <x:c r="E1028" t="str">
        <x:v>5m Sprint</x:v>
      </x:c>
      <x:c r="F1028" t="str">
        <x:v>Acceleration</x:v>
      </x:c>
      <x:c r="G1028" t="n">
        <x:v>0.97</x:v>
      </x:c>
      <x:c r="H1028" t="str">
        <x:v>sec</x:v>
      </x:c>
      <x:c r="I1028" t="str">
        <x:v>lower</x:v>
      </x:c>
    </x:row>
    <x:row r="1029">
      <x:c r="A1029" t="str">
        <x:v>RVX-00043</x:v>
      </x:c>
      <x:c r="B1029" t="n">
        <x:v>4</x:v>
      </x:c>
      <x:c r="C1029" s="15" t="n">
        <x:v>46230</x:v>
      </x:c>
      <x:c r="D1029" t="str">
        <x:v>sprint_10m</x:v>
      </x:c>
      <x:c r="E1029" t="str">
        <x:v>10m Sprint</x:v>
      </x:c>
      <x:c r="F1029" t="str">
        <x:v>Acceleration</x:v>
      </x:c>
      <x:c r="G1029" t="n">
        <x:v>1.61</x:v>
      </x:c>
      <x:c r="H1029" t="str">
        <x:v>sec</x:v>
      </x:c>
      <x:c r="I1029" t="str">
        <x:v>lower</x:v>
      </x:c>
    </x:row>
    <x:row r="1030">
      <x:c r="A1030" t="str">
        <x:v>RVX-00043</x:v>
      </x:c>
      <x:c r="B1030" t="n">
        <x:v>4</x:v>
      </x:c>
      <x:c r="C1030" s="15" t="n">
        <x:v>46230</x:v>
      </x:c>
      <x:c r="D1030" t="str">
        <x:v>pro_agility</x:v>
      </x:c>
      <x:c r="E1030" t="str">
        <x:v>5-10-5 Pro Agility</x:v>
      </x:c>
      <x:c r="F1030" t="str">
        <x:v>Agility</x:v>
      </x:c>
      <x:c r="G1030" t="n">
        <x:v>4.02</x:v>
      </x:c>
      <x:c r="H1030" t="str">
        <x:v>sec</x:v>
      </x:c>
      <x:c r="I1030" t="str">
        <x:v>lower</x:v>
      </x:c>
    </x:row>
    <x:row r="1031">
      <x:c r="A1031" t="str">
        <x:v>RVX-00043</x:v>
      </x:c>
      <x:c r="B1031" t="n">
        <x:v>4</x:v>
      </x:c>
      <x:c r="C1031" s="15" t="n">
        <x:v>46230</x:v>
      </x:c>
      <x:c r="D1031" t="str">
        <x:v>cmj_depth</x:v>
      </x:c>
      <x:c r="E1031" t="str">
        <x:v>Countermovement Depth</x:v>
      </x:c>
      <x:c r="F1031" t="str">
        <x:v>Movement</x:v>
      </x:c>
      <x:c r="G1031" t="n">
        <x:v>32.3</x:v>
      </x:c>
      <x:c r="H1031" t="str">
        <x:v>cm</x:v>
      </x:c>
      <x:c r="I1031" t="str">
        <x:v>higher</x:v>
      </x:c>
    </x:row>
    <x:row r="1032">
      <x:c r="A1032" t="str">
        <x:v>RVX-00043</x:v>
      </x:c>
      <x:c r="B1032" t="n">
        <x:v>4</x:v>
      </x:c>
      <x:c r="C1032" s="15" t="n">
        <x:v>46230</x:v>
      </x:c>
      <x:c r="D1032" t="str">
        <x:v>peak_force</x:v>
      </x:c>
      <x:c r="E1032" t="str">
        <x:v>Peak Force</x:v>
      </x:c>
      <x:c r="F1032" t="str">
        <x:v>Strength &amp; Power</x:v>
      </x:c>
      <x:c r="G1032" t="n">
        <x:v>1886</x:v>
      </x:c>
      <x:c r="H1032" t="str">
        <x:v>N</x:v>
      </x:c>
      <x:c r="I1032" t="str">
        <x:v>higher</x:v>
      </x:c>
    </x:row>
    <x:row r="1033">
      <x:c r="A1033" t="str">
        <x:v>RVX-00043</x:v>
      </x:c>
      <x:c r="B1033" t="n">
        <x:v>4</x:v>
      </x:c>
      <x:c r="C1033" s="15" t="n">
        <x:v>46230</x:v>
      </x:c>
      <x:c r="D1033" t="str">
        <x:v>impulse</x:v>
      </x:c>
      <x:c r="E1033" t="str">
        <x:v>Impulse-Momentum</x:v>
      </x:c>
      <x:c r="F1033" t="str">
        <x:v>Strength &amp; Power</x:v>
      </x:c>
      <x:c r="G1033" t="n">
        <x:v>240.6</x:v>
      </x:c>
      <x:c r="H1033" t="str">
        <x:v>Ns</x:v>
      </x:c>
      <x:c r="I1033" t="str">
        <x:v>higher</x:v>
      </x:c>
    </x:row>
    <x:row r="1034">
      <x:c r="A1034" t="str">
        <x:v>RVX-00044</x:v>
      </x:c>
      <x:c r="B1034" t="n">
        <x:v>1</x:v>
      </x:c>
      <x:c r="C1034" s="15" t="n">
        <x:v>46146</x:v>
      </x:c>
      <x:c r="D1034" t="str">
        <x:v>sprint_5m</x:v>
      </x:c>
      <x:c r="E1034" t="str">
        <x:v>5m Sprint</x:v>
      </x:c>
      <x:c r="F1034" t="str">
        <x:v>Acceleration</x:v>
      </x:c>
      <x:c r="G1034" t="n">
        <x:v>1.1</x:v>
      </x:c>
      <x:c r="H1034" t="str">
        <x:v>sec</x:v>
      </x:c>
      <x:c r="I1034" t="str">
        <x:v>lower</x:v>
      </x:c>
    </x:row>
    <x:row r="1035">
      <x:c r="A1035" t="str">
        <x:v>RVX-00044</x:v>
      </x:c>
      <x:c r="B1035" t="n">
        <x:v>1</x:v>
      </x:c>
      <x:c r="C1035" s="15" t="n">
        <x:v>46146</x:v>
      </x:c>
      <x:c r="D1035" t="str">
        <x:v>sprint_10m</x:v>
      </x:c>
      <x:c r="E1035" t="str">
        <x:v>10m Sprint</x:v>
      </x:c>
      <x:c r="F1035" t="str">
        <x:v>Acceleration</x:v>
      </x:c>
      <x:c r="G1035" t="n">
        <x:v>1.82</x:v>
      </x:c>
      <x:c r="H1035" t="str">
        <x:v>sec</x:v>
      </x:c>
      <x:c r="I1035" t="str">
        <x:v>lower</x:v>
      </x:c>
    </x:row>
    <x:row r="1036">
      <x:c r="A1036" t="str">
        <x:v>RVX-00044</x:v>
      </x:c>
      <x:c r="B1036" t="n">
        <x:v>1</x:v>
      </x:c>
      <x:c r="C1036" s="15" t="n">
        <x:v>46146</x:v>
      </x:c>
      <x:c r="D1036" t="str">
        <x:v>pro_agility</x:v>
      </x:c>
      <x:c r="E1036" t="str">
        <x:v>5-10-5 Pro Agility</x:v>
      </x:c>
      <x:c r="F1036" t="str">
        <x:v>Agility</x:v>
      </x:c>
      <x:c r="G1036" t="n">
        <x:v>4.69</x:v>
      </x:c>
      <x:c r="H1036" t="str">
        <x:v>sec</x:v>
      </x:c>
      <x:c r="I1036" t="str">
        <x:v>lower</x:v>
      </x:c>
    </x:row>
    <x:row r="1037">
      <x:c r="A1037" t="str">
        <x:v>RVX-00044</x:v>
      </x:c>
      <x:c r="B1037" t="n">
        <x:v>1</x:v>
      </x:c>
      <x:c r="C1037" s="15" t="n">
        <x:v>46146</x:v>
      </x:c>
      <x:c r="D1037" t="str">
        <x:v>cmj_depth</x:v>
      </x:c>
      <x:c r="E1037" t="str">
        <x:v>Countermovement Depth</x:v>
      </x:c>
      <x:c r="F1037" t="str">
        <x:v>Movement</x:v>
      </x:c>
      <x:c r="G1037" t="n">
        <x:v>30.9</x:v>
      </x:c>
      <x:c r="H1037" t="str">
        <x:v>cm</x:v>
      </x:c>
      <x:c r="I1037" t="str">
        <x:v>higher</x:v>
      </x:c>
    </x:row>
    <x:row r="1038">
      <x:c r="A1038" t="str">
        <x:v>RVX-00044</x:v>
      </x:c>
      <x:c r="B1038" t="n">
        <x:v>1</x:v>
      </x:c>
      <x:c r="C1038" s="15" t="n">
        <x:v>46146</x:v>
      </x:c>
      <x:c r="D1038" t="str">
        <x:v>peak_force</x:v>
      </x:c>
      <x:c r="E1038" t="str">
        <x:v>Peak Force</x:v>
      </x:c>
      <x:c r="F1038" t="str">
        <x:v>Strength &amp; Power</x:v>
      </x:c>
      <x:c r="G1038" t="n">
        <x:v>1816</x:v>
      </x:c>
      <x:c r="H1038" t="str">
        <x:v>N</x:v>
      </x:c>
      <x:c r="I1038" t="str">
        <x:v>higher</x:v>
      </x:c>
    </x:row>
    <x:row r="1039">
      <x:c r="A1039" t="str">
        <x:v>RVX-00044</x:v>
      </x:c>
      <x:c r="B1039" t="n">
        <x:v>1</x:v>
      </x:c>
      <x:c r="C1039" s="15" t="n">
        <x:v>46146</x:v>
      </x:c>
      <x:c r="D1039" t="str">
        <x:v>impulse</x:v>
      </x:c>
      <x:c r="E1039" t="str">
        <x:v>Impulse-Momentum</x:v>
      </x:c>
      <x:c r="F1039" t="str">
        <x:v>Strength &amp; Power</x:v>
      </x:c>
      <x:c r="G1039" t="n">
        <x:v>227.4</x:v>
      </x:c>
      <x:c r="H1039" t="str">
        <x:v>Ns</x:v>
      </x:c>
      <x:c r="I1039" t="str">
        <x:v>higher</x:v>
      </x:c>
    </x:row>
    <x:row r="1040">
      <x:c r="A1040" t="str">
        <x:v>RVX-00044</x:v>
      </x:c>
      <x:c r="B1040" t="n">
        <x:v>2</x:v>
      </x:c>
      <x:c r="C1040" s="15" t="n">
        <x:v>46174</x:v>
      </x:c>
      <x:c r="D1040" t="str">
        <x:v>sprint_5m</x:v>
      </x:c>
      <x:c r="E1040" t="str">
        <x:v>5m Sprint</x:v>
      </x:c>
      <x:c r="F1040" t="str">
        <x:v>Acceleration</x:v>
      </x:c>
      <x:c r="G1040" t="n">
        <x:v>1.06</x:v>
      </x:c>
      <x:c r="H1040" t="str">
        <x:v>sec</x:v>
      </x:c>
      <x:c r="I1040" t="str">
        <x:v>lower</x:v>
      </x:c>
    </x:row>
    <x:row r="1041">
      <x:c r="A1041" t="str">
        <x:v>RVX-00044</x:v>
      </x:c>
      <x:c r="B1041" t="n">
        <x:v>2</x:v>
      </x:c>
      <x:c r="C1041" s="15" t="n">
        <x:v>46174</x:v>
      </x:c>
      <x:c r="D1041" t="str">
        <x:v>sprint_10m</x:v>
      </x:c>
      <x:c r="E1041" t="str">
        <x:v>10m Sprint</x:v>
      </x:c>
      <x:c r="F1041" t="str">
        <x:v>Acceleration</x:v>
      </x:c>
      <x:c r="G1041" t="n">
        <x:v>1.82</x:v>
      </x:c>
      <x:c r="H1041" t="str">
        <x:v>sec</x:v>
      </x:c>
      <x:c r="I1041" t="str">
        <x:v>lower</x:v>
      </x:c>
    </x:row>
    <x:row r="1042">
      <x:c r="A1042" t="str">
        <x:v>RVX-00044</x:v>
      </x:c>
      <x:c r="B1042" t="n">
        <x:v>2</x:v>
      </x:c>
      <x:c r="C1042" s="15" t="n">
        <x:v>46174</x:v>
      </x:c>
      <x:c r="D1042" t="str">
        <x:v>pro_agility</x:v>
      </x:c>
      <x:c r="E1042" t="str">
        <x:v>5-10-5 Pro Agility</x:v>
      </x:c>
      <x:c r="F1042" t="str">
        <x:v>Agility</x:v>
      </x:c>
      <x:c r="G1042" t="n">
        <x:v>4.62</x:v>
      </x:c>
      <x:c r="H1042" t="str">
        <x:v>sec</x:v>
      </x:c>
      <x:c r="I1042" t="str">
        <x:v>lower</x:v>
      </x:c>
    </x:row>
    <x:row r="1043">
      <x:c r="A1043" t="str">
        <x:v>RVX-00044</x:v>
      </x:c>
      <x:c r="B1043" t="n">
        <x:v>2</x:v>
      </x:c>
      <x:c r="C1043" s="15" t="n">
        <x:v>46174</x:v>
      </x:c>
      <x:c r="D1043" t="str">
        <x:v>cmj_depth</x:v>
      </x:c>
      <x:c r="E1043" t="str">
        <x:v>Countermovement Depth</x:v>
      </x:c>
      <x:c r="F1043" t="str">
        <x:v>Movement</x:v>
      </x:c>
      <x:c r="G1043" t="n">
        <x:v>31.6</x:v>
      </x:c>
      <x:c r="H1043" t="str">
        <x:v>cm</x:v>
      </x:c>
      <x:c r="I1043" t="str">
        <x:v>higher</x:v>
      </x:c>
    </x:row>
    <x:row r="1044">
      <x:c r="A1044" t="str">
        <x:v>RVX-00044</x:v>
      </x:c>
      <x:c r="B1044" t="n">
        <x:v>2</x:v>
      </x:c>
      <x:c r="C1044" s="15" t="n">
        <x:v>46174</x:v>
      </x:c>
      <x:c r="D1044" t="str">
        <x:v>peak_force</x:v>
      </x:c>
      <x:c r="E1044" t="str">
        <x:v>Peak Force</x:v>
      </x:c>
      <x:c r="F1044" t="str">
        <x:v>Strength &amp; Power</x:v>
      </x:c>
      <x:c r="G1044" t="n">
        <x:v>1823</x:v>
      </x:c>
      <x:c r="H1044" t="str">
        <x:v>N</x:v>
      </x:c>
      <x:c r="I1044" t="str">
        <x:v>higher</x:v>
      </x:c>
    </x:row>
    <x:row r="1045">
      <x:c r="A1045" t="str">
        <x:v>RVX-00044</x:v>
      </x:c>
      <x:c r="B1045" t="n">
        <x:v>2</x:v>
      </x:c>
      <x:c r="C1045" s="15" t="n">
        <x:v>46174</x:v>
      </x:c>
      <x:c r="D1045" t="str">
        <x:v>impulse</x:v>
      </x:c>
      <x:c r="E1045" t="str">
        <x:v>Impulse-Momentum</x:v>
      </x:c>
      <x:c r="F1045" t="str">
        <x:v>Strength &amp; Power</x:v>
      </x:c>
      <x:c r="G1045" t="n">
        <x:v>225.6</x:v>
      </x:c>
      <x:c r="H1045" t="str">
        <x:v>Ns</x:v>
      </x:c>
      <x:c r="I1045" t="str">
        <x:v>higher</x:v>
      </x:c>
    </x:row>
    <x:row r="1046">
      <x:c r="A1046" t="str">
        <x:v>RVX-00044</x:v>
      </x:c>
      <x:c r="B1046" t="n">
        <x:v>3</x:v>
      </x:c>
      <x:c r="C1046" s="15" t="n">
        <x:v>46202</x:v>
      </x:c>
      <x:c r="D1046" t="str">
        <x:v>sprint_5m</x:v>
      </x:c>
      <x:c r="E1046" t="str">
        <x:v>5m Sprint</x:v>
      </x:c>
      <x:c r="F1046" t="str">
        <x:v>Acceleration</x:v>
      </x:c>
      <x:c r="G1046" t="n">
        <x:v>1.04</x:v>
      </x:c>
      <x:c r="H1046" t="str">
        <x:v>sec</x:v>
      </x:c>
      <x:c r="I1046" t="str">
        <x:v>lower</x:v>
      </x:c>
    </x:row>
    <x:row r="1047">
      <x:c r="A1047" t="str">
        <x:v>RVX-00044</x:v>
      </x:c>
      <x:c r="B1047" t="n">
        <x:v>3</x:v>
      </x:c>
      <x:c r="C1047" s="15" t="n">
        <x:v>46202</x:v>
      </x:c>
      <x:c r="D1047" t="str">
        <x:v>sprint_10m</x:v>
      </x:c>
      <x:c r="E1047" t="str">
        <x:v>10m Sprint</x:v>
      </x:c>
      <x:c r="F1047" t="str">
        <x:v>Acceleration</x:v>
      </x:c>
      <x:c r="G1047" t="n">
        <x:v>1.75</x:v>
      </x:c>
      <x:c r="H1047" t="str">
        <x:v>sec</x:v>
      </x:c>
      <x:c r="I1047" t="str">
        <x:v>lower</x:v>
      </x:c>
    </x:row>
    <x:row r="1048">
      <x:c r="A1048" t="str">
        <x:v>RVX-00044</x:v>
      </x:c>
      <x:c r="B1048" t="n">
        <x:v>3</x:v>
      </x:c>
      <x:c r="C1048" s="15" t="n">
        <x:v>46202</x:v>
      </x:c>
      <x:c r="D1048" t="str">
        <x:v>pro_agility</x:v>
      </x:c>
      <x:c r="E1048" t="str">
        <x:v>5-10-5 Pro Agility</x:v>
      </x:c>
      <x:c r="F1048" t="str">
        <x:v>Agility</x:v>
      </x:c>
      <x:c r="G1048" t="n">
        <x:v>4.46</x:v>
      </x:c>
      <x:c r="H1048" t="str">
        <x:v>sec</x:v>
      </x:c>
      <x:c r="I1048" t="str">
        <x:v>lower</x:v>
      </x:c>
    </x:row>
    <x:row r="1049">
      <x:c r="A1049" t="str">
        <x:v>RVX-00044</x:v>
      </x:c>
      <x:c r="B1049" t="n">
        <x:v>3</x:v>
      </x:c>
      <x:c r="C1049" s="15" t="n">
        <x:v>46202</x:v>
      </x:c>
      <x:c r="D1049" t="str">
        <x:v>cmj_depth</x:v>
      </x:c>
      <x:c r="E1049" t="str">
        <x:v>Countermovement Depth</x:v>
      </x:c>
      <x:c r="F1049" t="str">
        <x:v>Movement</x:v>
      </x:c>
      <x:c r="G1049" t="n">
        <x:v>31.9</x:v>
      </x:c>
      <x:c r="H1049" t="str">
        <x:v>cm</x:v>
      </x:c>
      <x:c r="I1049" t="str">
        <x:v>higher</x:v>
      </x:c>
    </x:row>
    <x:row r="1050">
      <x:c r="A1050" t="str">
        <x:v>RVX-00044</x:v>
      </x:c>
      <x:c r="B1050" t="n">
        <x:v>3</x:v>
      </x:c>
      <x:c r="C1050" s="15" t="n">
        <x:v>46202</x:v>
      </x:c>
      <x:c r="D1050" t="str">
        <x:v>peak_force</x:v>
      </x:c>
      <x:c r="E1050" t="str">
        <x:v>Peak Force</x:v>
      </x:c>
      <x:c r="F1050" t="str">
        <x:v>Strength &amp; Power</x:v>
      </x:c>
      <x:c r="G1050" t="n">
        <x:v>1867</x:v>
      </x:c>
      <x:c r="H1050" t="str">
        <x:v>N</x:v>
      </x:c>
      <x:c r="I1050" t="str">
        <x:v>higher</x:v>
      </x:c>
    </x:row>
    <x:row r="1051">
      <x:c r="A1051" t="str">
        <x:v>RVX-00044</x:v>
      </x:c>
      <x:c r="B1051" t="n">
        <x:v>3</x:v>
      </x:c>
      <x:c r="C1051" s="15" t="n">
        <x:v>46202</x:v>
      </x:c>
      <x:c r="D1051" t="str">
        <x:v>impulse</x:v>
      </x:c>
      <x:c r="E1051" t="str">
        <x:v>Impulse-Momentum</x:v>
      </x:c>
      <x:c r="F1051" t="str">
        <x:v>Strength &amp; Power</x:v>
      </x:c>
      <x:c r="G1051" t="n">
        <x:v>234.6</x:v>
      </x:c>
      <x:c r="H1051" t="str">
        <x:v>Ns</x:v>
      </x:c>
      <x:c r="I1051" t="str">
        <x:v>higher</x:v>
      </x:c>
    </x:row>
    <x:row r="1052">
      <x:c r="A1052" t="str">
        <x:v>RVX-00044</x:v>
      </x:c>
      <x:c r="B1052" t="n">
        <x:v>4</x:v>
      </x:c>
      <x:c r="C1052" s="15" t="n">
        <x:v>46230</x:v>
      </x:c>
      <x:c r="D1052" t="str">
        <x:v>sprint_5m</x:v>
      </x:c>
      <x:c r="E1052" t="str">
        <x:v>5m Sprint</x:v>
      </x:c>
      <x:c r="F1052" t="str">
        <x:v>Acceleration</x:v>
      </x:c>
      <x:c r="G1052" t="n">
        <x:v>1.05</x:v>
      </x:c>
      <x:c r="H1052" t="str">
        <x:v>sec</x:v>
      </x:c>
      <x:c r="I1052" t="str">
        <x:v>lower</x:v>
      </x:c>
    </x:row>
    <x:row r="1053">
      <x:c r="A1053" t="str">
        <x:v>RVX-00044</x:v>
      </x:c>
      <x:c r="B1053" t="n">
        <x:v>4</x:v>
      </x:c>
      <x:c r="C1053" s="15" t="n">
        <x:v>46230</x:v>
      </x:c>
      <x:c r="D1053" t="str">
        <x:v>sprint_10m</x:v>
      </x:c>
      <x:c r="E1053" t="str">
        <x:v>10m Sprint</x:v>
      </x:c>
      <x:c r="F1053" t="str">
        <x:v>Acceleration</x:v>
      </x:c>
      <x:c r="G1053" t="n">
        <x:v>1.76</x:v>
      </x:c>
      <x:c r="H1053" t="str">
        <x:v>sec</x:v>
      </x:c>
      <x:c r="I1053" t="str">
        <x:v>lower</x:v>
      </x:c>
    </x:row>
    <x:row r="1054">
      <x:c r="A1054" t="str">
        <x:v>RVX-00044</x:v>
      </x:c>
      <x:c r="B1054" t="n">
        <x:v>4</x:v>
      </x:c>
      <x:c r="C1054" s="15" t="n">
        <x:v>46230</x:v>
      </x:c>
      <x:c r="D1054" t="str">
        <x:v>pro_agility</x:v>
      </x:c>
      <x:c r="E1054" t="str">
        <x:v>5-10-5 Pro Agility</x:v>
      </x:c>
      <x:c r="F1054" t="str">
        <x:v>Agility</x:v>
      </x:c>
      <x:c r="G1054" t="n">
        <x:v>4.53</x:v>
      </x:c>
      <x:c r="H1054" t="str">
        <x:v>sec</x:v>
      </x:c>
      <x:c r="I1054" t="str">
        <x:v>lower</x:v>
      </x:c>
    </x:row>
    <x:row r="1055">
      <x:c r="A1055" t="str">
        <x:v>RVX-00044</x:v>
      </x:c>
      <x:c r="B1055" t="n">
        <x:v>4</x:v>
      </x:c>
      <x:c r="C1055" s="15" t="n">
        <x:v>46230</x:v>
      </x:c>
      <x:c r="D1055" t="str">
        <x:v>cmj_depth</x:v>
      </x:c>
      <x:c r="E1055" t="str">
        <x:v>Countermovement Depth</x:v>
      </x:c>
      <x:c r="F1055" t="str">
        <x:v>Movement</x:v>
      </x:c>
      <x:c r="G1055" t="n">
        <x:v>33</x:v>
      </x:c>
      <x:c r="H1055" t="str">
        <x:v>cm</x:v>
      </x:c>
      <x:c r="I1055" t="str">
        <x:v>higher</x:v>
      </x:c>
    </x:row>
    <x:row r="1056">
      <x:c r="A1056" t="str">
        <x:v>RVX-00044</x:v>
      </x:c>
      <x:c r="B1056" t="n">
        <x:v>4</x:v>
      </x:c>
      <x:c r="C1056" s="15" t="n">
        <x:v>46230</x:v>
      </x:c>
      <x:c r="D1056" t="str">
        <x:v>peak_force</x:v>
      </x:c>
      <x:c r="E1056" t="str">
        <x:v>Peak Force</x:v>
      </x:c>
      <x:c r="F1056" t="str">
        <x:v>Strength &amp; Power</x:v>
      </x:c>
      <x:c r="G1056" t="n">
        <x:v>1910</x:v>
      </x:c>
      <x:c r="H1056" t="str">
        <x:v>N</x:v>
      </x:c>
      <x:c r="I1056" t="str">
        <x:v>higher</x:v>
      </x:c>
    </x:row>
    <x:row r="1057">
      <x:c r="A1057" t="str">
        <x:v>RVX-00044</x:v>
      </x:c>
      <x:c r="B1057" t="n">
        <x:v>4</x:v>
      </x:c>
      <x:c r="C1057" s="15" t="n">
        <x:v>46230</x:v>
      </x:c>
      <x:c r="D1057" t="str">
        <x:v>impulse</x:v>
      </x:c>
      <x:c r="E1057" t="str">
        <x:v>Impulse-Momentum</x:v>
      </x:c>
      <x:c r="F1057" t="str">
        <x:v>Strength &amp; Power</x:v>
      </x:c>
      <x:c r="G1057" t="n">
        <x:v>241.2</x:v>
      </x:c>
      <x:c r="H1057" t="str">
        <x:v>Ns</x:v>
      </x:c>
      <x:c r="I1057" t="str">
        <x:v>higher</x:v>
      </x:c>
    </x:row>
    <x:row r="1058">
      <x:c r="A1058" t="str">
        <x:v>RVX-00045</x:v>
      </x:c>
      <x:c r="B1058" t="n">
        <x:v>1</x:v>
      </x:c>
      <x:c r="C1058" s="15" t="n">
        <x:v>46146</x:v>
      </x:c>
      <x:c r="D1058" t="str">
        <x:v>sprint_5m</x:v>
      </x:c>
      <x:c r="E1058" t="str">
        <x:v>5m Sprint</x:v>
      </x:c>
      <x:c r="F1058" t="str">
        <x:v>Acceleration</x:v>
      </x:c>
      <x:c r="G1058" t="n">
        <x:v>1.27</x:v>
      </x:c>
      <x:c r="H1058" t="str">
        <x:v>sec</x:v>
      </x:c>
      <x:c r="I1058" t="str">
        <x:v>lower</x:v>
      </x:c>
    </x:row>
    <x:row r="1059">
      <x:c r="A1059" t="str">
        <x:v>RVX-00045</x:v>
      </x:c>
      <x:c r="B1059" t="n">
        <x:v>1</x:v>
      </x:c>
      <x:c r="C1059" s="15" t="n">
        <x:v>46146</x:v>
      </x:c>
      <x:c r="D1059" t="str">
        <x:v>sprint_10m</x:v>
      </x:c>
      <x:c r="E1059" t="str">
        <x:v>10m Sprint</x:v>
      </x:c>
      <x:c r="F1059" t="str">
        <x:v>Acceleration</x:v>
      </x:c>
      <x:c r="G1059" t="n">
        <x:v>2.05</x:v>
      </x:c>
      <x:c r="H1059" t="str">
        <x:v>sec</x:v>
      </x:c>
      <x:c r="I1059" t="str">
        <x:v>lower</x:v>
      </x:c>
    </x:row>
    <x:row r="1060">
      <x:c r="A1060" t="str">
        <x:v>RVX-00045</x:v>
      </x:c>
      <x:c r="B1060" t="n">
        <x:v>1</x:v>
      </x:c>
      <x:c r="C1060" s="15" t="n">
        <x:v>46146</x:v>
      </x:c>
      <x:c r="D1060" t="str">
        <x:v>pro_agility</x:v>
      </x:c>
      <x:c r="E1060" t="str">
        <x:v>5-10-5 Pro Agility</x:v>
      </x:c>
      <x:c r="F1060" t="str">
        <x:v>Agility</x:v>
      </x:c>
      <x:c r="G1060" t="n">
        <x:v>5.34</x:v>
      </x:c>
      <x:c r="H1060" t="str">
        <x:v>sec</x:v>
      </x:c>
      <x:c r="I1060" t="str">
        <x:v>lower</x:v>
      </x:c>
    </x:row>
    <x:row r="1061">
      <x:c r="A1061" t="str">
        <x:v>RVX-00045</x:v>
      </x:c>
      <x:c r="B1061" t="n">
        <x:v>1</x:v>
      </x:c>
      <x:c r="C1061" s="15" t="n">
        <x:v>46146</x:v>
      </x:c>
      <x:c r="D1061" t="str">
        <x:v>cmj_depth</x:v>
      </x:c>
      <x:c r="E1061" t="str">
        <x:v>Countermovement Depth</x:v>
      </x:c>
      <x:c r="F1061" t="str">
        <x:v>Movement</x:v>
      </x:c>
      <x:c r="G1061" t="n">
        <x:v>25.3</x:v>
      </x:c>
      <x:c r="H1061" t="str">
        <x:v>cm</x:v>
      </x:c>
      <x:c r="I1061" t="str">
        <x:v>higher</x:v>
      </x:c>
    </x:row>
    <x:row r="1062">
      <x:c r="A1062" t="str">
        <x:v>RVX-00045</x:v>
      </x:c>
      <x:c r="B1062" t="n">
        <x:v>1</x:v>
      </x:c>
      <x:c r="C1062" s="15" t="n">
        <x:v>46146</x:v>
      </x:c>
      <x:c r="D1062" t="str">
        <x:v>peak_force</x:v>
      </x:c>
      <x:c r="E1062" t="str">
        <x:v>Peak Force</x:v>
      </x:c>
      <x:c r="F1062" t="str">
        <x:v>Strength &amp; Power</x:v>
      </x:c>
      <x:c r="G1062" t="n">
        <x:v>1481</x:v>
      </x:c>
      <x:c r="H1062" t="str">
        <x:v>N</x:v>
      </x:c>
      <x:c r="I1062" t="str">
        <x:v>higher</x:v>
      </x:c>
    </x:row>
    <x:row r="1063">
      <x:c r="A1063" t="str">
        <x:v>RVX-00045</x:v>
      </x:c>
      <x:c r="B1063" t="n">
        <x:v>1</x:v>
      </x:c>
      <x:c r="C1063" s="15" t="n">
        <x:v>46146</x:v>
      </x:c>
      <x:c r="D1063" t="str">
        <x:v>impulse</x:v>
      </x:c>
      <x:c r="E1063" t="str">
        <x:v>Impulse-Momentum</x:v>
      </x:c>
      <x:c r="F1063" t="str">
        <x:v>Strength &amp; Power</x:v>
      </x:c>
      <x:c r="G1063" t="n">
        <x:v>188.7</x:v>
      </x:c>
      <x:c r="H1063" t="str">
        <x:v>Ns</x:v>
      </x:c>
      <x:c r="I1063" t="str">
        <x:v>higher</x:v>
      </x:c>
    </x:row>
    <x:row r="1064">
      <x:c r="A1064" t="str">
        <x:v>RVX-00045</x:v>
      </x:c>
      <x:c r="B1064" t="n">
        <x:v>2</x:v>
      </x:c>
      <x:c r="C1064" s="15" t="n">
        <x:v>46174</x:v>
      </x:c>
      <x:c r="D1064" t="str">
        <x:v>sprint_5m</x:v>
      </x:c>
      <x:c r="E1064" t="str">
        <x:v>5m Sprint</x:v>
      </x:c>
      <x:c r="F1064" t="str">
        <x:v>Acceleration</x:v>
      </x:c>
      <x:c r="G1064" t="n">
        <x:v>1.23</x:v>
      </x:c>
      <x:c r="H1064" t="str">
        <x:v>sec</x:v>
      </x:c>
      <x:c r="I1064" t="str">
        <x:v>lower</x:v>
      </x:c>
    </x:row>
    <x:row r="1065">
      <x:c r="A1065" t="str">
        <x:v>RVX-00045</x:v>
      </x:c>
      <x:c r="B1065" t="n">
        <x:v>2</x:v>
      </x:c>
      <x:c r="C1065" s="15" t="n">
        <x:v>46174</x:v>
      </x:c>
      <x:c r="D1065" t="str">
        <x:v>sprint_10m</x:v>
      </x:c>
      <x:c r="E1065" t="str">
        <x:v>10m Sprint</x:v>
      </x:c>
      <x:c r="F1065" t="str">
        <x:v>Acceleration</x:v>
      </x:c>
      <x:c r="G1065" t="n">
        <x:v>2.09</x:v>
      </x:c>
      <x:c r="H1065" t="str">
        <x:v>sec</x:v>
      </x:c>
      <x:c r="I1065" t="str">
        <x:v>lower</x:v>
      </x:c>
    </x:row>
    <x:row r="1066">
      <x:c r="A1066" t="str">
        <x:v>RVX-00045</x:v>
      </x:c>
      <x:c r="B1066" t="n">
        <x:v>2</x:v>
      </x:c>
      <x:c r="C1066" s="15" t="n">
        <x:v>46174</x:v>
      </x:c>
      <x:c r="D1066" t="str">
        <x:v>pro_agility</x:v>
      </x:c>
      <x:c r="E1066" t="str">
        <x:v>5-10-5 Pro Agility</x:v>
      </x:c>
      <x:c r="F1066" t="str">
        <x:v>Agility</x:v>
      </x:c>
      <x:c r="G1066" t="n">
        <x:v>5.35</x:v>
      </x:c>
      <x:c r="H1066" t="str">
        <x:v>sec</x:v>
      </x:c>
      <x:c r="I1066" t="str">
        <x:v>lower</x:v>
      </x:c>
    </x:row>
    <x:row r="1067">
      <x:c r="A1067" t="str">
        <x:v>RVX-00045</x:v>
      </x:c>
      <x:c r="B1067" t="n">
        <x:v>2</x:v>
      </x:c>
      <x:c r="C1067" s="15" t="n">
        <x:v>46174</x:v>
      </x:c>
      <x:c r="D1067" t="str">
        <x:v>cmj_depth</x:v>
      </x:c>
      <x:c r="E1067" t="str">
        <x:v>Countermovement Depth</x:v>
      </x:c>
      <x:c r="F1067" t="str">
        <x:v>Movement</x:v>
      </x:c>
      <x:c r="G1067" t="n">
        <x:v>26.2</x:v>
      </x:c>
      <x:c r="H1067" t="str">
        <x:v>cm</x:v>
      </x:c>
      <x:c r="I1067" t="str">
        <x:v>higher</x:v>
      </x:c>
    </x:row>
    <x:row r="1068">
      <x:c r="A1068" t="str">
        <x:v>RVX-00045</x:v>
      </x:c>
      <x:c r="B1068" t="n">
        <x:v>2</x:v>
      </x:c>
      <x:c r="C1068" s="15" t="n">
        <x:v>46174</x:v>
      </x:c>
      <x:c r="D1068" t="str">
        <x:v>peak_force</x:v>
      </x:c>
      <x:c r="E1068" t="str">
        <x:v>Peak Force</x:v>
      </x:c>
      <x:c r="F1068" t="str">
        <x:v>Strength &amp; Power</x:v>
      </x:c>
      <x:c r="G1068" t="n">
        <x:v>1499</x:v>
      </x:c>
      <x:c r="H1068" t="str">
        <x:v>N</x:v>
      </x:c>
      <x:c r="I1068" t="str">
        <x:v>higher</x:v>
      </x:c>
    </x:row>
    <x:row r="1069">
      <x:c r="A1069" t="str">
        <x:v>RVX-00045</x:v>
      </x:c>
      <x:c r="B1069" t="n">
        <x:v>2</x:v>
      </x:c>
      <x:c r="C1069" s="15" t="n">
        <x:v>46174</x:v>
      </x:c>
      <x:c r="D1069" t="str">
        <x:v>impulse</x:v>
      </x:c>
      <x:c r="E1069" t="str">
        <x:v>Impulse-Momentum</x:v>
      </x:c>
      <x:c r="F1069" t="str">
        <x:v>Strength &amp; Power</x:v>
      </x:c>
      <x:c r="G1069" t="n">
        <x:v>183.3</x:v>
      </x:c>
      <x:c r="H1069" t="str">
        <x:v>Ns</x:v>
      </x:c>
      <x:c r="I1069" t="str">
        <x:v>higher</x:v>
      </x:c>
    </x:row>
    <x:row r="1070">
      <x:c r="A1070" t="str">
        <x:v>RVX-00045</x:v>
      </x:c>
      <x:c r="B1070" t="n">
        <x:v>3</x:v>
      </x:c>
      <x:c r="C1070" s="15" t="n">
        <x:v>46202</x:v>
      </x:c>
      <x:c r="D1070" t="str">
        <x:v>sprint_5m</x:v>
      </x:c>
      <x:c r="E1070" t="str">
        <x:v>5m Sprint</x:v>
      </x:c>
      <x:c r="F1070" t="str">
        <x:v>Acceleration</x:v>
      </x:c>
      <x:c r="G1070" t="n">
        <x:v>1.21</x:v>
      </x:c>
      <x:c r="H1070" t="str">
        <x:v>sec</x:v>
      </x:c>
      <x:c r="I1070" t="str">
        <x:v>lower</x:v>
      </x:c>
    </x:row>
    <x:row r="1071">
      <x:c r="A1071" t="str">
        <x:v>RVX-00045</x:v>
      </x:c>
      <x:c r="B1071" t="n">
        <x:v>3</x:v>
      </x:c>
      <x:c r="C1071" s="15" t="n">
        <x:v>46202</x:v>
      </x:c>
      <x:c r="D1071" t="str">
        <x:v>sprint_10m</x:v>
      </x:c>
      <x:c r="E1071" t="str">
        <x:v>10m Sprint</x:v>
      </x:c>
      <x:c r="F1071" t="str">
        <x:v>Acceleration</x:v>
      </x:c>
      <x:c r="G1071" t="n">
        <x:v>2.06</x:v>
      </x:c>
      <x:c r="H1071" t="str">
        <x:v>sec</x:v>
      </x:c>
      <x:c r="I1071" t="str">
        <x:v>lower</x:v>
      </x:c>
    </x:row>
    <x:row r="1072">
      <x:c r="A1072" t="str">
        <x:v>RVX-00045</x:v>
      </x:c>
      <x:c r="B1072" t="n">
        <x:v>3</x:v>
      </x:c>
      <x:c r="C1072" s="15" t="n">
        <x:v>46202</x:v>
      </x:c>
      <x:c r="D1072" t="str">
        <x:v>pro_agility</x:v>
      </x:c>
      <x:c r="E1072" t="str">
        <x:v>5-10-5 Pro Agility</x:v>
      </x:c>
      <x:c r="F1072" t="str">
        <x:v>Agility</x:v>
      </x:c>
      <x:c r="G1072" t="n">
        <x:v>5.21</x:v>
      </x:c>
      <x:c r="H1072" t="str">
        <x:v>sec</x:v>
      </x:c>
      <x:c r="I1072" t="str">
        <x:v>lower</x:v>
      </x:c>
    </x:row>
    <x:row r="1073">
      <x:c r="A1073" t="str">
        <x:v>RVX-00045</x:v>
      </x:c>
      <x:c r="B1073" t="n">
        <x:v>3</x:v>
      </x:c>
      <x:c r="C1073" s="15" t="n">
        <x:v>46202</x:v>
      </x:c>
      <x:c r="D1073" t="str">
        <x:v>cmj_depth</x:v>
      </x:c>
      <x:c r="E1073" t="str">
        <x:v>Countermovement Depth</x:v>
      </x:c>
      <x:c r="F1073" t="str">
        <x:v>Movement</x:v>
      </x:c>
      <x:c r="G1073" t="n">
        <x:v>26.1</x:v>
      </x:c>
      <x:c r="H1073" t="str">
        <x:v>cm</x:v>
      </x:c>
      <x:c r="I1073" t="str">
        <x:v>higher</x:v>
      </x:c>
    </x:row>
    <x:row r="1074">
      <x:c r="A1074" t="str">
        <x:v>RVX-00045</x:v>
      </x:c>
      <x:c r="B1074" t="n">
        <x:v>3</x:v>
      </x:c>
      <x:c r="C1074" s="15" t="n">
        <x:v>46202</x:v>
      </x:c>
      <x:c r="D1074" t="str">
        <x:v>peak_force</x:v>
      </x:c>
      <x:c r="E1074" t="str">
        <x:v>Peak Force</x:v>
      </x:c>
      <x:c r="F1074" t="str">
        <x:v>Strength &amp; Power</x:v>
      </x:c>
      <x:c r="G1074" t="n">
        <x:v>1563</x:v>
      </x:c>
      <x:c r="H1074" t="str">
        <x:v>N</x:v>
      </x:c>
      <x:c r="I1074" t="str">
        <x:v>higher</x:v>
      </x:c>
    </x:row>
    <x:row r="1075">
      <x:c r="A1075" t="str">
        <x:v>RVX-00045</x:v>
      </x:c>
      <x:c r="B1075" t="n">
        <x:v>3</x:v>
      </x:c>
      <x:c r="C1075" s="15" t="n">
        <x:v>46202</x:v>
      </x:c>
      <x:c r="D1075" t="str">
        <x:v>impulse</x:v>
      </x:c>
      <x:c r="E1075" t="str">
        <x:v>Impulse-Momentum</x:v>
      </x:c>
      <x:c r="F1075" t="str">
        <x:v>Strength &amp; Power</x:v>
      </x:c>
      <x:c r="G1075" t="n">
        <x:v>189.3</x:v>
      </x:c>
      <x:c r="H1075" t="str">
        <x:v>Ns</x:v>
      </x:c>
      <x:c r="I1075" t="str">
        <x:v>higher</x:v>
      </x:c>
    </x:row>
    <x:row r="1076">
      <x:c r="A1076" t="str">
        <x:v>RVX-00045</x:v>
      </x:c>
      <x:c r="B1076" t="n">
        <x:v>4</x:v>
      </x:c>
      <x:c r="C1076" s="15" t="n">
        <x:v>46230</x:v>
      </x:c>
      <x:c r="D1076" t="str">
        <x:v>sprint_5m</x:v>
      </x:c>
      <x:c r="E1076" t="str">
        <x:v>5m Sprint</x:v>
      </x:c>
      <x:c r="F1076" t="str">
        <x:v>Acceleration</x:v>
      </x:c>
      <x:c r="G1076" t="n">
        <x:v>1.19</x:v>
      </x:c>
      <x:c r="H1076" t="str">
        <x:v>sec</x:v>
      </x:c>
      <x:c r="I1076" t="str">
        <x:v>lower</x:v>
      </x:c>
    </x:row>
    <x:row r="1077">
      <x:c r="A1077" t="str">
        <x:v>RVX-00045</x:v>
      </x:c>
      <x:c r="B1077" t="n">
        <x:v>4</x:v>
      </x:c>
      <x:c r="C1077" s="15" t="n">
        <x:v>46230</x:v>
      </x:c>
      <x:c r="D1077" t="str">
        <x:v>sprint_10m</x:v>
      </x:c>
      <x:c r="E1077" t="str">
        <x:v>10m Sprint</x:v>
      </x:c>
      <x:c r="F1077" t="str">
        <x:v>Acceleration</x:v>
      </x:c>
      <x:c r="G1077" t="n">
        <x:v>1.98</x:v>
      </x:c>
      <x:c r="H1077" t="str">
        <x:v>sec</x:v>
      </x:c>
      <x:c r="I1077" t="str">
        <x:v>lower</x:v>
      </x:c>
    </x:row>
    <x:row r="1078">
      <x:c r="A1078" t="str">
        <x:v>RVX-00045</x:v>
      </x:c>
      <x:c r="B1078" t="n">
        <x:v>4</x:v>
      </x:c>
      <x:c r="C1078" s="15" t="n">
        <x:v>46230</x:v>
      </x:c>
      <x:c r="D1078" t="str">
        <x:v>pro_agility</x:v>
      </x:c>
      <x:c r="E1078" t="str">
        <x:v>5-10-5 Pro Agility</x:v>
      </x:c>
      <x:c r="F1078" t="str">
        <x:v>Agility</x:v>
      </x:c>
      <x:c r="G1078" t="n">
        <x:v>5.02</x:v>
      </x:c>
      <x:c r="H1078" t="str">
        <x:v>sec</x:v>
      </x:c>
      <x:c r="I1078" t="str">
        <x:v>lower</x:v>
      </x:c>
    </x:row>
    <x:row r="1079">
      <x:c r="A1079" t="str">
        <x:v>RVX-00045</x:v>
      </x:c>
      <x:c r="B1079" t="n">
        <x:v>4</x:v>
      </x:c>
      <x:c r="C1079" s="15" t="n">
        <x:v>46230</x:v>
      </x:c>
      <x:c r="D1079" t="str">
        <x:v>cmj_depth</x:v>
      </x:c>
      <x:c r="E1079" t="str">
        <x:v>Countermovement Depth</x:v>
      </x:c>
      <x:c r="F1079" t="str">
        <x:v>Movement</x:v>
      </x:c>
      <x:c r="G1079" t="n">
        <x:v>26.8</x:v>
      </x:c>
      <x:c r="H1079" t="str">
        <x:v>cm</x:v>
      </x:c>
      <x:c r="I1079" t="str">
        <x:v>higher</x:v>
      </x:c>
    </x:row>
    <x:row r="1080">
      <x:c r="A1080" t="str">
        <x:v>RVX-00045</x:v>
      </x:c>
      <x:c r="B1080" t="n">
        <x:v>4</x:v>
      </x:c>
      <x:c r="C1080" s="15" t="n">
        <x:v>46230</x:v>
      </x:c>
      <x:c r="D1080" t="str">
        <x:v>peak_force</x:v>
      </x:c>
      <x:c r="E1080" t="str">
        <x:v>Peak Force</x:v>
      </x:c>
      <x:c r="F1080" t="str">
        <x:v>Strength &amp; Power</x:v>
      </x:c>
      <x:c r="G1080" t="n">
        <x:v>1560</x:v>
      </x:c>
      <x:c r="H1080" t="str">
        <x:v>N</x:v>
      </x:c>
      <x:c r="I1080" t="str">
        <x:v>higher</x:v>
      </x:c>
    </x:row>
    <x:row r="1081">
      <x:c r="A1081" t="str">
        <x:v>RVX-00045</x:v>
      </x:c>
      <x:c r="B1081" t="n">
        <x:v>4</x:v>
      </x:c>
      <x:c r="C1081" s="15" t="n">
        <x:v>46230</x:v>
      </x:c>
      <x:c r="D1081" t="str">
        <x:v>impulse</x:v>
      </x:c>
      <x:c r="E1081" t="str">
        <x:v>Impulse-Momentum</x:v>
      </x:c>
      <x:c r="F1081" t="str">
        <x:v>Strength &amp; Power</x:v>
      </x:c>
      <x:c r="G1081" t="n">
        <x:v>190.1</x:v>
      </x:c>
      <x:c r="H1081" t="str">
        <x:v>Ns</x:v>
      </x:c>
      <x:c r="I1081" t="str">
        <x:v>higher</x:v>
      </x:c>
    </x:row>
    <x:row r="1082">
      <x:c r="A1082" t="str">
        <x:v>RVX-00046</x:v>
      </x:c>
      <x:c r="B1082" t="n">
        <x:v>1</x:v>
      </x:c>
      <x:c r="C1082" s="15" t="n">
        <x:v>46146</x:v>
      </x:c>
      <x:c r="D1082" t="str">
        <x:v>sprint_5m</x:v>
      </x:c>
      <x:c r="E1082" t="str">
        <x:v>5m Sprint</x:v>
      </x:c>
      <x:c r="F1082" t="str">
        <x:v>Acceleration</x:v>
      </x:c>
      <x:c r="G1082" t="n">
        <x:v>0.98</x:v>
      </x:c>
      <x:c r="H1082" t="str">
        <x:v>sec</x:v>
      </x:c>
      <x:c r="I1082" t="str">
        <x:v>lower</x:v>
      </x:c>
    </x:row>
    <x:row r="1083">
      <x:c r="A1083" t="str">
        <x:v>RVX-00046</x:v>
      </x:c>
      <x:c r="B1083" t="n">
        <x:v>1</x:v>
      </x:c>
      <x:c r="C1083" s="15" t="n">
        <x:v>46146</x:v>
      </x:c>
      <x:c r="D1083" t="str">
        <x:v>sprint_10m</x:v>
      </x:c>
      <x:c r="E1083" t="str">
        <x:v>10m Sprint</x:v>
      </x:c>
      <x:c r="F1083" t="str">
        <x:v>Acceleration</x:v>
      </x:c>
      <x:c r="G1083" t="n">
        <x:v>1.68</x:v>
      </x:c>
      <x:c r="H1083" t="str">
        <x:v>sec</x:v>
      </x:c>
      <x:c r="I1083" t="str">
        <x:v>lower</x:v>
      </x:c>
    </x:row>
    <x:row r="1084">
      <x:c r="A1084" t="str">
        <x:v>RVX-00046</x:v>
      </x:c>
      <x:c r="B1084" t="n">
        <x:v>1</x:v>
      </x:c>
      <x:c r="C1084" s="15" t="n">
        <x:v>46146</x:v>
      </x:c>
      <x:c r="D1084" t="str">
        <x:v>pro_agility</x:v>
      </x:c>
      <x:c r="E1084" t="str">
        <x:v>5-10-5 Pro Agility</x:v>
      </x:c>
      <x:c r="F1084" t="str">
        <x:v>Agility</x:v>
      </x:c>
      <x:c r="G1084" t="n">
        <x:v>4.13</x:v>
      </x:c>
      <x:c r="H1084" t="str">
        <x:v>sec</x:v>
      </x:c>
      <x:c r="I1084" t="str">
        <x:v>lower</x:v>
      </x:c>
    </x:row>
    <x:row r="1085">
      <x:c r="A1085" t="str">
        <x:v>RVX-00046</x:v>
      </x:c>
      <x:c r="B1085" t="n">
        <x:v>1</x:v>
      </x:c>
      <x:c r="C1085" s="15" t="n">
        <x:v>46146</x:v>
      </x:c>
      <x:c r="D1085" t="str">
        <x:v>cmj_depth</x:v>
      </x:c>
      <x:c r="E1085" t="str">
        <x:v>Countermovement Depth</x:v>
      </x:c>
      <x:c r="F1085" t="str">
        <x:v>Movement</x:v>
      </x:c>
      <x:c r="G1085" t="n">
        <x:v>34.3</x:v>
      </x:c>
      <x:c r="H1085" t="str">
        <x:v>cm</x:v>
      </x:c>
      <x:c r="I1085" t="str">
        <x:v>higher</x:v>
      </x:c>
    </x:row>
    <x:row r="1086">
      <x:c r="A1086" t="str">
        <x:v>RVX-00046</x:v>
      </x:c>
      <x:c r="B1086" t="n">
        <x:v>1</x:v>
      </x:c>
      <x:c r="C1086" s="15" t="n">
        <x:v>46146</x:v>
      </x:c>
      <x:c r="D1086" t="str">
        <x:v>peak_force</x:v>
      </x:c>
      <x:c r="E1086" t="str">
        <x:v>Peak Force</x:v>
      </x:c>
      <x:c r="F1086" t="str">
        <x:v>Strength &amp; Power</x:v>
      </x:c>
      <x:c r="G1086" t="n">
        <x:v>2051</x:v>
      </x:c>
      <x:c r="H1086" t="str">
        <x:v>N</x:v>
      </x:c>
      <x:c r="I1086" t="str">
        <x:v>higher</x:v>
      </x:c>
    </x:row>
    <x:row r="1087">
      <x:c r="A1087" t="str">
        <x:v>RVX-00046</x:v>
      </x:c>
      <x:c r="B1087" t="n">
        <x:v>1</x:v>
      </x:c>
      <x:c r="C1087" s="15" t="n">
        <x:v>46146</x:v>
      </x:c>
      <x:c r="D1087" t="str">
        <x:v>impulse</x:v>
      </x:c>
      <x:c r="E1087" t="str">
        <x:v>Impulse-Momentum</x:v>
      </x:c>
      <x:c r="F1087" t="str">
        <x:v>Strength &amp; Power</x:v>
      </x:c>
      <x:c r="G1087" t="n">
        <x:v>242.9</x:v>
      </x:c>
      <x:c r="H1087" t="str">
        <x:v>Ns</x:v>
      </x:c>
      <x:c r="I1087" t="str">
        <x:v>higher</x:v>
      </x:c>
    </x:row>
    <x:row r="1088">
      <x:c r="A1088" t="str">
        <x:v>RVX-00046</x:v>
      </x:c>
      <x:c r="B1088" t="n">
        <x:v>2</x:v>
      </x:c>
      <x:c r="C1088" s="15" t="n">
        <x:v>46174</x:v>
      </x:c>
      <x:c r="D1088" t="str">
        <x:v>sprint_5m</x:v>
      </x:c>
      <x:c r="E1088" t="str">
        <x:v>5m Sprint</x:v>
      </x:c>
      <x:c r="F1088" t="str">
        <x:v>Acceleration</x:v>
      </x:c>
      <x:c r="G1088" t="n">
        <x:v>0.96</x:v>
      </x:c>
      <x:c r="H1088" t="str">
        <x:v>sec</x:v>
      </x:c>
      <x:c r="I1088" t="str">
        <x:v>lower</x:v>
      </x:c>
    </x:row>
    <x:row r="1089">
      <x:c r="A1089" t="str">
        <x:v>RVX-00046</x:v>
      </x:c>
      <x:c r="B1089" t="n">
        <x:v>2</x:v>
      </x:c>
      <x:c r="C1089" s="15" t="n">
        <x:v>46174</x:v>
      </x:c>
      <x:c r="D1089" t="str">
        <x:v>sprint_10m</x:v>
      </x:c>
      <x:c r="E1089" t="str">
        <x:v>10m Sprint</x:v>
      </x:c>
      <x:c r="F1089" t="str">
        <x:v>Acceleration</x:v>
      </x:c>
      <x:c r="G1089" t="n">
        <x:v>1.63</x:v>
      </x:c>
      <x:c r="H1089" t="str">
        <x:v>sec</x:v>
      </x:c>
      <x:c r="I1089" t="str">
        <x:v>lower</x:v>
      </x:c>
    </x:row>
    <x:row r="1090">
      <x:c r="A1090" t="str">
        <x:v>RVX-00046</x:v>
      </x:c>
      <x:c r="B1090" t="n">
        <x:v>2</x:v>
      </x:c>
      <x:c r="C1090" s="15" t="n">
        <x:v>46174</x:v>
      </x:c>
      <x:c r="D1090" t="str">
        <x:v>pro_agility</x:v>
      </x:c>
      <x:c r="E1090" t="str">
        <x:v>5-10-5 Pro Agility</x:v>
      </x:c>
      <x:c r="F1090" t="str">
        <x:v>Agility</x:v>
      </x:c>
      <x:c r="G1090" t="n">
        <x:v>4.03</x:v>
      </x:c>
      <x:c r="H1090" t="str">
        <x:v>sec</x:v>
      </x:c>
      <x:c r="I1090" t="str">
        <x:v>lower</x:v>
      </x:c>
    </x:row>
    <x:row r="1091">
      <x:c r="A1091" t="str">
        <x:v>RVX-00046</x:v>
      </x:c>
      <x:c r="B1091" t="n">
        <x:v>2</x:v>
      </x:c>
      <x:c r="C1091" s="15" t="n">
        <x:v>46174</x:v>
      </x:c>
      <x:c r="D1091" t="str">
        <x:v>cmj_depth</x:v>
      </x:c>
      <x:c r="E1091" t="str">
        <x:v>Countermovement Depth</x:v>
      </x:c>
      <x:c r="F1091" t="str">
        <x:v>Movement</x:v>
      </x:c>
      <x:c r="G1091" t="n">
        <x:v>35</x:v>
      </x:c>
      <x:c r="H1091" t="str">
        <x:v>cm</x:v>
      </x:c>
      <x:c r="I1091" t="str">
        <x:v>higher</x:v>
      </x:c>
    </x:row>
    <x:row r="1092">
      <x:c r="A1092" t="str">
        <x:v>RVX-00046</x:v>
      </x:c>
      <x:c r="B1092" t="n">
        <x:v>2</x:v>
      </x:c>
      <x:c r="C1092" s="15" t="n">
        <x:v>46174</x:v>
      </x:c>
      <x:c r="D1092" t="str">
        <x:v>peak_force</x:v>
      </x:c>
      <x:c r="E1092" t="str">
        <x:v>Peak Force</x:v>
      </x:c>
      <x:c r="F1092" t="str">
        <x:v>Strength &amp; Power</x:v>
      </x:c>
      <x:c r="G1092" t="n">
        <x:v>2027</x:v>
      </x:c>
      <x:c r="H1092" t="str">
        <x:v>N</x:v>
      </x:c>
      <x:c r="I1092" t="str">
        <x:v>higher</x:v>
      </x:c>
    </x:row>
    <x:row r="1093">
      <x:c r="A1093" t="str">
        <x:v>RVX-00046</x:v>
      </x:c>
      <x:c r="B1093" t="n">
        <x:v>2</x:v>
      </x:c>
      <x:c r="C1093" s="15" t="n">
        <x:v>46174</x:v>
      </x:c>
      <x:c r="D1093" t="str">
        <x:v>impulse</x:v>
      </x:c>
      <x:c r="E1093" t="str">
        <x:v>Impulse-Momentum</x:v>
      </x:c>
      <x:c r="F1093" t="str">
        <x:v>Strength &amp; Power</x:v>
      </x:c>
      <x:c r="G1093" t="n">
        <x:v>253.8</x:v>
      </x:c>
      <x:c r="H1093" t="str">
        <x:v>Ns</x:v>
      </x:c>
      <x:c r="I1093" t="str">
        <x:v>higher</x:v>
      </x:c>
    </x:row>
    <x:row r="1094">
      <x:c r="A1094" t="str">
        <x:v>RVX-00046</x:v>
      </x:c>
      <x:c r="B1094" t="n">
        <x:v>3</x:v>
      </x:c>
      <x:c r="C1094" s="15" t="n">
        <x:v>46202</x:v>
      </x:c>
      <x:c r="D1094" t="str">
        <x:v>sprint_5m</x:v>
      </x:c>
      <x:c r="E1094" t="str">
        <x:v>5m Sprint</x:v>
      </x:c>
      <x:c r="F1094" t="str">
        <x:v>Acceleration</x:v>
      </x:c>
      <x:c r="G1094" t="n">
        <x:v>0.92</x:v>
      </x:c>
      <x:c r="H1094" t="str">
        <x:v>sec</x:v>
      </x:c>
      <x:c r="I1094" t="str">
        <x:v>lower</x:v>
      </x:c>
    </x:row>
    <x:row r="1095">
      <x:c r="A1095" t="str">
        <x:v>RVX-00046</x:v>
      </x:c>
      <x:c r="B1095" t="n">
        <x:v>3</x:v>
      </x:c>
      <x:c r="C1095" s="15" t="n">
        <x:v>46202</x:v>
      </x:c>
      <x:c r="D1095" t="str">
        <x:v>sprint_10m</x:v>
      </x:c>
      <x:c r="E1095" t="str">
        <x:v>10m Sprint</x:v>
      </x:c>
      <x:c r="F1095" t="str">
        <x:v>Acceleration</x:v>
      </x:c>
      <x:c r="G1095" t="n">
        <x:v>1.56</x:v>
      </x:c>
      <x:c r="H1095" t="str">
        <x:v>sec</x:v>
      </x:c>
      <x:c r="I1095" t="str">
        <x:v>lower</x:v>
      </x:c>
    </x:row>
    <x:row r="1096">
      <x:c r="A1096" t="str">
        <x:v>RVX-00046</x:v>
      </x:c>
      <x:c r="B1096" t="n">
        <x:v>3</x:v>
      </x:c>
      <x:c r="C1096" s="15" t="n">
        <x:v>46202</x:v>
      </x:c>
      <x:c r="D1096" t="str">
        <x:v>pro_agility</x:v>
      </x:c>
      <x:c r="E1096" t="str">
        <x:v>5-10-5 Pro Agility</x:v>
      </x:c>
      <x:c r="F1096" t="str">
        <x:v>Agility</x:v>
      </x:c>
      <x:c r="G1096" t="n">
        <x:v>4.02</x:v>
      </x:c>
      <x:c r="H1096" t="str">
        <x:v>sec</x:v>
      </x:c>
      <x:c r="I1096" t="str">
        <x:v>lower</x:v>
      </x:c>
    </x:row>
    <x:row r="1097">
      <x:c r="A1097" t="str">
        <x:v>RVX-00046</x:v>
      </x:c>
      <x:c r="B1097" t="n">
        <x:v>3</x:v>
      </x:c>
      <x:c r="C1097" s="15" t="n">
        <x:v>46202</x:v>
      </x:c>
      <x:c r="D1097" t="str">
        <x:v>cmj_depth</x:v>
      </x:c>
      <x:c r="E1097" t="str">
        <x:v>Countermovement Depth</x:v>
      </x:c>
      <x:c r="F1097" t="str">
        <x:v>Movement</x:v>
      </x:c>
      <x:c r="G1097" t="n">
        <x:v>35.8</x:v>
      </x:c>
      <x:c r="H1097" t="str">
        <x:v>cm</x:v>
      </x:c>
      <x:c r="I1097" t="str">
        <x:v>higher</x:v>
      </x:c>
    </x:row>
    <x:row r="1098">
      <x:c r="A1098" t="str">
        <x:v>RVX-00046</x:v>
      </x:c>
      <x:c r="B1098" t="n">
        <x:v>3</x:v>
      </x:c>
      <x:c r="C1098" s="15" t="n">
        <x:v>46202</x:v>
      </x:c>
      <x:c r="D1098" t="str">
        <x:v>peak_force</x:v>
      </x:c>
      <x:c r="E1098" t="str">
        <x:v>Peak Force</x:v>
      </x:c>
      <x:c r="F1098" t="str">
        <x:v>Strength &amp; Power</x:v>
      </x:c>
      <x:c r="G1098" t="n">
        <x:v>2086</x:v>
      </x:c>
      <x:c r="H1098" t="str">
        <x:v>N</x:v>
      </x:c>
      <x:c r="I1098" t="str">
        <x:v>higher</x:v>
      </x:c>
    </x:row>
    <x:row r="1099">
      <x:c r="A1099" t="str">
        <x:v>RVX-00046</x:v>
      </x:c>
      <x:c r="B1099" t="n">
        <x:v>3</x:v>
      </x:c>
      <x:c r="C1099" s="15" t="n">
        <x:v>46202</x:v>
      </x:c>
      <x:c r="D1099" t="str">
        <x:v>impulse</x:v>
      </x:c>
      <x:c r="E1099" t="str">
        <x:v>Impulse-Momentum</x:v>
      </x:c>
      <x:c r="F1099" t="str">
        <x:v>Strength &amp; Power</x:v>
      </x:c>
      <x:c r="G1099" t="n">
        <x:v>254.1</x:v>
      </x:c>
      <x:c r="H1099" t="str">
        <x:v>Ns</x:v>
      </x:c>
      <x:c r="I1099" t="str">
        <x:v>higher</x:v>
      </x:c>
    </x:row>
    <x:row r="1100">
      <x:c r="A1100" t="str">
        <x:v>RVX-00046</x:v>
      </x:c>
      <x:c r="B1100" t="n">
        <x:v>4</x:v>
      </x:c>
      <x:c r="C1100" s="15" t="n">
        <x:v>46230</x:v>
      </x:c>
      <x:c r="D1100" t="str">
        <x:v>sprint_5m</x:v>
      </x:c>
      <x:c r="E1100" t="str">
        <x:v>5m Sprint</x:v>
      </x:c>
      <x:c r="F1100" t="str">
        <x:v>Acceleration</x:v>
      </x:c>
      <x:c r="G1100" t="n">
        <x:v>0.94</x:v>
      </x:c>
      <x:c r="H1100" t="str">
        <x:v>sec</x:v>
      </x:c>
      <x:c r="I1100" t="str">
        <x:v>lower</x:v>
      </x:c>
    </x:row>
    <x:row r="1101">
      <x:c r="A1101" t="str">
        <x:v>RVX-00046</x:v>
      </x:c>
      <x:c r="B1101" t="n">
        <x:v>4</x:v>
      </x:c>
      <x:c r="C1101" s="15" t="n">
        <x:v>46230</x:v>
      </x:c>
      <x:c r="D1101" t="str">
        <x:v>sprint_10m</x:v>
      </x:c>
      <x:c r="E1101" t="str">
        <x:v>10m Sprint</x:v>
      </x:c>
      <x:c r="F1101" t="str">
        <x:v>Acceleration</x:v>
      </x:c>
      <x:c r="G1101" t="n">
        <x:v>1.52</x:v>
      </x:c>
      <x:c r="H1101" t="str">
        <x:v>sec</x:v>
      </x:c>
      <x:c r="I1101" t="str">
        <x:v>lower</x:v>
      </x:c>
    </x:row>
    <x:row r="1102">
      <x:c r="A1102" t="str">
        <x:v>RVX-00046</x:v>
      </x:c>
      <x:c r="B1102" t="n">
        <x:v>4</x:v>
      </x:c>
      <x:c r="C1102" s="15" t="n">
        <x:v>46230</x:v>
      </x:c>
      <x:c r="D1102" t="str">
        <x:v>pro_agility</x:v>
      </x:c>
      <x:c r="E1102" t="str">
        <x:v>5-10-5 Pro Agility</x:v>
      </x:c>
      <x:c r="F1102" t="str">
        <x:v>Agility</x:v>
      </x:c>
      <x:c r="G1102" t="n">
        <x:v>4</x:v>
      </x:c>
      <x:c r="H1102" t="str">
        <x:v>sec</x:v>
      </x:c>
      <x:c r="I1102" t="str">
        <x:v>lower</x:v>
      </x:c>
    </x:row>
    <x:row r="1103">
      <x:c r="A1103" t="str">
        <x:v>RVX-00046</x:v>
      </x:c>
      <x:c r="B1103" t="n">
        <x:v>4</x:v>
      </x:c>
      <x:c r="C1103" s="15" t="n">
        <x:v>46230</x:v>
      </x:c>
      <x:c r="D1103" t="str">
        <x:v>cmj_depth</x:v>
      </x:c>
      <x:c r="E1103" t="str">
        <x:v>Countermovement Depth</x:v>
      </x:c>
      <x:c r="F1103" t="str">
        <x:v>Movement</x:v>
      </x:c>
      <x:c r="G1103" t="n">
        <x:v>36.1</x:v>
      </x:c>
      <x:c r="H1103" t="str">
        <x:v>cm</x:v>
      </x:c>
      <x:c r="I1103" t="str">
        <x:v>higher</x:v>
      </x:c>
    </x:row>
    <x:row r="1104">
      <x:c r="A1104" t="str">
        <x:v>RVX-00046</x:v>
      </x:c>
      <x:c r="B1104" t="n">
        <x:v>4</x:v>
      </x:c>
      <x:c r="C1104" s="15" t="n">
        <x:v>46230</x:v>
      </x:c>
      <x:c r="D1104" t="str">
        <x:v>peak_force</x:v>
      </x:c>
      <x:c r="E1104" t="str">
        <x:v>Peak Force</x:v>
      </x:c>
      <x:c r="F1104" t="str">
        <x:v>Strength &amp; Power</x:v>
      </x:c>
      <x:c r="G1104" t="n">
        <x:v>2141</x:v>
      </x:c>
      <x:c r="H1104" t="str">
        <x:v>N</x:v>
      </x:c>
      <x:c r="I1104" t="str">
        <x:v>higher</x:v>
      </x:c>
    </x:row>
    <x:row r="1105">
      <x:c r="A1105" t="str">
        <x:v>RVX-00046</x:v>
      </x:c>
      <x:c r="B1105" t="n">
        <x:v>4</x:v>
      </x:c>
      <x:c r="C1105" s="15" t="n">
        <x:v>46230</x:v>
      </x:c>
      <x:c r="D1105" t="str">
        <x:v>impulse</x:v>
      </x:c>
      <x:c r="E1105" t="str">
        <x:v>Impulse-Momentum</x:v>
      </x:c>
      <x:c r="F1105" t="str">
        <x:v>Strength &amp; Power</x:v>
      </x:c>
      <x:c r="G1105" t="n">
        <x:v>255.5</x:v>
      </x:c>
      <x:c r="H1105" t="str">
        <x:v>Ns</x:v>
      </x:c>
      <x:c r="I1105" t="str">
        <x:v>higher</x:v>
      </x:c>
    </x:row>
    <x:row r="1106">
      <x:c r="A1106" t="str">
        <x:v>RVX-00047</x:v>
      </x:c>
      <x:c r="B1106" t="n">
        <x:v>1</x:v>
      </x:c>
      <x:c r="C1106" s="15" t="n">
        <x:v>46146</x:v>
      </x:c>
      <x:c r="D1106" t="str">
        <x:v>sprint_5m</x:v>
      </x:c>
      <x:c r="E1106" t="str">
        <x:v>5m Sprint</x:v>
      </x:c>
      <x:c r="F1106" t="str">
        <x:v>Acceleration</x:v>
      </x:c>
      <x:c r="G1106" t="n">
        <x:v>1.13</x:v>
      </x:c>
      <x:c r="H1106" t="str">
        <x:v>sec</x:v>
      </x:c>
      <x:c r="I1106" t="str">
        <x:v>lower</x:v>
      </x:c>
    </x:row>
    <x:row r="1107">
      <x:c r="A1107" t="str">
        <x:v>RVX-00047</x:v>
      </x:c>
      <x:c r="B1107" t="n">
        <x:v>1</x:v>
      </x:c>
      <x:c r="C1107" s="15" t="n">
        <x:v>46146</x:v>
      </x:c>
      <x:c r="D1107" t="str">
        <x:v>sprint_10m</x:v>
      </x:c>
      <x:c r="E1107" t="str">
        <x:v>10m Sprint</x:v>
      </x:c>
      <x:c r="F1107" t="str">
        <x:v>Acceleration</x:v>
      </x:c>
      <x:c r="G1107" t="n">
        <x:v>1.87</x:v>
      </x:c>
      <x:c r="H1107" t="str">
        <x:v>sec</x:v>
      </x:c>
      <x:c r="I1107" t="str">
        <x:v>lower</x:v>
      </x:c>
    </x:row>
    <x:row r="1108">
      <x:c r="A1108" t="str">
        <x:v>RVX-00047</x:v>
      </x:c>
      <x:c r="B1108" t="n">
        <x:v>1</x:v>
      </x:c>
      <x:c r="C1108" s="15" t="n">
        <x:v>46146</x:v>
      </x:c>
      <x:c r="D1108" t="str">
        <x:v>pro_agility</x:v>
      </x:c>
      <x:c r="E1108" t="str">
        <x:v>5-10-5 Pro Agility</x:v>
      </x:c>
      <x:c r="F1108" t="str">
        <x:v>Agility</x:v>
      </x:c>
      <x:c r="G1108" t="n">
        <x:v>4.86</x:v>
      </x:c>
      <x:c r="H1108" t="str">
        <x:v>sec</x:v>
      </x:c>
      <x:c r="I1108" t="str">
        <x:v>lower</x:v>
      </x:c>
    </x:row>
    <x:row r="1109">
      <x:c r="A1109" t="str">
        <x:v>RVX-00047</x:v>
      </x:c>
      <x:c r="B1109" t="n">
        <x:v>1</x:v>
      </x:c>
      <x:c r="C1109" s="15" t="n">
        <x:v>46146</x:v>
      </x:c>
      <x:c r="D1109" t="str">
        <x:v>cmj_depth</x:v>
      </x:c>
      <x:c r="E1109" t="str">
        <x:v>Countermovement Depth</x:v>
      </x:c>
      <x:c r="F1109" t="str">
        <x:v>Movement</x:v>
      </x:c>
      <x:c r="G1109" t="n">
        <x:v>28.3</x:v>
      </x:c>
      <x:c r="H1109" t="str">
        <x:v>cm</x:v>
      </x:c>
      <x:c r="I1109" t="str">
        <x:v>higher</x:v>
      </x:c>
    </x:row>
    <x:row r="1110">
      <x:c r="A1110" t="str">
        <x:v>RVX-00047</x:v>
      </x:c>
      <x:c r="B1110" t="n">
        <x:v>1</x:v>
      </x:c>
      <x:c r="C1110" s="15" t="n">
        <x:v>46146</x:v>
      </x:c>
      <x:c r="D1110" t="str">
        <x:v>peak_force</x:v>
      </x:c>
      <x:c r="E1110" t="str">
        <x:v>Peak Force</x:v>
      </x:c>
      <x:c r="F1110" t="str">
        <x:v>Strength &amp; Power</x:v>
      </x:c>
      <x:c r="G1110" t="n">
        <x:v>1694</x:v>
      </x:c>
      <x:c r="H1110" t="str">
        <x:v>N</x:v>
      </x:c>
      <x:c r="I1110" t="str">
        <x:v>higher</x:v>
      </x:c>
    </x:row>
    <x:row r="1111">
      <x:c r="A1111" t="str">
        <x:v>RVX-00047</x:v>
      </x:c>
      <x:c r="B1111" t="n">
        <x:v>1</x:v>
      </x:c>
      <x:c r="C1111" s="15" t="n">
        <x:v>46146</x:v>
      </x:c>
      <x:c r="D1111" t="str">
        <x:v>impulse</x:v>
      </x:c>
      <x:c r="E1111" t="str">
        <x:v>Impulse-Momentum</x:v>
      </x:c>
      <x:c r="F1111" t="str">
        <x:v>Strength &amp; Power</x:v>
      </x:c>
      <x:c r="G1111" t="n">
        <x:v>204.4</x:v>
      </x:c>
      <x:c r="H1111" t="str">
        <x:v>Ns</x:v>
      </x:c>
      <x:c r="I1111" t="str">
        <x:v>higher</x:v>
      </x:c>
    </x:row>
    <x:row r="1112">
      <x:c r="A1112" t="str">
        <x:v>RVX-00047</x:v>
      </x:c>
      <x:c r="B1112" t="n">
        <x:v>2</x:v>
      </x:c>
      <x:c r="C1112" s="15" t="n">
        <x:v>46174</x:v>
      </x:c>
      <x:c r="D1112" t="str">
        <x:v>sprint_5m</x:v>
      </x:c>
      <x:c r="E1112" t="str">
        <x:v>5m Sprint</x:v>
      </x:c>
      <x:c r="F1112" t="str">
        <x:v>Acceleration</x:v>
      </x:c>
      <x:c r="G1112" t="n">
        <x:v>1.12</x:v>
      </x:c>
      <x:c r="H1112" t="str">
        <x:v>sec</x:v>
      </x:c>
      <x:c r="I1112" t="str">
        <x:v>lower</x:v>
      </x:c>
    </x:row>
    <x:row r="1113">
      <x:c r="A1113" t="str">
        <x:v>RVX-00047</x:v>
      </x:c>
      <x:c r="B1113" t="n">
        <x:v>2</x:v>
      </x:c>
      <x:c r="C1113" s="15" t="n">
        <x:v>46174</x:v>
      </x:c>
      <x:c r="D1113" t="str">
        <x:v>sprint_10m</x:v>
      </x:c>
      <x:c r="E1113" t="str">
        <x:v>10m Sprint</x:v>
      </x:c>
      <x:c r="F1113" t="str">
        <x:v>Acceleration</x:v>
      </x:c>
      <x:c r="G1113" t="n">
        <x:v>1.87</x:v>
      </x:c>
      <x:c r="H1113" t="str">
        <x:v>sec</x:v>
      </x:c>
      <x:c r="I1113" t="str">
        <x:v>lower</x:v>
      </x:c>
    </x:row>
    <x:row r="1114">
      <x:c r="A1114" t="str">
        <x:v>RVX-00047</x:v>
      </x:c>
      <x:c r="B1114" t="n">
        <x:v>2</x:v>
      </x:c>
      <x:c r="C1114" s="15" t="n">
        <x:v>46174</x:v>
      </x:c>
      <x:c r="D1114" t="str">
        <x:v>pro_agility</x:v>
      </x:c>
      <x:c r="E1114" t="str">
        <x:v>5-10-5 Pro Agility</x:v>
      </x:c>
      <x:c r="F1114" t="str">
        <x:v>Agility</x:v>
      </x:c>
      <x:c r="G1114" t="n">
        <x:v>4.72</x:v>
      </x:c>
      <x:c r="H1114" t="str">
        <x:v>sec</x:v>
      </x:c>
      <x:c r="I1114" t="str">
        <x:v>lower</x:v>
      </x:c>
    </x:row>
    <x:row r="1115">
      <x:c r="A1115" t="str">
        <x:v>RVX-00047</x:v>
      </x:c>
      <x:c r="B1115" t="n">
        <x:v>2</x:v>
      </x:c>
      <x:c r="C1115" s="15" t="n">
        <x:v>46174</x:v>
      </x:c>
      <x:c r="D1115" t="str">
        <x:v>cmj_depth</x:v>
      </x:c>
      <x:c r="E1115" t="str">
        <x:v>Countermovement Depth</x:v>
      </x:c>
      <x:c r="F1115" t="str">
        <x:v>Movement</x:v>
      </x:c>
      <x:c r="G1115" t="n">
        <x:v>28.7</x:v>
      </x:c>
      <x:c r="H1115" t="str">
        <x:v>cm</x:v>
      </x:c>
      <x:c r="I1115" t="str">
        <x:v>higher</x:v>
      </x:c>
    </x:row>
    <x:row r="1116">
      <x:c r="A1116" t="str">
        <x:v>RVX-00047</x:v>
      </x:c>
      <x:c r="B1116" t="n">
        <x:v>2</x:v>
      </x:c>
      <x:c r="C1116" s="15" t="n">
        <x:v>46174</x:v>
      </x:c>
      <x:c r="D1116" t="str">
        <x:v>peak_force</x:v>
      </x:c>
      <x:c r="E1116" t="str">
        <x:v>Peak Force</x:v>
      </x:c>
      <x:c r="F1116" t="str">
        <x:v>Strength &amp; Power</x:v>
      </x:c>
      <x:c r="G1116" t="n">
        <x:v>1718</x:v>
      </x:c>
      <x:c r="H1116" t="str">
        <x:v>N</x:v>
      </x:c>
      <x:c r="I1116" t="str">
        <x:v>higher</x:v>
      </x:c>
    </x:row>
    <x:row r="1117">
      <x:c r="A1117" t="str">
        <x:v>RVX-00047</x:v>
      </x:c>
      <x:c r="B1117" t="n">
        <x:v>2</x:v>
      </x:c>
      <x:c r="C1117" s="15" t="n">
        <x:v>46174</x:v>
      </x:c>
      <x:c r="D1117" t="str">
        <x:v>impulse</x:v>
      </x:c>
      <x:c r="E1117" t="str">
        <x:v>Impulse-Momentum</x:v>
      </x:c>
      <x:c r="F1117" t="str">
        <x:v>Strength &amp; Power</x:v>
      </x:c>
      <x:c r="G1117" t="n">
        <x:v>204.1</x:v>
      </x:c>
      <x:c r="H1117" t="str">
        <x:v>Ns</x:v>
      </x:c>
      <x:c r="I1117" t="str">
        <x:v>higher</x:v>
      </x:c>
    </x:row>
    <x:row r="1118">
      <x:c r="A1118" t="str">
        <x:v>RVX-00047</x:v>
      </x:c>
      <x:c r="B1118" t="n">
        <x:v>3</x:v>
      </x:c>
      <x:c r="C1118" s="15" t="n">
        <x:v>46202</x:v>
      </x:c>
      <x:c r="D1118" t="str">
        <x:v>sprint_5m</x:v>
      </x:c>
      <x:c r="E1118" t="str">
        <x:v>5m Sprint</x:v>
      </x:c>
      <x:c r="F1118" t="str">
        <x:v>Acceleration</x:v>
      </x:c>
      <x:c r="G1118" t="n">
        <x:v>1.09</x:v>
      </x:c>
      <x:c r="H1118" t="str">
        <x:v>sec</x:v>
      </x:c>
      <x:c r="I1118" t="str">
        <x:v>lower</x:v>
      </x:c>
    </x:row>
    <x:row r="1119">
      <x:c r="A1119" t="str">
        <x:v>RVX-00047</x:v>
      </x:c>
      <x:c r="B1119" t="n">
        <x:v>3</x:v>
      </x:c>
      <x:c r="C1119" s="15" t="n">
        <x:v>46202</x:v>
      </x:c>
      <x:c r="D1119" t="str">
        <x:v>sprint_10m</x:v>
      </x:c>
      <x:c r="E1119" t="str">
        <x:v>10m Sprint</x:v>
      </x:c>
      <x:c r="F1119" t="str">
        <x:v>Acceleration</x:v>
      </x:c>
      <x:c r="G1119" t="n">
        <x:v>1.88</x:v>
      </x:c>
      <x:c r="H1119" t="str">
        <x:v>sec</x:v>
      </x:c>
      <x:c r="I1119" t="str">
        <x:v>lower</x:v>
      </x:c>
    </x:row>
    <x:row r="1120">
      <x:c r="A1120" t="str">
        <x:v>RVX-00047</x:v>
      </x:c>
      <x:c r="B1120" t="n">
        <x:v>3</x:v>
      </x:c>
      <x:c r="C1120" s="15" t="n">
        <x:v>46202</x:v>
      </x:c>
      <x:c r="D1120" t="str">
        <x:v>pro_agility</x:v>
      </x:c>
      <x:c r="E1120" t="str">
        <x:v>5-10-5 Pro Agility</x:v>
      </x:c>
      <x:c r="F1120" t="str">
        <x:v>Agility</x:v>
      </x:c>
      <x:c r="G1120" t="n">
        <x:v>4.65</x:v>
      </x:c>
      <x:c r="H1120" t="str">
        <x:v>sec</x:v>
      </x:c>
      <x:c r="I1120" t="str">
        <x:v>lower</x:v>
      </x:c>
    </x:row>
    <x:row r="1121">
      <x:c r="A1121" t="str">
        <x:v>RVX-00047</x:v>
      </x:c>
      <x:c r="B1121" t="n">
        <x:v>3</x:v>
      </x:c>
      <x:c r="C1121" s="15" t="n">
        <x:v>46202</x:v>
      </x:c>
      <x:c r="D1121" t="str">
        <x:v>cmj_depth</x:v>
      </x:c>
      <x:c r="E1121" t="str">
        <x:v>Countermovement Depth</x:v>
      </x:c>
      <x:c r="F1121" t="str">
        <x:v>Movement</x:v>
      </x:c>
      <x:c r="G1121" t="n">
        <x:v>29.9</x:v>
      </x:c>
      <x:c r="H1121" t="str">
        <x:v>cm</x:v>
      </x:c>
      <x:c r="I1121" t="str">
        <x:v>higher</x:v>
      </x:c>
    </x:row>
    <x:row r="1122">
      <x:c r="A1122" t="str">
        <x:v>RVX-00047</x:v>
      </x:c>
      <x:c r="B1122" t="n">
        <x:v>3</x:v>
      </x:c>
      <x:c r="C1122" s="15" t="n">
        <x:v>46202</x:v>
      </x:c>
      <x:c r="D1122" t="str">
        <x:v>peak_force</x:v>
      </x:c>
      <x:c r="E1122" t="str">
        <x:v>Peak Force</x:v>
      </x:c>
      <x:c r="F1122" t="str">
        <x:v>Strength &amp; Power</x:v>
      </x:c>
      <x:c r="G1122" t="n">
        <x:v>1763</x:v>
      </x:c>
      <x:c r="H1122" t="str">
        <x:v>N</x:v>
      </x:c>
      <x:c r="I1122" t="str">
        <x:v>higher</x:v>
      </x:c>
    </x:row>
    <x:row r="1123">
      <x:c r="A1123" t="str">
        <x:v>RVX-00047</x:v>
      </x:c>
      <x:c r="B1123" t="n">
        <x:v>3</x:v>
      </x:c>
      <x:c r="C1123" s="15" t="n">
        <x:v>46202</x:v>
      </x:c>
      <x:c r="D1123" t="str">
        <x:v>impulse</x:v>
      </x:c>
      <x:c r="E1123" t="str">
        <x:v>Impulse-Momentum</x:v>
      </x:c>
      <x:c r="F1123" t="str">
        <x:v>Strength &amp; Power</x:v>
      </x:c>
      <x:c r="G1123" t="n">
        <x:v>209.3</x:v>
      </x:c>
      <x:c r="H1123" t="str">
        <x:v>Ns</x:v>
      </x:c>
      <x:c r="I1123" t="str">
        <x:v>higher</x:v>
      </x:c>
    </x:row>
    <x:row r="1124">
      <x:c r="A1124" t="str">
        <x:v>RVX-00047</x:v>
      </x:c>
      <x:c r="B1124" t="n">
        <x:v>4</x:v>
      </x:c>
      <x:c r="C1124" s="15" t="n">
        <x:v>46230</x:v>
      </x:c>
      <x:c r="D1124" t="str">
        <x:v>sprint_5m</x:v>
      </x:c>
      <x:c r="E1124" t="str">
        <x:v>5m Sprint</x:v>
      </x:c>
      <x:c r="F1124" t="str">
        <x:v>Acceleration</x:v>
      </x:c>
      <x:c r="G1124" t="n">
        <x:v>1.07</x:v>
      </x:c>
      <x:c r="H1124" t="str">
        <x:v>sec</x:v>
      </x:c>
      <x:c r="I1124" t="str">
        <x:v>lower</x:v>
      </x:c>
    </x:row>
    <x:row r="1125">
      <x:c r="A1125" t="str">
        <x:v>RVX-00047</x:v>
      </x:c>
      <x:c r="B1125" t="n">
        <x:v>4</x:v>
      </x:c>
      <x:c r="C1125" s="15" t="n">
        <x:v>46230</x:v>
      </x:c>
      <x:c r="D1125" t="str">
        <x:v>sprint_10m</x:v>
      </x:c>
      <x:c r="E1125" t="str">
        <x:v>10m Sprint</x:v>
      </x:c>
      <x:c r="F1125" t="str">
        <x:v>Acceleration</x:v>
      </x:c>
      <x:c r="G1125" t="n">
        <x:v>1.78</x:v>
      </x:c>
      <x:c r="H1125" t="str">
        <x:v>sec</x:v>
      </x:c>
      <x:c r="I1125" t="str">
        <x:v>lower</x:v>
      </x:c>
    </x:row>
    <x:row r="1126">
      <x:c r="A1126" t="str">
        <x:v>RVX-00047</x:v>
      </x:c>
      <x:c r="B1126" t="n">
        <x:v>4</x:v>
      </x:c>
      <x:c r="C1126" s="15" t="n">
        <x:v>46230</x:v>
      </x:c>
      <x:c r="D1126" t="str">
        <x:v>pro_agility</x:v>
      </x:c>
      <x:c r="E1126" t="str">
        <x:v>5-10-5 Pro Agility</x:v>
      </x:c>
      <x:c r="F1126" t="str">
        <x:v>Agility</x:v>
      </x:c>
      <x:c r="G1126" t="n">
        <x:v>4.7</x:v>
      </x:c>
      <x:c r="H1126" t="str">
        <x:v>sec</x:v>
      </x:c>
      <x:c r="I1126" t="str">
        <x:v>lower</x:v>
      </x:c>
    </x:row>
    <x:row r="1127">
      <x:c r="A1127" t="str">
        <x:v>RVX-00047</x:v>
      </x:c>
      <x:c r="B1127" t="n">
        <x:v>4</x:v>
      </x:c>
      <x:c r="C1127" s="15" t="n">
        <x:v>46230</x:v>
      </x:c>
      <x:c r="D1127" t="str">
        <x:v>cmj_depth</x:v>
      </x:c>
      <x:c r="E1127" t="str">
        <x:v>Countermovement Depth</x:v>
      </x:c>
      <x:c r="F1127" t="str">
        <x:v>Movement</x:v>
      </x:c>
      <x:c r="G1127" t="n">
        <x:v>30.5</x:v>
      </x:c>
      <x:c r="H1127" t="str">
        <x:v>cm</x:v>
      </x:c>
      <x:c r="I1127" t="str">
        <x:v>higher</x:v>
      </x:c>
    </x:row>
    <x:row r="1128">
      <x:c r="A1128" t="str">
        <x:v>RVX-00047</x:v>
      </x:c>
      <x:c r="B1128" t="n">
        <x:v>4</x:v>
      </x:c>
      <x:c r="C1128" s="15" t="n">
        <x:v>46230</x:v>
      </x:c>
      <x:c r="D1128" t="str">
        <x:v>peak_force</x:v>
      </x:c>
      <x:c r="E1128" t="str">
        <x:v>Peak Force</x:v>
      </x:c>
      <x:c r="F1128" t="str">
        <x:v>Strength &amp; Power</x:v>
      </x:c>
      <x:c r="G1128" t="n">
        <x:v>1711</x:v>
      </x:c>
      <x:c r="H1128" t="str">
        <x:v>N</x:v>
      </x:c>
      <x:c r="I1128" t="str">
        <x:v>higher</x:v>
      </x:c>
    </x:row>
    <x:row r="1129">
      <x:c r="A1129" t="str">
        <x:v>RVX-00047</x:v>
      </x:c>
      <x:c r="B1129" t="n">
        <x:v>4</x:v>
      </x:c>
      <x:c r="C1129" s="15" t="n">
        <x:v>46230</x:v>
      </x:c>
      <x:c r="D1129" t="str">
        <x:v>impulse</x:v>
      </x:c>
      <x:c r="E1129" t="str">
        <x:v>Impulse-Momentum</x:v>
      </x:c>
      <x:c r="F1129" t="str">
        <x:v>Strength &amp; Power</x:v>
      </x:c>
      <x:c r="G1129" t="n">
        <x:v>219</x:v>
      </x:c>
      <x:c r="H1129" t="str">
        <x:v>Ns</x:v>
      </x:c>
      <x:c r="I1129" t="str">
        <x:v>higher</x:v>
      </x:c>
    </x:row>
    <x:row r="1130">
      <x:c r="A1130" t="str">
        <x:v>RVX-00048</x:v>
      </x:c>
      <x:c r="B1130" t="n">
        <x:v>1</x:v>
      </x:c>
      <x:c r="C1130" s="15" t="n">
        <x:v>46146</x:v>
      </x:c>
      <x:c r="D1130" t="str">
        <x:v>sprint_5m</x:v>
      </x:c>
      <x:c r="E1130" t="str">
        <x:v>5m Sprint</x:v>
      </x:c>
      <x:c r="F1130" t="str">
        <x:v>Acceleration</x:v>
      </x:c>
      <x:c r="G1130" t="n">
        <x:v>1.21</x:v>
      </x:c>
      <x:c r="H1130" t="str">
        <x:v>sec</x:v>
      </x:c>
      <x:c r="I1130" t="str">
        <x:v>lower</x:v>
      </x:c>
    </x:row>
    <x:row r="1131">
      <x:c r="A1131" t="str">
        <x:v>RVX-00048</x:v>
      </x:c>
      <x:c r="B1131" t="n">
        <x:v>1</x:v>
      </x:c>
      <x:c r="C1131" s="15" t="n">
        <x:v>46146</x:v>
      </x:c>
      <x:c r="D1131" t="str">
        <x:v>sprint_10m</x:v>
      </x:c>
      <x:c r="E1131" t="str">
        <x:v>10m Sprint</x:v>
      </x:c>
      <x:c r="F1131" t="str">
        <x:v>Acceleration</x:v>
      </x:c>
      <x:c r="G1131" t="n">
        <x:v>1.99</x:v>
      </x:c>
      <x:c r="H1131" t="str">
        <x:v>sec</x:v>
      </x:c>
      <x:c r="I1131" t="str">
        <x:v>lower</x:v>
      </x:c>
    </x:row>
    <x:row r="1132">
      <x:c r="A1132" t="str">
        <x:v>RVX-00048</x:v>
      </x:c>
      <x:c r="B1132" t="n">
        <x:v>1</x:v>
      </x:c>
      <x:c r="C1132" s="15" t="n">
        <x:v>46146</x:v>
      </x:c>
      <x:c r="D1132" t="str">
        <x:v>pro_agility</x:v>
      </x:c>
      <x:c r="E1132" t="str">
        <x:v>5-10-5 Pro Agility</x:v>
      </x:c>
      <x:c r="F1132" t="str">
        <x:v>Agility</x:v>
      </x:c>
      <x:c r="G1132" t="n">
        <x:v>5.08</x:v>
      </x:c>
      <x:c r="H1132" t="str">
        <x:v>sec</x:v>
      </x:c>
      <x:c r="I1132" t="str">
        <x:v>lower</x:v>
      </x:c>
    </x:row>
    <x:row r="1133">
      <x:c r="A1133" t="str">
        <x:v>RVX-00048</x:v>
      </x:c>
      <x:c r="B1133" t="n">
        <x:v>1</x:v>
      </x:c>
      <x:c r="C1133" s="15" t="n">
        <x:v>46146</x:v>
      </x:c>
      <x:c r="D1133" t="str">
        <x:v>cmj_depth</x:v>
      </x:c>
      <x:c r="E1133" t="str">
        <x:v>Countermovement Depth</x:v>
      </x:c>
      <x:c r="F1133" t="str">
        <x:v>Movement</x:v>
      </x:c>
      <x:c r="G1133" t="n">
        <x:v>27.7</x:v>
      </x:c>
      <x:c r="H1133" t="str">
        <x:v>cm</x:v>
      </x:c>
      <x:c r="I1133" t="str">
        <x:v>higher</x:v>
      </x:c>
    </x:row>
    <x:row r="1134">
      <x:c r="A1134" t="str">
        <x:v>RVX-00048</x:v>
      </x:c>
      <x:c r="B1134" t="n">
        <x:v>1</x:v>
      </x:c>
      <x:c r="C1134" s="15" t="n">
        <x:v>46146</x:v>
      </x:c>
      <x:c r="D1134" t="str">
        <x:v>peak_force</x:v>
      </x:c>
      <x:c r="E1134" t="str">
        <x:v>Peak Force</x:v>
      </x:c>
      <x:c r="F1134" t="str">
        <x:v>Strength &amp; Power</x:v>
      </x:c>
      <x:c r="G1134" t="n">
        <x:v>1642</x:v>
      </x:c>
      <x:c r="H1134" t="str">
        <x:v>N</x:v>
      </x:c>
      <x:c r="I1134" t="str">
        <x:v>higher</x:v>
      </x:c>
    </x:row>
    <x:row r="1135">
      <x:c r="A1135" t="str">
        <x:v>RVX-00048</x:v>
      </x:c>
      <x:c r="B1135" t="n">
        <x:v>1</x:v>
      </x:c>
      <x:c r="C1135" s="15" t="n">
        <x:v>46146</x:v>
      </x:c>
      <x:c r="D1135" t="str">
        <x:v>impulse</x:v>
      </x:c>
      <x:c r="E1135" t="str">
        <x:v>Impulse-Momentum</x:v>
      </x:c>
      <x:c r="F1135" t="str">
        <x:v>Strength &amp; Power</x:v>
      </x:c>
      <x:c r="G1135" t="n">
        <x:v>201</x:v>
      </x:c>
      <x:c r="H1135" t="str">
        <x:v>Ns</x:v>
      </x:c>
      <x:c r="I1135" t="str">
        <x:v>higher</x:v>
      </x:c>
    </x:row>
    <x:row r="1136">
      <x:c r="A1136" t="str">
        <x:v>RVX-00048</x:v>
      </x:c>
      <x:c r="B1136" t="n">
        <x:v>2</x:v>
      </x:c>
      <x:c r="C1136" s="15" t="n">
        <x:v>46174</x:v>
      </x:c>
      <x:c r="D1136" t="str">
        <x:v>sprint_5m</x:v>
      </x:c>
      <x:c r="E1136" t="str">
        <x:v>5m Sprint</x:v>
      </x:c>
      <x:c r="F1136" t="str">
        <x:v>Acceleration</x:v>
      </x:c>
      <x:c r="G1136" t="n">
        <x:v>1.17</x:v>
      </x:c>
      <x:c r="H1136" t="str">
        <x:v>sec</x:v>
      </x:c>
      <x:c r="I1136" t="str">
        <x:v>lower</x:v>
      </x:c>
    </x:row>
    <x:row r="1137">
      <x:c r="A1137" t="str">
        <x:v>RVX-00048</x:v>
      </x:c>
      <x:c r="B1137" t="n">
        <x:v>2</x:v>
      </x:c>
      <x:c r="C1137" s="15" t="n">
        <x:v>46174</x:v>
      </x:c>
      <x:c r="D1137" t="str">
        <x:v>sprint_10m</x:v>
      </x:c>
      <x:c r="E1137" t="str">
        <x:v>10m Sprint</x:v>
      </x:c>
      <x:c r="F1137" t="str">
        <x:v>Acceleration</x:v>
      </x:c>
      <x:c r="G1137" t="n">
        <x:v>1.99</x:v>
      </x:c>
      <x:c r="H1137" t="str">
        <x:v>sec</x:v>
      </x:c>
      <x:c r="I1137" t="str">
        <x:v>lower</x:v>
      </x:c>
    </x:row>
    <x:row r="1138">
      <x:c r="A1138" t="str">
        <x:v>RVX-00048</x:v>
      </x:c>
      <x:c r="B1138" t="n">
        <x:v>2</x:v>
      </x:c>
      <x:c r="C1138" s="15" t="n">
        <x:v>46174</x:v>
      </x:c>
      <x:c r="D1138" t="str">
        <x:v>pro_agility</x:v>
      </x:c>
      <x:c r="E1138" t="str">
        <x:v>5-10-5 Pro Agility</x:v>
      </x:c>
      <x:c r="F1138" t="str">
        <x:v>Agility</x:v>
      </x:c>
      <x:c r="G1138" t="n">
        <x:v>5</x:v>
      </x:c>
      <x:c r="H1138" t="str">
        <x:v>sec</x:v>
      </x:c>
      <x:c r="I1138" t="str">
        <x:v>lower</x:v>
      </x:c>
    </x:row>
    <x:row r="1139">
      <x:c r="A1139" t="str">
        <x:v>RVX-00048</x:v>
      </x:c>
      <x:c r="B1139" t="n">
        <x:v>2</x:v>
      </x:c>
      <x:c r="C1139" s="15" t="n">
        <x:v>46174</x:v>
      </x:c>
      <x:c r="D1139" t="str">
        <x:v>cmj_depth</x:v>
      </x:c>
      <x:c r="E1139" t="str">
        <x:v>Countermovement Depth</x:v>
      </x:c>
      <x:c r="F1139" t="str">
        <x:v>Movement</x:v>
      </x:c>
      <x:c r="G1139" t="n">
        <x:v>28.4</x:v>
      </x:c>
      <x:c r="H1139" t="str">
        <x:v>cm</x:v>
      </x:c>
      <x:c r="I1139" t="str">
        <x:v>higher</x:v>
      </x:c>
    </x:row>
    <x:row r="1140">
      <x:c r="A1140" t="str">
        <x:v>RVX-00048</x:v>
      </x:c>
      <x:c r="B1140" t="n">
        <x:v>2</x:v>
      </x:c>
      <x:c r="C1140" s="15" t="n">
        <x:v>46174</x:v>
      </x:c>
      <x:c r="D1140" t="str">
        <x:v>peak_force</x:v>
      </x:c>
      <x:c r="E1140" t="str">
        <x:v>Peak Force</x:v>
      </x:c>
      <x:c r="F1140" t="str">
        <x:v>Strength &amp; Power</x:v>
      </x:c>
      <x:c r="G1140" t="n">
        <x:v>1649</x:v>
      </x:c>
      <x:c r="H1140" t="str">
        <x:v>N</x:v>
      </x:c>
      <x:c r="I1140" t="str">
        <x:v>higher</x:v>
      </x:c>
    </x:row>
    <x:row r="1141">
      <x:c r="A1141" t="str">
        <x:v>RVX-00048</x:v>
      </x:c>
      <x:c r="B1141" t="n">
        <x:v>2</x:v>
      </x:c>
      <x:c r="C1141" s="15" t="n">
        <x:v>46174</x:v>
      </x:c>
      <x:c r="D1141" t="str">
        <x:v>impulse</x:v>
      </x:c>
      <x:c r="E1141" t="str">
        <x:v>Impulse-Momentum</x:v>
      </x:c>
      <x:c r="F1141" t="str">
        <x:v>Strength &amp; Power</x:v>
      </x:c>
      <x:c r="G1141" t="n">
        <x:v>208.6</x:v>
      </x:c>
      <x:c r="H1141" t="str">
        <x:v>Ns</x:v>
      </x:c>
      <x:c r="I1141" t="str">
        <x:v>higher</x:v>
      </x:c>
    </x:row>
    <x:row r="1142">
      <x:c r="A1142" t="str">
        <x:v>RVX-00048</x:v>
      </x:c>
      <x:c r="B1142" t="n">
        <x:v>3</x:v>
      </x:c>
      <x:c r="C1142" s="15" t="n">
        <x:v>46202</x:v>
      </x:c>
      <x:c r="D1142" t="str">
        <x:v>sprint_5m</x:v>
      </x:c>
      <x:c r="E1142" t="str">
        <x:v>5m Sprint</x:v>
      </x:c>
      <x:c r="F1142" t="str">
        <x:v>Acceleration</x:v>
      </x:c>
      <x:c r="G1142" t="n">
        <x:v>1.19</x:v>
      </x:c>
      <x:c r="H1142" t="str">
        <x:v>sec</x:v>
      </x:c>
      <x:c r="I1142" t="str">
        <x:v>lower</x:v>
      </x:c>
    </x:row>
    <x:row r="1143">
      <x:c r="A1143" t="str">
        <x:v>RVX-00048</x:v>
      </x:c>
      <x:c r="B1143" t="n">
        <x:v>3</x:v>
      </x:c>
      <x:c r="C1143" s="15" t="n">
        <x:v>46202</x:v>
      </x:c>
      <x:c r="D1143" t="str">
        <x:v>sprint_10m</x:v>
      </x:c>
      <x:c r="E1143" t="str">
        <x:v>10m Sprint</x:v>
      </x:c>
      <x:c r="F1143" t="str">
        <x:v>Acceleration</x:v>
      </x:c>
      <x:c r="G1143" t="n">
        <x:v>1.98</x:v>
      </x:c>
      <x:c r="H1143" t="str">
        <x:v>sec</x:v>
      </x:c>
      <x:c r="I1143" t="str">
        <x:v>lower</x:v>
      </x:c>
    </x:row>
    <x:row r="1144">
      <x:c r="A1144" t="str">
        <x:v>RVX-00048</x:v>
      </x:c>
      <x:c r="B1144" t="n">
        <x:v>3</x:v>
      </x:c>
      <x:c r="C1144" s="15" t="n">
        <x:v>46202</x:v>
      </x:c>
      <x:c r="D1144" t="str">
        <x:v>pro_agility</x:v>
      </x:c>
      <x:c r="E1144" t="str">
        <x:v>5-10-5 Pro Agility</x:v>
      </x:c>
      <x:c r="F1144" t="str">
        <x:v>Agility</x:v>
      </x:c>
      <x:c r="G1144" t="n">
        <x:v>4.98</x:v>
      </x:c>
      <x:c r="H1144" t="str">
        <x:v>sec</x:v>
      </x:c>
      <x:c r="I1144" t="str">
        <x:v>lower</x:v>
      </x:c>
    </x:row>
    <x:row r="1145">
      <x:c r="A1145" t="str">
        <x:v>RVX-00048</x:v>
      </x:c>
      <x:c r="B1145" t="n">
        <x:v>3</x:v>
      </x:c>
      <x:c r="C1145" s="15" t="n">
        <x:v>46202</x:v>
      </x:c>
      <x:c r="D1145" t="str">
        <x:v>cmj_depth</x:v>
      </x:c>
      <x:c r="E1145" t="str">
        <x:v>Countermovement Depth</x:v>
      </x:c>
      <x:c r="F1145" t="str">
        <x:v>Movement</x:v>
      </x:c>
      <x:c r="G1145" t="n">
        <x:v>29.6</x:v>
      </x:c>
      <x:c r="H1145" t="str">
        <x:v>cm</x:v>
      </x:c>
      <x:c r="I1145" t="str">
        <x:v>higher</x:v>
      </x:c>
    </x:row>
    <x:row r="1146">
      <x:c r="A1146" t="str">
        <x:v>RVX-00048</x:v>
      </x:c>
      <x:c r="B1146" t="n">
        <x:v>3</x:v>
      </x:c>
      <x:c r="C1146" s="15" t="n">
        <x:v>46202</x:v>
      </x:c>
      <x:c r="D1146" t="str">
        <x:v>peak_force</x:v>
      </x:c>
      <x:c r="E1146" t="str">
        <x:v>Peak Force</x:v>
      </x:c>
      <x:c r="F1146" t="str">
        <x:v>Strength &amp; Power</x:v>
      </x:c>
      <x:c r="G1146" t="n">
        <x:v>1737</x:v>
      </x:c>
      <x:c r="H1146" t="str">
        <x:v>N</x:v>
      </x:c>
      <x:c r="I1146" t="str">
        <x:v>higher</x:v>
      </x:c>
    </x:row>
    <x:row r="1147">
      <x:c r="A1147" t="str">
        <x:v>RVX-00048</x:v>
      </x:c>
      <x:c r="B1147" t="n">
        <x:v>3</x:v>
      </x:c>
      <x:c r="C1147" s="15" t="n">
        <x:v>46202</x:v>
      </x:c>
      <x:c r="D1147" t="str">
        <x:v>impulse</x:v>
      </x:c>
      <x:c r="E1147" t="str">
        <x:v>Impulse-Momentum</x:v>
      </x:c>
      <x:c r="F1147" t="str">
        <x:v>Strength &amp; Power</x:v>
      </x:c>
      <x:c r="G1147" t="n">
        <x:v>205.4</x:v>
      </x:c>
      <x:c r="H1147" t="str">
        <x:v>Ns</x:v>
      </x:c>
      <x:c r="I1147" t="str">
        <x:v>higher</x:v>
      </x:c>
    </x:row>
    <x:row r="1148">
      <x:c r="A1148" t="str">
        <x:v>RVX-00048</x:v>
      </x:c>
      <x:c r="B1148" t="n">
        <x:v>4</x:v>
      </x:c>
      <x:c r="C1148" s="15" t="n">
        <x:v>46230</x:v>
      </x:c>
      <x:c r="D1148" t="str">
        <x:v>sprint_5m</x:v>
      </x:c>
      <x:c r="E1148" t="str">
        <x:v>5m Sprint</x:v>
      </x:c>
      <x:c r="F1148" t="str">
        <x:v>Acceleration</x:v>
      </x:c>
      <x:c r="G1148" t="n">
        <x:v>1.13</x:v>
      </x:c>
      <x:c r="H1148" t="str">
        <x:v>sec</x:v>
      </x:c>
      <x:c r="I1148" t="str">
        <x:v>lower</x:v>
      </x:c>
    </x:row>
    <x:row r="1149">
      <x:c r="A1149" t="str">
        <x:v>RVX-00048</x:v>
      </x:c>
      <x:c r="B1149" t="n">
        <x:v>4</x:v>
      </x:c>
      <x:c r="C1149" s="15" t="n">
        <x:v>46230</x:v>
      </x:c>
      <x:c r="D1149" t="str">
        <x:v>sprint_10m</x:v>
      </x:c>
      <x:c r="E1149" t="str">
        <x:v>10m Sprint</x:v>
      </x:c>
      <x:c r="F1149" t="str">
        <x:v>Acceleration</x:v>
      </x:c>
      <x:c r="G1149" t="n">
        <x:v>1.93</x:v>
      </x:c>
      <x:c r="H1149" t="str">
        <x:v>sec</x:v>
      </x:c>
      <x:c r="I1149" t="str">
        <x:v>lower</x:v>
      </x:c>
    </x:row>
    <x:row r="1150">
      <x:c r="A1150" t="str">
        <x:v>RVX-00048</x:v>
      </x:c>
      <x:c r="B1150" t="n">
        <x:v>4</x:v>
      </x:c>
      <x:c r="C1150" s="15" t="n">
        <x:v>46230</x:v>
      </x:c>
      <x:c r="D1150" t="str">
        <x:v>pro_agility</x:v>
      </x:c>
      <x:c r="E1150" t="str">
        <x:v>5-10-5 Pro Agility</x:v>
      </x:c>
      <x:c r="F1150" t="str">
        <x:v>Agility</x:v>
      </x:c>
      <x:c r="G1150" t="n">
        <x:v>4.93</x:v>
      </x:c>
      <x:c r="H1150" t="str">
        <x:v>sec</x:v>
      </x:c>
      <x:c r="I1150" t="str">
        <x:v>lower</x:v>
      </x:c>
    </x:row>
    <x:row r="1151">
      <x:c r="A1151" t="str">
        <x:v>RVX-00048</x:v>
      </x:c>
      <x:c r="B1151" t="n">
        <x:v>4</x:v>
      </x:c>
      <x:c r="C1151" s="15" t="n">
        <x:v>46230</x:v>
      </x:c>
      <x:c r="D1151" t="str">
        <x:v>cmj_depth</x:v>
      </x:c>
      <x:c r="E1151" t="str">
        <x:v>Countermovement Depth</x:v>
      </x:c>
      <x:c r="F1151" t="str">
        <x:v>Movement</x:v>
      </x:c>
      <x:c r="G1151" t="n">
        <x:v>30.3</x:v>
      </x:c>
      <x:c r="H1151" t="str">
        <x:v>cm</x:v>
      </x:c>
      <x:c r="I1151" t="str">
        <x:v>higher</x:v>
      </x:c>
    </x:row>
    <x:row r="1152">
      <x:c r="A1152" t="str">
        <x:v>RVX-00048</x:v>
      </x:c>
      <x:c r="B1152" t="n">
        <x:v>4</x:v>
      </x:c>
      <x:c r="C1152" s="15" t="n">
        <x:v>46230</x:v>
      </x:c>
      <x:c r="D1152" t="str">
        <x:v>peak_force</x:v>
      </x:c>
      <x:c r="E1152" t="str">
        <x:v>Peak Force</x:v>
      </x:c>
      <x:c r="F1152" t="str">
        <x:v>Strength &amp; Power</x:v>
      </x:c>
      <x:c r="G1152" t="n">
        <x:v>1704</x:v>
      </x:c>
      <x:c r="H1152" t="str">
        <x:v>N</x:v>
      </x:c>
      <x:c r="I1152" t="str">
        <x:v>higher</x:v>
      </x:c>
    </x:row>
    <x:row r="1153">
      <x:c r="A1153" t="str">
        <x:v>RVX-00048</x:v>
      </x:c>
      <x:c r="B1153" t="n">
        <x:v>4</x:v>
      </x:c>
      <x:c r="C1153" s="15" t="n">
        <x:v>46230</x:v>
      </x:c>
      <x:c r="D1153" t="str">
        <x:v>impulse</x:v>
      </x:c>
      <x:c r="E1153" t="str">
        <x:v>Impulse-Momentum</x:v>
      </x:c>
      <x:c r="F1153" t="str">
        <x:v>Strength &amp; Power</x:v>
      </x:c>
      <x:c r="G1153" t="n">
        <x:v>212.4</x:v>
      </x:c>
      <x:c r="H1153" t="str">
        <x:v>Ns</x:v>
      </x:c>
      <x:c r="I1153" t="str">
        <x:v>higher</x:v>
      </x:c>
    </x:row>
    <x:row r="1154">
      <x:c r="A1154" t="str">
        <x:v>RVX-00049</x:v>
      </x:c>
      <x:c r="B1154" t="n">
        <x:v>1</x:v>
      </x:c>
      <x:c r="C1154" s="15" t="n">
        <x:v>46146</x:v>
      </x:c>
      <x:c r="D1154" t="str">
        <x:v>sprint_5m</x:v>
      </x:c>
      <x:c r="E1154" t="str">
        <x:v>5m Sprint</x:v>
      </x:c>
      <x:c r="F1154" t="str">
        <x:v>Acceleration</x:v>
      </x:c>
      <x:c r="G1154" t="n">
        <x:v>1.04</x:v>
      </x:c>
      <x:c r="H1154" t="str">
        <x:v>sec</x:v>
      </x:c>
      <x:c r="I1154" t="str">
        <x:v>lower</x:v>
      </x:c>
    </x:row>
    <x:row r="1155">
      <x:c r="A1155" t="str">
        <x:v>RVX-00049</x:v>
      </x:c>
      <x:c r="B1155" t="n">
        <x:v>1</x:v>
      </x:c>
      <x:c r="C1155" s="15" t="n">
        <x:v>46146</x:v>
      </x:c>
      <x:c r="D1155" t="str">
        <x:v>sprint_10m</x:v>
      </x:c>
      <x:c r="E1155" t="str">
        <x:v>10m Sprint</x:v>
      </x:c>
      <x:c r="F1155" t="str">
        <x:v>Acceleration</x:v>
      </x:c>
      <x:c r="G1155" t="n">
        <x:v>1.75</x:v>
      </x:c>
      <x:c r="H1155" t="str">
        <x:v>sec</x:v>
      </x:c>
      <x:c r="I1155" t="str">
        <x:v>lower</x:v>
      </x:c>
    </x:row>
    <x:row r="1156">
      <x:c r="A1156" t="str">
        <x:v>RVX-00049</x:v>
      </x:c>
      <x:c r="B1156" t="n">
        <x:v>1</x:v>
      </x:c>
      <x:c r="C1156" s="15" t="n">
        <x:v>46146</x:v>
      </x:c>
      <x:c r="D1156" t="str">
        <x:v>pro_agility</x:v>
      </x:c>
      <x:c r="E1156" t="str">
        <x:v>5-10-5 Pro Agility</x:v>
      </x:c>
      <x:c r="F1156" t="str">
        <x:v>Agility</x:v>
      </x:c>
      <x:c r="G1156" t="n">
        <x:v>4.31</x:v>
      </x:c>
      <x:c r="H1156" t="str">
        <x:v>sec</x:v>
      </x:c>
      <x:c r="I1156" t="str">
        <x:v>lower</x:v>
      </x:c>
    </x:row>
    <x:row r="1157">
      <x:c r="A1157" t="str">
        <x:v>RVX-00049</x:v>
      </x:c>
      <x:c r="B1157" t="n">
        <x:v>1</x:v>
      </x:c>
      <x:c r="C1157" s="15" t="n">
        <x:v>46146</x:v>
      </x:c>
      <x:c r="D1157" t="str">
        <x:v>cmj_depth</x:v>
      </x:c>
      <x:c r="E1157" t="str">
        <x:v>Countermovement Depth</x:v>
      </x:c>
      <x:c r="F1157" t="str">
        <x:v>Movement</x:v>
      </x:c>
      <x:c r="G1157" t="n">
        <x:v>31.7</x:v>
      </x:c>
      <x:c r="H1157" t="str">
        <x:v>cm</x:v>
      </x:c>
      <x:c r="I1157" t="str">
        <x:v>higher</x:v>
      </x:c>
    </x:row>
    <x:row r="1158">
      <x:c r="A1158" t="str">
        <x:v>RVX-00049</x:v>
      </x:c>
      <x:c r="B1158" t="n">
        <x:v>1</x:v>
      </x:c>
      <x:c r="C1158" s="15" t="n">
        <x:v>46146</x:v>
      </x:c>
      <x:c r="D1158" t="str">
        <x:v>peak_force</x:v>
      </x:c>
      <x:c r="E1158" t="str">
        <x:v>Peak Force</x:v>
      </x:c>
      <x:c r="F1158" t="str">
        <x:v>Strength &amp; Power</x:v>
      </x:c>
      <x:c r="G1158" t="n">
        <x:v>1837</x:v>
      </x:c>
      <x:c r="H1158" t="str">
        <x:v>N</x:v>
      </x:c>
      <x:c r="I1158" t="str">
        <x:v>higher</x:v>
      </x:c>
    </x:row>
    <x:row r="1159">
      <x:c r="A1159" t="str">
        <x:v>RVX-00049</x:v>
      </x:c>
      <x:c r="B1159" t="n">
        <x:v>1</x:v>
      </x:c>
      <x:c r="C1159" s="15" t="n">
        <x:v>46146</x:v>
      </x:c>
      <x:c r="D1159" t="str">
        <x:v>impulse</x:v>
      </x:c>
      <x:c r="E1159" t="str">
        <x:v>Impulse-Momentum</x:v>
      </x:c>
      <x:c r="F1159" t="str">
        <x:v>Strength &amp; Power</x:v>
      </x:c>
      <x:c r="G1159" t="n">
        <x:v>221.8</x:v>
      </x:c>
      <x:c r="H1159" t="str">
        <x:v>Ns</x:v>
      </x:c>
      <x:c r="I1159" t="str">
        <x:v>higher</x:v>
      </x:c>
    </x:row>
    <x:row r="1160">
      <x:c r="A1160" t="str">
        <x:v>RVX-00049</x:v>
      </x:c>
      <x:c r="B1160" t="n">
        <x:v>2</x:v>
      </x:c>
      <x:c r="C1160" s="15" t="n">
        <x:v>46174</x:v>
      </x:c>
      <x:c r="D1160" t="str">
        <x:v>sprint_5m</x:v>
      </x:c>
      <x:c r="E1160" t="str">
        <x:v>5m Sprint</x:v>
      </x:c>
      <x:c r="F1160" t="str">
        <x:v>Acceleration</x:v>
      </x:c>
      <x:c r="G1160" t="n">
        <x:v>1</x:v>
      </x:c>
      <x:c r="H1160" t="str">
        <x:v>sec</x:v>
      </x:c>
      <x:c r="I1160" t="str">
        <x:v>lower</x:v>
      </x:c>
    </x:row>
    <x:row r="1161">
      <x:c r="A1161" t="str">
        <x:v>RVX-00049</x:v>
      </x:c>
      <x:c r="B1161" t="n">
        <x:v>2</x:v>
      </x:c>
      <x:c r="C1161" s="15" t="n">
        <x:v>46174</x:v>
      </x:c>
      <x:c r="D1161" t="str">
        <x:v>sprint_10m</x:v>
      </x:c>
      <x:c r="E1161" t="str">
        <x:v>10m Sprint</x:v>
      </x:c>
      <x:c r="F1161" t="str">
        <x:v>Acceleration</x:v>
      </x:c>
      <x:c r="G1161" t="n">
        <x:v>1.68</x:v>
      </x:c>
      <x:c r="H1161" t="str">
        <x:v>sec</x:v>
      </x:c>
      <x:c r="I1161" t="str">
        <x:v>lower</x:v>
      </x:c>
    </x:row>
    <x:row r="1162">
      <x:c r="A1162" t="str">
        <x:v>RVX-00049</x:v>
      </x:c>
      <x:c r="B1162" t="n">
        <x:v>2</x:v>
      </x:c>
      <x:c r="C1162" s="15" t="n">
        <x:v>46174</x:v>
      </x:c>
      <x:c r="D1162" t="str">
        <x:v>pro_agility</x:v>
      </x:c>
      <x:c r="E1162" t="str">
        <x:v>5-10-5 Pro Agility</x:v>
      </x:c>
      <x:c r="F1162" t="str">
        <x:v>Agility</x:v>
      </x:c>
      <x:c r="G1162" t="n">
        <x:v>4.39</x:v>
      </x:c>
      <x:c r="H1162" t="str">
        <x:v>sec</x:v>
      </x:c>
      <x:c r="I1162" t="str">
        <x:v>lower</x:v>
      </x:c>
    </x:row>
    <x:row r="1163">
      <x:c r="A1163" t="str">
        <x:v>RVX-00049</x:v>
      </x:c>
      <x:c r="B1163" t="n">
        <x:v>2</x:v>
      </x:c>
      <x:c r="C1163" s="15" t="n">
        <x:v>46174</x:v>
      </x:c>
      <x:c r="D1163" t="str">
        <x:v>cmj_depth</x:v>
      </x:c>
      <x:c r="E1163" t="str">
        <x:v>Countermovement Depth</x:v>
      </x:c>
      <x:c r="F1163" t="str">
        <x:v>Movement</x:v>
      </x:c>
      <x:c r="G1163" t="n">
        <x:v>31.5</x:v>
      </x:c>
      <x:c r="H1163" t="str">
        <x:v>cm</x:v>
      </x:c>
      <x:c r="I1163" t="str">
        <x:v>higher</x:v>
      </x:c>
    </x:row>
    <x:row r="1164">
      <x:c r="A1164" t="str">
        <x:v>RVX-00049</x:v>
      </x:c>
      <x:c r="B1164" t="n">
        <x:v>2</x:v>
      </x:c>
      <x:c r="C1164" s="15" t="n">
        <x:v>46174</x:v>
      </x:c>
      <x:c r="D1164" t="str">
        <x:v>peak_force</x:v>
      </x:c>
      <x:c r="E1164" t="str">
        <x:v>Peak Force</x:v>
      </x:c>
      <x:c r="F1164" t="str">
        <x:v>Strength &amp; Power</x:v>
      </x:c>
      <x:c r="G1164" t="n">
        <x:v>1847</x:v>
      </x:c>
      <x:c r="H1164" t="str">
        <x:v>N</x:v>
      </x:c>
      <x:c r="I1164" t="str">
        <x:v>higher</x:v>
      </x:c>
    </x:row>
    <x:row r="1165">
      <x:c r="A1165" t="str">
        <x:v>RVX-00049</x:v>
      </x:c>
      <x:c r="B1165" t="n">
        <x:v>2</x:v>
      </x:c>
      <x:c r="C1165" s="15" t="n">
        <x:v>46174</x:v>
      </x:c>
      <x:c r="D1165" t="str">
        <x:v>impulse</x:v>
      </x:c>
      <x:c r="E1165" t="str">
        <x:v>Impulse-Momentum</x:v>
      </x:c>
      <x:c r="F1165" t="str">
        <x:v>Strength &amp; Power</x:v>
      </x:c>
      <x:c r="G1165" t="n">
        <x:v>226.9</x:v>
      </x:c>
      <x:c r="H1165" t="str">
        <x:v>Ns</x:v>
      </x:c>
      <x:c r="I1165" t="str">
        <x:v>higher</x:v>
      </x:c>
    </x:row>
    <x:row r="1166">
      <x:c r="A1166" t="str">
        <x:v>RVX-00049</x:v>
      </x:c>
      <x:c r="B1166" t="n">
        <x:v>3</x:v>
      </x:c>
      <x:c r="C1166" s="15" t="n">
        <x:v>46202</x:v>
      </x:c>
      <x:c r="D1166" t="str">
        <x:v>sprint_5m</x:v>
      </x:c>
      <x:c r="E1166" t="str">
        <x:v>5m Sprint</x:v>
      </x:c>
      <x:c r="F1166" t="str">
        <x:v>Acceleration</x:v>
      </x:c>
      <x:c r="G1166" t="n">
        <x:v>0.98</x:v>
      </x:c>
      <x:c r="H1166" t="str">
        <x:v>sec</x:v>
      </x:c>
      <x:c r="I1166" t="str">
        <x:v>lower</x:v>
      </x:c>
    </x:row>
    <x:row r="1167">
      <x:c r="A1167" t="str">
        <x:v>RVX-00049</x:v>
      </x:c>
      <x:c r="B1167" t="n">
        <x:v>3</x:v>
      </x:c>
      <x:c r="C1167" s="15" t="n">
        <x:v>46202</x:v>
      </x:c>
      <x:c r="D1167" t="str">
        <x:v>sprint_10m</x:v>
      </x:c>
      <x:c r="E1167" t="str">
        <x:v>10m Sprint</x:v>
      </x:c>
      <x:c r="F1167" t="str">
        <x:v>Acceleration</x:v>
      </x:c>
      <x:c r="G1167" t="n">
        <x:v>1.61</x:v>
      </x:c>
      <x:c r="H1167" t="str">
        <x:v>sec</x:v>
      </x:c>
      <x:c r="I1167" t="str">
        <x:v>lower</x:v>
      </x:c>
    </x:row>
    <x:row r="1168">
      <x:c r="A1168" t="str">
        <x:v>RVX-00049</x:v>
      </x:c>
      <x:c r="B1168" t="n">
        <x:v>3</x:v>
      </x:c>
      <x:c r="C1168" s="15" t="n">
        <x:v>46202</x:v>
      </x:c>
      <x:c r="D1168" t="str">
        <x:v>pro_agility</x:v>
      </x:c>
      <x:c r="E1168" t="str">
        <x:v>5-10-5 Pro Agility</x:v>
      </x:c>
      <x:c r="F1168" t="str">
        <x:v>Agility</x:v>
      </x:c>
      <x:c r="G1168" t="n">
        <x:v>4.33</x:v>
      </x:c>
      <x:c r="H1168" t="str">
        <x:v>sec</x:v>
      </x:c>
      <x:c r="I1168" t="str">
        <x:v>lower</x:v>
      </x:c>
    </x:row>
    <x:row r="1169">
      <x:c r="A1169" t="str">
        <x:v>RVX-00049</x:v>
      </x:c>
      <x:c r="B1169" t="n">
        <x:v>3</x:v>
      </x:c>
      <x:c r="C1169" s="15" t="n">
        <x:v>46202</x:v>
      </x:c>
      <x:c r="D1169" t="str">
        <x:v>cmj_depth</x:v>
      </x:c>
      <x:c r="E1169" t="str">
        <x:v>Countermovement Depth</x:v>
      </x:c>
      <x:c r="F1169" t="str">
        <x:v>Movement</x:v>
      </x:c>
      <x:c r="G1169" t="n">
        <x:v>32.1</x:v>
      </x:c>
      <x:c r="H1169" t="str">
        <x:v>cm</x:v>
      </x:c>
      <x:c r="I1169" t="str">
        <x:v>higher</x:v>
      </x:c>
    </x:row>
    <x:row r="1170">
      <x:c r="A1170" t="str">
        <x:v>RVX-00049</x:v>
      </x:c>
      <x:c r="B1170" t="n">
        <x:v>3</x:v>
      </x:c>
      <x:c r="C1170" s="15" t="n">
        <x:v>46202</x:v>
      </x:c>
      <x:c r="D1170" t="str">
        <x:v>peak_force</x:v>
      </x:c>
      <x:c r="E1170" t="str">
        <x:v>Peak Force</x:v>
      </x:c>
      <x:c r="F1170" t="str">
        <x:v>Strength &amp; Power</x:v>
      </x:c>
      <x:c r="G1170" t="n">
        <x:v>1867</x:v>
      </x:c>
      <x:c r="H1170" t="str">
        <x:v>N</x:v>
      </x:c>
      <x:c r="I1170" t="str">
        <x:v>higher</x:v>
      </x:c>
    </x:row>
    <x:row r="1171">
      <x:c r="A1171" t="str">
        <x:v>RVX-00049</x:v>
      </x:c>
      <x:c r="B1171" t="n">
        <x:v>3</x:v>
      </x:c>
      <x:c r="C1171" s="15" t="n">
        <x:v>46202</x:v>
      </x:c>
      <x:c r="D1171" t="str">
        <x:v>impulse</x:v>
      </x:c>
      <x:c r="E1171" t="str">
        <x:v>Impulse-Momentum</x:v>
      </x:c>
      <x:c r="F1171" t="str">
        <x:v>Strength &amp; Power</x:v>
      </x:c>
      <x:c r="G1171" t="n">
        <x:v>232.6</x:v>
      </x:c>
      <x:c r="H1171" t="str">
        <x:v>Ns</x:v>
      </x:c>
      <x:c r="I1171" t="str">
        <x:v>higher</x:v>
      </x:c>
    </x:row>
    <x:row r="1172">
      <x:c r="A1172" t="str">
        <x:v>RVX-00049</x:v>
      </x:c>
      <x:c r="B1172" t="n">
        <x:v>4</x:v>
      </x:c>
      <x:c r="C1172" s="15" t="n">
        <x:v>46230</x:v>
      </x:c>
      <x:c r="D1172" t="str">
        <x:v>sprint_5m</x:v>
      </x:c>
      <x:c r="E1172" t="str">
        <x:v>5m Sprint</x:v>
      </x:c>
      <x:c r="F1172" t="str">
        <x:v>Acceleration</x:v>
      </x:c>
      <x:c r="G1172" t="n">
        <x:v>0.96</x:v>
      </x:c>
      <x:c r="H1172" t="str">
        <x:v>sec</x:v>
      </x:c>
      <x:c r="I1172" t="str">
        <x:v>lower</x:v>
      </x:c>
    </x:row>
    <x:row r="1173">
      <x:c r="A1173" t="str">
        <x:v>RVX-00049</x:v>
      </x:c>
      <x:c r="B1173" t="n">
        <x:v>4</x:v>
      </x:c>
      <x:c r="C1173" s="15" t="n">
        <x:v>46230</x:v>
      </x:c>
      <x:c r="D1173" t="str">
        <x:v>sprint_10m</x:v>
      </x:c>
      <x:c r="E1173" t="str">
        <x:v>10m Sprint</x:v>
      </x:c>
      <x:c r="F1173" t="str">
        <x:v>Acceleration</x:v>
      </x:c>
      <x:c r="G1173" t="n">
        <x:v>1.6</x:v>
      </x:c>
      <x:c r="H1173" t="str">
        <x:v>sec</x:v>
      </x:c>
      <x:c r="I1173" t="str">
        <x:v>lower</x:v>
      </x:c>
    </x:row>
    <x:row r="1174">
      <x:c r="A1174" t="str">
        <x:v>RVX-00049</x:v>
      </x:c>
      <x:c r="B1174" t="n">
        <x:v>4</x:v>
      </x:c>
      <x:c r="C1174" s="15" t="n">
        <x:v>46230</x:v>
      </x:c>
      <x:c r="D1174" t="str">
        <x:v>pro_agility</x:v>
      </x:c>
      <x:c r="E1174" t="str">
        <x:v>5-10-5 Pro Agility</x:v>
      </x:c>
      <x:c r="F1174" t="str">
        <x:v>Agility</x:v>
      </x:c>
      <x:c r="G1174" t="n">
        <x:v>4.12</x:v>
      </x:c>
      <x:c r="H1174" t="str">
        <x:v>sec</x:v>
      </x:c>
      <x:c r="I1174" t="str">
        <x:v>lower</x:v>
      </x:c>
    </x:row>
    <x:row r="1175">
      <x:c r="A1175" t="str">
        <x:v>RVX-00049</x:v>
      </x:c>
      <x:c r="B1175" t="n">
        <x:v>4</x:v>
      </x:c>
      <x:c r="C1175" s="15" t="n">
        <x:v>46230</x:v>
      </x:c>
      <x:c r="D1175" t="str">
        <x:v>cmj_depth</x:v>
      </x:c>
      <x:c r="E1175" t="str">
        <x:v>Countermovement Depth</x:v>
      </x:c>
      <x:c r="F1175" t="str">
        <x:v>Movement</x:v>
      </x:c>
      <x:c r="G1175" t="n">
        <x:v>32.5</x:v>
      </x:c>
      <x:c r="H1175" t="str">
        <x:v>cm</x:v>
      </x:c>
      <x:c r="I1175" t="str">
        <x:v>higher</x:v>
      </x:c>
    </x:row>
    <x:row r="1176">
      <x:c r="A1176" t="str">
        <x:v>RVX-00049</x:v>
      </x:c>
      <x:c r="B1176" t="n">
        <x:v>4</x:v>
      </x:c>
      <x:c r="C1176" s="15" t="n">
        <x:v>46230</x:v>
      </x:c>
      <x:c r="D1176" t="str">
        <x:v>peak_force</x:v>
      </x:c>
      <x:c r="E1176" t="str">
        <x:v>Peak Force</x:v>
      </x:c>
      <x:c r="F1176" t="str">
        <x:v>Strength &amp; Power</x:v>
      </x:c>
      <x:c r="G1176" t="n">
        <x:v>1889</x:v>
      </x:c>
      <x:c r="H1176" t="str">
        <x:v>N</x:v>
      </x:c>
      <x:c r="I1176" t="str">
        <x:v>higher</x:v>
      </x:c>
    </x:row>
    <x:row r="1177">
      <x:c r="A1177" t="str">
        <x:v>RVX-00049</x:v>
      </x:c>
      <x:c r="B1177" t="n">
        <x:v>4</x:v>
      </x:c>
      <x:c r="C1177" s="15" t="n">
        <x:v>46230</x:v>
      </x:c>
      <x:c r="D1177" t="str">
        <x:v>impulse</x:v>
      </x:c>
      <x:c r="E1177" t="str">
        <x:v>Impulse-Momentum</x:v>
      </x:c>
      <x:c r="F1177" t="str">
        <x:v>Strength &amp; Power</x:v>
      </x:c>
      <x:c r="G1177" t="n">
        <x:v>236.3</x:v>
      </x:c>
      <x:c r="H1177" t="str">
        <x:v>Ns</x:v>
      </x:c>
      <x:c r="I1177" t="str">
        <x:v>higher</x:v>
      </x:c>
    </x:row>
    <x:row r="1178">
      <x:c r="A1178" t="str">
        <x:v>RVX-00050</x:v>
      </x:c>
      <x:c r="B1178" t="n">
        <x:v>1</x:v>
      </x:c>
      <x:c r="C1178" s="15" t="n">
        <x:v>46146</x:v>
      </x:c>
      <x:c r="D1178" t="str">
        <x:v>sprint_5m</x:v>
      </x:c>
      <x:c r="E1178" t="str">
        <x:v>5m Sprint</x:v>
      </x:c>
      <x:c r="F1178" t="str">
        <x:v>Acceleration</x:v>
      </x:c>
      <x:c r="G1178" t="n">
        <x:v>1.07</x:v>
      </x:c>
      <x:c r="H1178" t="str">
        <x:v>sec</x:v>
      </x:c>
      <x:c r="I1178" t="str">
        <x:v>lower</x:v>
      </x:c>
    </x:row>
    <x:row r="1179">
      <x:c r="A1179" t="str">
        <x:v>RVX-00050</x:v>
      </x:c>
      <x:c r="B1179" t="n">
        <x:v>1</x:v>
      </x:c>
      <x:c r="C1179" s="15" t="n">
        <x:v>46146</x:v>
      </x:c>
      <x:c r="D1179" t="str">
        <x:v>sprint_10m</x:v>
      </x:c>
      <x:c r="E1179" t="str">
        <x:v>10m Sprint</x:v>
      </x:c>
      <x:c r="F1179" t="str">
        <x:v>Acceleration</x:v>
      </x:c>
      <x:c r="G1179" t="n">
        <x:v>1.81</x:v>
      </x:c>
      <x:c r="H1179" t="str">
        <x:v>sec</x:v>
      </x:c>
      <x:c r="I1179" t="str">
        <x:v>lower</x:v>
      </x:c>
    </x:row>
    <x:row r="1180">
      <x:c r="A1180" t="str">
        <x:v>RVX-00050</x:v>
      </x:c>
      <x:c r="B1180" t="n">
        <x:v>1</x:v>
      </x:c>
      <x:c r="C1180" s="15" t="n">
        <x:v>46146</x:v>
      </x:c>
      <x:c r="D1180" t="str">
        <x:v>pro_agility</x:v>
      </x:c>
      <x:c r="E1180" t="str">
        <x:v>5-10-5 Pro Agility</x:v>
      </x:c>
      <x:c r="F1180" t="str">
        <x:v>Agility</x:v>
      </x:c>
      <x:c r="G1180" t="n">
        <x:v>4.75</x:v>
      </x:c>
      <x:c r="H1180" t="str">
        <x:v>sec</x:v>
      </x:c>
      <x:c r="I1180" t="str">
        <x:v>lower</x:v>
      </x:c>
    </x:row>
    <x:row r="1181">
      <x:c r="A1181" t="str">
        <x:v>RVX-00050</x:v>
      </x:c>
      <x:c r="B1181" t="n">
        <x:v>1</x:v>
      </x:c>
      <x:c r="C1181" s="15" t="n">
        <x:v>46146</x:v>
      </x:c>
      <x:c r="D1181" t="str">
        <x:v>cmj_depth</x:v>
      </x:c>
      <x:c r="E1181" t="str">
        <x:v>Countermovement Depth</x:v>
      </x:c>
      <x:c r="F1181" t="str">
        <x:v>Movement</x:v>
      </x:c>
      <x:c r="G1181" t="n">
        <x:v>30.6</x:v>
      </x:c>
      <x:c r="H1181" t="str">
        <x:v>cm</x:v>
      </x:c>
      <x:c r="I1181" t="str">
        <x:v>higher</x:v>
      </x:c>
    </x:row>
    <x:row r="1182">
      <x:c r="A1182" t="str">
        <x:v>RVX-00050</x:v>
      </x:c>
      <x:c r="B1182" t="n">
        <x:v>1</x:v>
      </x:c>
      <x:c r="C1182" s="15" t="n">
        <x:v>46146</x:v>
      </x:c>
      <x:c r="D1182" t="str">
        <x:v>peak_force</x:v>
      </x:c>
      <x:c r="E1182" t="str">
        <x:v>Peak Force</x:v>
      </x:c>
      <x:c r="F1182" t="str">
        <x:v>Strength &amp; Power</x:v>
      </x:c>
      <x:c r="G1182" t="n">
        <x:v>1801</x:v>
      </x:c>
      <x:c r="H1182" t="str">
        <x:v>N</x:v>
      </x:c>
      <x:c r="I1182" t="str">
        <x:v>higher</x:v>
      </x:c>
    </x:row>
    <x:row r="1183">
      <x:c r="A1183" t="str">
        <x:v>RVX-00050</x:v>
      </x:c>
      <x:c r="B1183" t="n">
        <x:v>1</x:v>
      </x:c>
      <x:c r="C1183" s="15" t="n">
        <x:v>46146</x:v>
      </x:c>
      <x:c r="D1183" t="str">
        <x:v>impulse</x:v>
      </x:c>
      <x:c r="E1183" t="str">
        <x:v>Impulse-Momentum</x:v>
      </x:c>
      <x:c r="F1183" t="str">
        <x:v>Strength &amp; Power</x:v>
      </x:c>
      <x:c r="G1183" t="n">
        <x:v>226.8</x:v>
      </x:c>
      <x:c r="H1183" t="str">
        <x:v>Ns</x:v>
      </x:c>
      <x:c r="I1183" t="str">
        <x:v>higher</x:v>
      </x:c>
    </x:row>
    <x:row r="1184">
      <x:c r="A1184" t="str">
        <x:v>RVX-00050</x:v>
      </x:c>
      <x:c r="B1184" t="n">
        <x:v>2</x:v>
      </x:c>
      <x:c r="C1184" s="15" t="n">
        <x:v>46174</x:v>
      </x:c>
      <x:c r="D1184" t="str">
        <x:v>sprint_5m</x:v>
      </x:c>
      <x:c r="E1184" t="str">
        <x:v>5m Sprint</x:v>
      </x:c>
      <x:c r="F1184" t="str">
        <x:v>Acceleration</x:v>
      </x:c>
      <x:c r="G1184" t="n">
        <x:v>1.06</x:v>
      </x:c>
      <x:c r="H1184" t="str">
        <x:v>sec</x:v>
      </x:c>
      <x:c r="I1184" t="str">
        <x:v>lower</x:v>
      </x:c>
    </x:row>
    <x:row r="1185">
      <x:c r="A1185" t="str">
        <x:v>RVX-00050</x:v>
      </x:c>
      <x:c r="B1185" t="n">
        <x:v>2</x:v>
      </x:c>
      <x:c r="C1185" s="15" t="n">
        <x:v>46174</x:v>
      </x:c>
      <x:c r="D1185" t="str">
        <x:v>sprint_10m</x:v>
      </x:c>
      <x:c r="E1185" t="str">
        <x:v>10m Sprint</x:v>
      </x:c>
      <x:c r="F1185" t="str">
        <x:v>Acceleration</x:v>
      </x:c>
      <x:c r="G1185" t="n">
        <x:v>1.8</x:v>
      </x:c>
      <x:c r="H1185" t="str">
        <x:v>sec</x:v>
      </x:c>
      <x:c r="I1185" t="str">
        <x:v>lower</x:v>
      </x:c>
    </x:row>
    <x:row r="1186">
      <x:c r="A1186" t="str">
        <x:v>RVX-00050</x:v>
      </x:c>
      <x:c r="B1186" t="n">
        <x:v>2</x:v>
      </x:c>
      <x:c r="C1186" s="15" t="n">
        <x:v>46174</x:v>
      </x:c>
      <x:c r="D1186" t="str">
        <x:v>pro_agility</x:v>
      </x:c>
      <x:c r="E1186" t="str">
        <x:v>5-10-5 Pro Agility</x:v>
      </x:c>
      <x:c r="F1186" t="str">
        <x:v>Agility</x:v>
      </x:c>
      <x:c r="G1186" t="n">
        <x:v>4.53</x:v>
      </x:c>
      <x:c r="H1186" t="str">
        <x:v>sec</x:v>
      </x:c>
      <x:c r="I1186" t="str">
        <x:v>lower</x:v>
      </x:c>
    </x:row>
    <x:row r="1187">
      <x:c r="A1187" t="str">
        <x:v>RVX-00050</x:v>
      </x:c>
      <x:c r="B1187" t="n">
        <x:v>2</x:v>
      </x:c>
      <x:c r="C1187" s="15" t="n">
        <x:v>46174</x:v>
      </x:c>
      <x:c r="D1187" t="str">
        <x:v>cmj_depth</x:v>
      </x:c>
      <x:c r="E1187" t="str">
        <x:v>Countermovement Depth</x:v>
      </x:c>
      <x:c r="F1187" t="str">
        <x:v>Movement</x:v>
      </x:c>
      <x:c r="G1187" t="n">
        <x:v>32</x:v>
      </x:c>
      <x:c r="H1187" t="str">
        <x:v>cm</x:v>
      </x:c>
      <x:c r="I1187" t="str">
        <x:v>higher</x:v>
      </x:c>
    </x:row>
    <x:row r="1188">
      <x:c r="A1188" t="str">
        <x:v>RVX-00050</x:v>
      </x:c>
      <x:c r="B1188" t="n">
        <x:v>2</x:v>
      </x:c>
      <x:c r="C1188" s="15" t="n">
        <x:v>46174</x:v>
      </x:c>
      <x:c r="D1188" t="str">
        <x:v>peak_force</x:v>
      </x:c>
      <x:c r="E1188" t="str">
        <x:v>Peak Force</x:v>
      </x:c>
      <x:c r="F1188" t="str">
        <x:v>Strength &amp; Power</x:v>
      </x:c>
      <x:c r="G1188" t="n">
        <x:v>1892</x:v>
      </x:c>
      <x:c r="H1188" t="str">
        <x:v>N</x:v>
      </x:c>
      <x:c r="I1188" t="str">
        <x:v>higher</x:v>
      </x:c>
    </x:row>
    <x:row r="1189">
      <x:c r="A1189" t="str">
        <x:v>RVX-00050</x:v>
      </x:c>
      <x:c r="B1189" t="n">
        <x:v>2</x:v>
      </x:c>
      <x:c r="C1189" s="15" t="n">
        <x:v>46174</x:v>
      </x:c>
      <x:c r="D1189" t="str">
        <x:v>impulse</x:v>
      </x:c>
      <x:c r="E1189" t="str">
        <x:v>Impulse-Momentum</x:v>
      </x:c>
      <x:c r="F1189" t="str">
        <x:v>Strength &amp; Power</x:v>
      </x:c>
      <x:c r="G1189" t="n">
        <x:v>224.9</x:v>
      </x:c>
      <x:c r="H1189" t="str">
        <x:v>Ns</x:v>
      </x:c>
      <x:c r="I1189" t="str">
        <x:v>higher</x:v>
      </x:c>
    </x:row>
    <x:row r="1190">
      <x:c r="A1190" t="str">
        <x:v>RVX-00050</x:v>
      </x:c>
      <x:c r="B1190" t="n">
        <x:v>3</x:v>
      </x:c>
      <x:c r="C1190" s="15" t="n">
        <x:v>46202</x:v>
      </x:c>
      <x:c r="D1190" t="str">
        <x:v>sprint_5m</x:v>
      </x:c>
      <x:c r="E1190" t="str">
        <x:v>5m Sprint</x:v>
      </x:c>
      <x:c r="F1190" t="str">
        <x:v>Acceleration</x:v>
      </x:c>
      <x:c r="G1190" t="n">
        <x:v>1.07</x:v>
      </x:c>
      <x:c r="H1190" t="str">
        <x:v>sec</x:v>
      </x:c>
      <x:c r="I1190" t="str">
        <x:v>lower</x:v>
      </x:c>
    </x:row>
    <x:row r="1191">
      <x:c r="A1191" t="str">
        <x:v>RVX-00050</x:v>
      </x:c>
      <x:c r="B1191" t="n">
        <x:v>3</x:v>
      </x:c>
      <x:c r="C1191" s="15" t="n">
        <x:v>46202</x:v>
      </x:c>
      <x:c r="D1191" t="str">
        <x:v>sprint_10m</x:v>
      </x:c>
      <x:c r="E1191" t="str">
        <x:v>10m Sprint</x:v>
      </x:c>
      <x:c r="F1191" t="str">
        <x:v>Acceleration</x:v>
      </x:c>
      <x:c r="G1191" t="n">
        <x:v>1.78</x:v>
      </x:c>
      <x:c r="H1191" t="str">
        <x:v>sec</x:v>
      </x:c>
      <x:c r="I1191" t="str">
        <x:v>lower</x:v>
      </x:c>
    </x:row>
    <x:row r="1192">
      <x:c r="A1192" t="str">
        <x:v>RVX-00050</x:v>
      </x:c>
      <x:c r="B1192" t="n">
        <x:v>3</x:v>
      </x:c>
      <x:c r="C1192" s="15" t="n">
        <x:v>46202</x:v>
      </x:c>
      <x:c r="D1192" t="str">
        <x:v>pro_agility</x:v>
      </x:c>
      <x:c r="E1192" t="str">
        <x:v>5-10-5 Pro Agility</x:v>
      </x:c>
      <x:c r="F1192" t="str">
        <x:v>Agility</x:v>
      </x:c>
      <x:c r="G1192" t="n">
        <x:v>4.63</x:v>
      </x:c>
      <x:c r="H1192" t="str">
        <x:v>sec</x:v>
      </x:c>
      <x:c r="I1192" t="str">
        <x:v>lower</x:v>
      </x:c>
    </x:row>
    <x:row r="1193">
      <x:c r="A1193" t="str">
        <x:v>RVX-00050</x:v>
      </x:c>
      <x:c r="B1193" t="n">
        <x:v>3</x:v>
      </x:c>
      <x:c r="C1193" s="15" t="n">
        <x:v>46202</x:v>
      </x:c>
      <x:c r="D1193" t="str">
        <x:v>cmj_depth</x:v>
      </x:c>
      <x:c r="E1193" t="str">
        <x:v>Countermovement Depth</x:v>
      </x:c>
      <x:c r="F1193" t="str">
        <x:v>Movement</x:v>
      </x:c>
      <x:c r="G1193" t="n">
        <x:v>31.7</x:v>
      </x:c>
      <x:c r="H1193" t="str">
        <x:v>cm</x:v>
      </x:c>
      <x:c r="I1193" t="str">
        <x:v>higher</x:v>
      </x:c>
    </x:row>
    <x:row r="1194">
      <x:c r="A1194" t="str">
        <x:v>RVX-00050</x:v>
      </x:c>
      <x:c r="B1194" t="n">
        <x:v>3</x:v>
      </x:c>
      <x:c r="C1194" s="15" t="n">
        <x:v>46202</x:v>
      </x:c>
      <x:c r="D1194" t="str">
        <x:v>peak_force</x:v>
      </x:c>
      <x:c r="E1194" t="str">
        <x:v>Peak Force</x:v>
      </x:c>
      <x:c r="F1194" t="str">
        <x:v>Strength &amp; Power</x:v>
      </x:c>
      <x:c r="G1194" t="n">
        <x:v>1913</x:v>
      </x:c>
      <x:c r="H1194" t="str">
        <x:v>N</x:v>
      </x:c>
      <x:c r="I1194" t="str">
        <x:v>higher</x:v>
      </x:c>
    </x:row>
    <x:row r="1195">
      <x:c r="A1195" t="str">
        <x:v>RVX-00050</x:v>
      </x:c>
      <x:c r="B1195" t="n">
        <x:v>3</x:v>
      </x:c>
      <x:c r="C1195" s="15" t="n">
        <x:v>46202</x:v>
      </x:c>
      <x:c r="D1195" t="str">
        <x:v>impulse</x:v>
      </x:c>
      <x:c r="E1195" t="str">
        <x:v>Impulse-Momentum</x:v>
      </x:c>
      <x:c r="F1195" t="str">
        <x:v>Strength &amp; Power</x:v>
      </x:c>
      <x:c r="G1195" t="n">
        <x:v>236.7</x:v>
      </x:c>
      <x:c r="H1195" t="str">
        <x:v>Ns</x:v>
      </x:c>
      <x:c r="I1195" t="str">
        <x:v>higher</x:v>
      </x:c>
    </x:row>
    <x:row r="1196">
      <x:c r="A1196" t="str">
        <x:v>RVX-00050</x:v>
      </x:c>
      <x:c r="B1196" t="n">
        <x:v>4</x:v>
      </x:c>
      <x:c r="C1196" s="15" t="n">
        <x:v>46230</x:v>
      </x:c>
      <x:c r="D1196" t="str">
        <x:v>sprint_5m</x:v>
      </x:c>
      <x:c r="E1196" t="str">
        <x:v>5m Sprint</x:v>
      </x:c>
      <x:c r="F1196" t="str">
        <x:v>Acceleration</x:v>
      </x:c>
      <x:c r="G1196" t="n">
        <x:v>1.04</x:v>
      </x:c>
      <x:c r="H1196" t="str">
        <x:v>sec</x:v>
      </x:c>
      <x:c r="I1196" t="str">
        <x:v>lower</x:v>
      </x:c>
    </x:row>
    <x:row r="1197">
      <x:c r="A1197" t="str">
        <x:v>RVX-00050</x:v>
      </x:c>
      <x:c r="B1197" t="n">
        <x:v>4</x:v>
      </x:c>
      <x:c r="C1197" s="15" t="n">
        <x:v>46230</x:v>
      </x:c>
      <x:c r="D1197" t="str">
        <x:v>sprint_10m</x:v>
      </x:c>
      <x:c r="E1197" t="str">
        <x:v>10m Sprint</x:v>
      </x:c>
      <x:c r="F1197" t="str">
        <x:v>Acceleration</x:v>
      </x:c>
      <x:c r="G1197" t="n">
        <x:v>1.7</x:v>
      </x:c>
      <x:c r="H1197" t="str">
        <x:v>sec</x:v>
      </x:c>
      <x:c r="I1197" t="str">
        <x:v>lower</x:v>
      </x:c>
    </x:row>
    <x:row r="1198">
      <x:c r="A1198" t="str">
        <x:v>RVX-00050</x:v>
      </x:c>
      <x:c r="B1198" t="n">
        <x:v>4</x:v>
      </x:c>
      <x:c r="C1198" s="15" t="n">
        <x:v>46230</x:v>
      </x:c>
      <x:c r="D1198" t="str">
        <x:v>pro_agility</x:v>
      </x:c>
      <x:c r="E1198" t="str">
        <x:v>5-10-5 Pro Agility</x:v>
      </x:c>
      <x:c r="F1198" t="str">
        <x:v>Agility</x:v>
      </x:c>
      <x:c r="G1198" t="n">
        <x:v>4.44</x:v>
      </x:c>
      <x:c r="H1198" t="str">
        <x:v>sec</x:v>
      </x:c>
      <x:c r="I1198" t="str">
        <x:v>lower</x:v>
      </x:c>
    </x:row>
    <x:row r="1199">
      <x:c r="A1199" t="str">
        <x:v>RVX-00050</x:v>
      </x:c>
      <x:c r="B1199" t="n">
        <x:v>4</x:v>
      </x:c>
      <x:c r="C1199" s="15" t="n">
        <x:v>46230</x:v>
      </x:c>
      <x:c r="D1199" t="str">
        <x:v>cmj_depth</x:v>
      </x:c>
      <x:c r="E1199" t="str">
        <x:v>Countermovement Depth</x:v>
      </x:c>
      <x:c r="F1199" t="str">
        <x:v>Movement</x:v>
      </x:c>
      <x:c r="G1199" t="n">
        <x:v>33.5</x:v>
      </x:c>
      <x:c r="H1199" t="str">
        <x:v>cm</x:v>
      </x:c>
      <x:c r="I1199" t="str">
        <x:v>higher</x:v>
      </x:c>
    </x:row>
    <x:row r="1200">
      <x:c r="A1200" t="str">
        <x:v>RVX-00050</x:v>
      </x:c>
      <x:c r="B1200" t="n">
        <x:v>4</x:v>
      </x:c>
      <x:c r="C1200" s="15" t="n">
        <x:v>46230</x:v>
      </x:c>
      <x:c r="D1200" t="str">
        <x:v>peak_force</x:v>
      </x:c>
      <x:c r="E1200" t="str">
        <x:v>Peak Force</x:v>
      </x:c>
      <x:c r="F1200" t="str">
        <x:v>Strength &amp; Power</x:v>
      </x:c>
      <x:c r="G1200" t="n">
        <x:v>1922</x:v>
      </x:c>
      <x:c r="H1200" t="str">
        <x:v>N</x:v>
      </x:c>
      <x:c r="I1200" t="str">
        <x:v>higher</x:v>
      </x:c>
    </x:row>
    <x:row r="1201">
      <x:c r="A1201" t="str">
        <x:v>RVX-00050</x:v>
      </x:c>
      <x:c r="B1201" t="n">
        <x:v>4</x:v>
      </x:c>
      <x:c r="C1201" s="15" t="n">
        <x:v>46230</x:v>
      </x:c>
      <x:c r="D1201" t="str">
        <x:v>impulse</x:v>
      </x:c>
      <x:c r="E1201" t="str">
        <x:v>Impulse-Momentum</x:v>
      </x:c>
      <x:c r="F1201" t="str">
        <x:v>Strength &amp; Power</x:v>
      </x:c>
      <x:c r="G1201" t="n">
        <x:v>235</x:v>
      </x:c>
      <x:c r="H1201" t="str">
        <x:v>Ns</x:v>
      </x:c>
      <x:c r="I1201" t="str">
        <x:v>higher</x:v>
      </x:c>
    </x:row>
    <x:row r="1202">
      <x:c r="C1202" s="15"/>
    </x:row>
    <x:row r="1203">
      <x:c r="C1203" s="15"/>
    </x:row>
    <x:row r="1204">
      <x:c r="C1204" s="15"/>
    </x:row>
    <x:row r="1205">
      <x:c r="C1205" s="15"/>
    </x:row>
    <x:row r="1206">
      <x:c r="C1206" s="15"/>
    </x:row>
    <x:row r="1207">
      <x:c r="C1207" s="15"/>
    </x:row>
    <x:row r="1208">
      <x:c r="C1208" s="15"/>
    </x:row>
    <x:row r="1209">
      <x:c r="C1209" s="15"/>
    </x:row>
    <x:row r="1210">
      <x:c r="C1210" s="15"/>
    </x:row>
    <x:row r="1211">
      <x:c r="C1211" s="15"/>
    </x:row>
    <x:row r="1212">
      <x:c r="C1212" s="15"/>
    </x:row>
    <x:row r="1213">
      <x:c r="C1213" s="15"/>
    </x:row>
    <x:row r="1214">
      <x:c r="C1214" s="15"/>
    </x:row>
    <x:row r="1215">
      <x:c r="C1215" s="15"/>
    </x:row>
    <x:row r="1216">
      <x:c r="C1216" s="15"/>
    </x:row>
    <x:row r="1217">
      <x:c r="C1217" s="15"/>
    </x:row>
    <x:row r="1218">
      <x:c r="C1218" s="15"/>
    </x:row>
    <x:row r="1219">
      <x:c r="C1219" s="15"/>
    </x:row>
    <x:row r="1220">
      <x:c r="C1220" s="15"/>
    </x:row>
    <x:row r="1221">
      <x:c r="C1221" s="15"/>
    </x:row>
    <x:row r="1222">
      <x:c r="C1222" s="15"/>
    </x:row>
    <x:row r="1223">
      <x:c r="C1223" s="15"/>
    </x:row>
    <x:row r="1224">
      <x:c r="C1224" s="15"/>
    </x:row>
    <x:row r="1225">
      <x:c r="C1225" s="15"/>
    </x:row>
    <x:row r="1226">
      <x:c r="C1226" s="15"/>
    </x:row>
    <x:row r="1227">
      <x:c r="C1227" s="15"/>
    </x:row>
    <x:row r="1228">
      <x:c r="C1228" s="15"/>
    </x:row>
    <x:row r="1229">
      <x:c r="C1229" s="15"/>
    </x:row>
    <x:row r="1230">
      <x:c r="C1230" s="15"/>
    </x:row>
    <x:row r="1231">
      <x:c r="C1231" s="15"/>
    </x:row>
    <x:row r="1232">
      <x:c r="C1232" s="15"/>
    </x:row>
    <x:row r="1233">
      <x:c r="C1233" s="15"/>
    </x:row>
    <x:row r="1234">
      <x:c r="C1234" s="15"/>
    </x:row>
    <x:row r="1235">
      <x:c r="C1235" s="15"/>
    </x:row>
    <x:row r="1236">
      <x:c r="C1236" s="15"/>
    </x:row>
    <x:row r="1237">
      <x:c r="C1237" s="15"/>
    </x:row>
    <x:row r="1238">
      <x:c r="C1238" s="15"/>
    </x:row>
    <x:row r="1239">
      <x:c r="C1239" s="15"/>
    </x:row>
    <x:row r="1240">
      <x:c r="C1240" s="15"/>
    </x:row>
    <x:row r="1241">
      <x:c r="C1241" s="15"/>
    </x:row>
    <x:row r="1242">
      <x:c r="C1242" s="15"/>
    </x:row>
    <x:row r="1243">
      <x:c r="C1243" s="15"/>
    </x:row>
    <x:row r="1244">
      <x:c r="C1244" s="15"/>
    </x:row>
    <x:row r="1245">
      <x:c r="C1245" s="15"/>
    </x:row>
    <x:row r="1246">
      <x:c r="C1246" s="15"/>
    </x:row>
    <x:row r="1247">
      <x:c r="C1247" s="15"/>
    </x:row>
    <x:row r="1248">
      <x:c r="C1248" s="15"/>
    </x:row>
    <x:row r="1249">
      <x:c r="C1249" s="15"/>
    </x:row>
    <x:row r="1250">
      <x:c r="C1250" s="15"/>
    </x:row>
    <x:row r="1251">
      <x:c r="C1251" s="15"/>
    </x:row>
    <x:row r="1252">
      <x:c r="C1252" s="15"/>
    </x:row>
    <x:row r="1253">
      <x:c r="C1253" s="15"/>
    </x:row>
    <x:row r="1254">
      <x:c r="C1254" s="15"/>
    </x:row>
    <x:row r="1255">
      <x:c r="C1255" s="15"/>
    </x:row>
    <x:row r="1256">
      <x:c r="C1256" s="15"/>
    </x:row>
    <x:row r="1257">
      <x:c r="C1257" s="15"/>
    </x:row>
    <x:row r="1258">
      <x:c r="C1258" s="15"/>
    </x:row>
    <x:row r="1259">
      <x:c r="C1259" s="15"/>
    </x:row>
    <x:row r="1260">
      <x:c r="C1260" s="15"/>
    </x:row>
    <x:row r="1261">
      <x:c r="C1261" s="15"/>
    </x:row>
    <x:row r="1262">
      <x:c r="C1262" s="15"/>
    </x:row>
    <x:row r="1263">
      <x:c r="C1263" s="15"/>
    </x:row>
    <x:row r="1264">
      <x:c r="C1264" s="15"/>
    </x:row>
    <x:row r="1265">
      <x:c r="C1265" s="15"/>
    </x:row>
    <x:row r="1266">
      <x:c r="C1266" s="15"/>
    </x:row>
    <x:row r="1267">
      <x:c r="C1267" s="15"/>
    </x:row>
    <x:row r="1268">
      <x:c r="C1268" s="15"/>
    </x:row>
    <x:row r="1269">
      <x:c r="C1269" s="15"/>
    </x:row>
    <x:row r="1270">
      <x:c r="C1270" s="15"/>
    </x:row>
    <x:row r="1271">
      <x:c r="C1271" s="15"/>
    </x:row>
    <x:row r="1272">
      <x:c r="C1272" s="15"/>
    </x:row>
    <x:row r="1273">
      <x:c r="C1273" s="15"/>
    </x:row>
    <x:row r="1274">
      <x:c r="C1274" s="15"/>
    </x:row>
    <x:row r="1275">
      <x:c r="C1275" s="15"/>
    </x:row>
    <x:row r="1276">
      <x:c r="C1276" s="15"/>
    </x:row>
    <x:row r="1277">
      <x:c r="C1277" s="15"/>
    </x:row>
    <x:row r="1278">
      <x:c r="C1278" s="15"/>
    </x:row>
    <x:row r="1279">
      <x:c r="C1279" s="15"/>
    </x:row>
    <x:row r="1280">
      <x:c r="C1280" s="15"/>
    </x:row>
    <x:row r="1281">
      <x:c r="C1281" s="15"/>
    </x:row>
    <x:row r="1282">
      <x:c r="C1282" s="15"/>
    </x:row>
    <x:row r="1283">
      <x:c r="C1283" s="15"/>
    </x:row>
    <x:row r="1284">
      <x:c r="C1284" s="15"/>
    </x:row>
    <x:row r="1285">
      <x:c r="C1285" s="15"/>
    </x:row>
    <x:row r="1286">
      <x:c r="C1286" s="15"/>
    </x:row>
    <x:row r="1287">
      <x:c r="C1287" s="15"/>
    </x:row>
    <x:row r="1288">
      <x:c r="C1288" s="15"/>
    </x:row>
    <x:row r="1289">
      <x:c r="C1289" s="15"/>
    </x:row>
    <x:row r="1290">
      <x:c r="C1290" s="15"/>
    </x:row>
    <x:row r="1291">
      <x:c r="C1291" s="15"/>
    </x:row>
    <x:row r="1292">
      <x:c r="C1292" s="15"/>
    </x:row>
    <x:row r="1293">
      <x:c r="C1293" s="15"/>
    </x:row>
    <x:row r="1294">
      <x:c r="C1294" s="15"/>
    </x:row>
    <x:row r="1295">
      <x:c r="C1295" s="15"/>
    </x:row>
    <x:row r="1296">
      <x:c r="C1296" s="15"/>
    </x:row>
    <x:row r="1297">
      <x:c r="C1297" s="15"/>
    </x:row>
    <x:row r="1298">
      <x:c r="C1298" s="15"/>
    </x:row>
    <x:row r="1299">
      <x:c r="C1299" s="15"/>
    </x:row>
    <x:row r="1300">
      <x:c r="C1300" s="15"/>
    </x:row>
    <x:row r="1301">
      <x:c r="C1301" s="15"/>
    </x:row>
    <x:row r="1302">
      <x:c r="C1302" s="15"/>
    </x:row>
    <x:row r="1303">
      <x:c r="C1303" s="15"/>
    </x:row>
    <x:row r="1304">
      <x:c r="C1304" s="15"/>
    </x:row>
    <x:row r="1305">
      <x:c r="C1305" s="15"/>
    </x:row>
    <x:row r="1306">
      <x:c r="C1306" s="15"/>
    </x:row>
    <x:row r="1307">
      <x:c r="C1307" s="15"/>
    </x:row>
    <x:row r="1308">
      <x:c r="C1308" s="15"/>
    </x:row>
    <x:row r="1309">
      <x:c r="C1309" s="15"/>
    </x:row>
    <x:row r="1310">
      <x:c r="C1310" s="15"/>
    </x:row>
    <x:row r="1311">
      <x:c r="C1311" s="15"/>
    </x:row>
    <x:row r="1312">
      <x:c r="C1312" s="15"/>
    </x:row>
    <x:row r="1313">
      <x:c r="C1313" s="15"/>
    </x:row>
    <x:row r="1314">
      <x:c r="C1314" s="15"/>
    </x:row>
    <x:row r="1315">
      <x:c r="C1315" s="15"/>
    </x:row>
    <x:row r="1316">
      <x:c r="C1316" s="15"/>
    </x:row>
    <x:row r="1317">
      <x:c r="C1317" s="15"/>
    </x:row>
    <x:row r="1318">
      <x:c r="C1318" s="15"/>
    </x:row>
    <x:row r="1319">
      <x:c r="C1319" s="15"/>
    </x:row>
    <x:row r="1320">
      <x:c r="C1320" s="15"/>
    </x:row>
    <x:row r="1321">
      <x:c r="C1321" s="15"/>
    </x:row>
    <x:row r="1322">
      <x:c r="C1322" s="15"/>
    </x:row>
    <x:row r="1323">
      <x:c r="C1323" s="15"/>
    </x:row>
    <x:row r="1324">
      <x:c r="C1324" s="15"/>
    </x:row>
    <x:row r="1325">
      <x:c r="C1325" s="15"/>
    </x:row>
    <x:row r="1326">
      <x:c r="C1326" s="15"/>
    </x:row>
    <x:row r="1327">
      <x:c r="C1327" s="15"/>
    </x:row>
    <x:row r="1328">
      <x:c r="C1328" s="15"/>
    </x:row>
    <x:row r="1329">
      <x:c r="C1329" s="15"/>
    </x:row>
    <x:row r="1330">
      <x:c r="C1330" s="15"/>
    </x:row>
    <x:row r="1331">
      <x:c r="C1331" s="15"/>
    </x:row>
    <x:row r="1332">
      <x:c r="C1332" s="15"/>
    </x:row>
    <x:row r="1333">
      <x:c r="C1333" s="15"/>
    </x:row>
    <x:row r="1334">
      <x:c r="C1334" s="15"/>
    </x:row>
    <x:row r="1335">
      <x:c r="C1335" s="15"/>
    </x:row>
    <x:row r="1336">
      <x:c r="C1336" s="15"/>
    </x:row>
    <x:row r="1337">
      <x:c r="C1337" s="15"/>
    </x:row>
    <x:row r="1338">
      <x:c r="C1338" s="15"/>
    </x:row>
    <x:row r="1339">
      <x:c r="C1339" s="15"/>
    </x:row>
    <x:row r="1340">
      <x:c r="C1340" s="15"/>
    </x:row>
    <x:row r="1341">
      <x:c r="C1341" s="15"/>
    </x:row>
    <x:row r="1342">
      <x:c r="C1342" s="15"/>
    </x:row>
    <x:row r="1343">
      <x:c r="C1343" s="15"/>
    </x:row>
    <x:row r="1344">
      <x:c r="C1344" s="15"/>
    </x:row>
    <x:row r="1345">
      <x:c r="C1345" s="15"/>
    </x:row>
    <x:row r="1346">
      <x:c r="C1346" s="15"/>
    </x:row>
    <x:row r="1347">
      <x:c r="C1347" s="15"/>
    </x:row>
    <x:row r="1348">
      <x:c r="C1348" s="15"/>
    </x:row>
    <x:row r="1349">
      <x:c r="C1349" s="15"/>
    </x:row>
    <x:row r="1350">
      <x:c r="C1350" s="15"/>
    </x:row>
    <x:row r="1351">
      <x:c r="C1351" s="15"/>
    </x:row>
    <x:row r="1352">
      <x:c r="C1352" s="15"/>
    </x:row>
    <x:row r="1353">
      <x:c r="C1353" s="15"/>
    </x:row>
    <x:row r="1354">
      <x:c r="C1354" s="15"/>
    </x:row>
    <x:row r="1355">
      <x:c r="C1355" s="15"/>
    </x:row>
    <x:row r="1356">
      <x:c r="C1356" s="15"/>
    </x:row>
    <x:row r="1357">
      <x:c r="C1357" s="15"/>
    </x:row>
    <x:row r="1358">
      <x:c r="C1358" s="15"/>
    </x:row>
    <x:row r="1359">
      <x:c r="C1359" s="15"/>
    </x:row>
    <x:row r="1360">
      <x:c r="C1360" s="15"/>
    </x:row>
    <x:row r="1361">
      <x:c r="C1361" s="15"/>
    </x:row>
    <x:row r="1362">
      <x:c r="C1362" s="15"/>
    </x:row>
    <x:row r="1363">
      <x:c r="C1363" s="15"/>
    </x:row>
    <x:row r="1364">
      <x:c r="C1364" s="15"/>
    </x:row>
    <x:row r="1365">
      <x:c r="C1365" s="15"/>
    </x:row>
    <x:row r="1366">
      <x:c r="C1366" s="15"/>
    </x:row>
    <x:row r="1367">
      <x:c r="C1367" s="15"/>
    </x:row>
    <x:row r="1368">
      <x:c r="C1368" s="15"/>
    </x:row>
    <x:row r="1369">
      <x:c r="C1369" s="15"/>
    </x:row>
    <x:row r="1370">
      <x:c r="C1370" s="15"/>
    </x:row>
    <x:row r="1371">
      <x:c r="C1371" s="15"/>
    </x:row>
    <x:row r="1372">
      <x:c r="C1372" s="15"/>
    </x:row>
    <x:row r="1373">
      <x:c r="C1373" s="15"/>
    </x:row>
    <x:row r="1374">
      <x:c r="C1374" s="15"/>
    </x:row>
    <x:row r="1375">
      <x:c r="C1375" s="15"/>
    </x:row>
    <x:row r="1376">
      <x:c r="C1376" s="15"/>
    </x:row>
    <x:row r="1377">
      <x:c r="C1377" s="15"/>
    </x:row>
    <x:row r="1378">
      <x:c r="C1378" s="15"/>
    </x:row>
    <x:row r="1379">
      <x:c r="C1379" s="15"/>
    </x:row>
    <x:row r="1380">
      <x:c r="C1380" s="15"/>
    </x:row>
    <x:row r="1381">
      <x:c r="C1381" s="15"/>
    </x:row>
    <x:row r="1382">
      <x:c r="C1382" s="15"/>
    </x:row>
    <x:row r="1383">
      <x:c r="C1383" s="15"/>
    </x:row>
    <x:row r="1384">
      <x:c r="C1384" s="15"/>
    </x:row>
    <x:row r="1385">
      <x:c r="C1385" s="15"/>
    </x:row>
    <x:row r="1386">
      <x:c r="C1386" s="15"/>
    </x:row>
    <x:row r="1387">
      <x:c r="C1387" s="15"/>
    </x:row>
    <x:row r="1388">
      <x:c r="C1388" s="15"/>
    </x:row>
    <x:row r="1389">
      <x:c r="C1389" s="15"/>
    </x:row>
    <x:row r="1390">
      <x:c r="C1390" s="15"/>
    </x:row>
    <x:row r="1391">
      <x:c r="C1391" s="15"/>
    </x:row>
    <x:row r="1392">
      <x:c r="C1392" s="15"/>
    </x:row>
    <x:row r="1393">
      <x:c r="C1393" s="15"/>
    </x:row>
    <x:row r="1394">
      <x:c r="C1394" s="15"/>
    </x:row>
    <x:row r="1395">
      <x:c r="C1395" s="15"/>
    </x:row>
    <x:row r="1396">
      <x:c r="C1396" s="15"/>
    </x:row>
    <x:row r="1397">
      <x:c r="C1397" s="15"/>
    </x:row>
    <x:row r="1398">
      <x:c r="C1398" s="15"/>
    </x:row>
    <x:row r="1399">
      <x:c r="C1399" s="15"/>
    </x:row>
    <x:row r="1400">
      <x:c r="C1400" s="15"/>
    </x:row>
    <x:row r="1401">
      <x:c r="C1401" s="15"/>
    </x:row>
    <x:row r="1402">
      <x:c r="C1402" s="15"/>
    </x:row>
    <x:row r="1403">
      <x:c r="C1403" s="15"/>
    </x:row>
    <x:row r="1404">
      <x:c r="C1404" s="15"/>
    </x:row>
    <x:row r="1405">
      <x:c r="C1405" s="15"/>
    </x:row>
    <x:row r="1406">
      <x:c r="C1406" s="15"/>
    </x:row>
    <x:row r="1407">
      <x:c r="C1407" s="15"/>
    </x:row>
    <x:row r="1408">
      <x:c r="C1408" s="15"/>
    </x:row>
    <x:row r="1409">
      <x:c r="C1409" s="15"/>
    </x:row>
    <x:row r="1410">
      <x:c r="C1410" s="15"/>
    </x:row>
    <x:row r="1411">
      <x:c r="C1411" s="15"/>
    </x:row>
    <x:row r="1412">
      <x:c r="C1412" s="15"/>
    </x:row>
    <x:row r="1413">
      <x:c r="C1413" s="15"/>
    </x:row>
    <x:row r="1414">
      <x:c r="C1414" s="15"/>
    </x:row>
    <x:row r="1415">
      <x:c r="C1415" s="15"/>
    </x:row>
    <x:row r="1416">
      <x:c r="C1416" s="15"/>
    </x:row>
    <x:row r="1417">
      <x:c r="C1417" s="15"/>
    </x:row>
    <x:row r="1418">
      <x:c r="C1418" s="15"/>
    </x:row>
    <x:row r="1419">
      <x:c r="C1419" s="15"/>
    </x:row>
    <x:row r="1420">
      <x:c r="C1420" s="15"/>
    </x:row>
    <x:row r="1421">
      <x:c r="C1421" s="15"/>
    </x:row>
    <x:row r="1422">
      <x:c r="C1422" s="15"/>
    </x:row>
    <x:row r="1423">
      <x:c r="C1423" s="15"/>
    </x:row>
    <x:row r="1424">
      <x:c r="C1424" s="15"/>
    </x:row>
    <x:row r="1425">
      <x:c r="C1425" s="15"/>
    </x:row>
    <x:row r="1426">
      <x:c r="C1426" s="15"/>
    </x:row>
    <x:row r="1427">
      <x:c r="C1427" s="15"/>
    </x:row>
    <x:row r="1428">
      <x:c r="C1428" s="15"/>
    </x:row>
    <x:row r="1429">
      <x:c r="C1429" s="15"/>
    </x:row>
    <x:row r="1430">
      <x:c r="C1430" s="15"/>
    </x:row>
    <x:row r="1431">
      <x:c r="C1431" s="15"/>
    </x:row>
    <x:row r="1432">
      <x:c r="C1432" s="15"/>
    </x:row>
    <x:row r="1433">
      <x:c r="C1433" s="15"/>
    </x:row>
    <x:row r="1434">
      <x:c r="C1434" s="15"/>
    </x:row>
    <x:row r="1435">
      <x:c r="C1435" s="15"/>
    </x:row>
    <x:row r="1436">
      <x:c r="C1436" s="15"/>
    </x:row>
    <x:row r="1437">
      <x:c r="C1437" s="15"/>
    </x:row>
    <x:row r="1438">
      <x:c r="C1438" s="15"/>
    </x:row>
    <x:row r="1439">
      <x:c r="C1439" s="15"/>
    </x:row>
    <x:row r="1440">
      <x:c r="C1440" s="15"/>
    </x:row>
    <x:row r="1441">
      <x:c r="C1441" s="15"/>
    </x:row>
    <x:row r="1442">
      <x:c r="C1442" s="15"/>
    </x:row>
    <x:row r="1443">
      <x:c r="C1443" s="15"/>
    </x:row>
    <x:row r="1444">
      <x:c r="C1444" s="15"/>
    </x:row>
    <x:row r="1445">
      <x:c r="C1445" s="15"/>
    </x:row>
    <x:row r="1446">
      <x:c r="C1446" s="15"/>
    </x:row>
    <x:row r="1447">
      <x:c r="C1447" s="15"/>
    </x:row>
    <x:row r="1448">
      <x:c r="C1448" s="15"/>
    </x:row>
    <x:row r="1449">
      <x:c r="C1449" s="15"/>
    </x:row>
    <x:row r="1450">
      <x:c r="C1450" s="15"/>
    </x:row>
    <x:row r="1451">
      <x:c r="C1451" s="15"/>
    </x:row>
    <x:row r="1452">
      <x:c r="C1452" s="15"/>
    </x:row>
    <x:row r="1453">
      <x:c r="C1453" s="15"/>
    </x:row>
    <x:row r="1454">
      <x:c r="C1454" s="15"/>
    </x:row>
    <x:row r="1455">
      <x:c r="C1455" s="15"/>
    </x:row>
    <x:row r="1456">
      <x:c r="C1456" s="15"/>
    </x:row>
    <x:row r="1457">
      <x:c r="C1457" s="15"/>
    </x:row>
    <x:row r="1458">
      <x:c r="C1458" s="15"/>
    </x:row>
    <x:row r="1459">
      <x:c r="C1459" s="15"/>
    </x:row>
    <x:row r="1460">
      <x:c r="C1460" s="15"/>
    </x:row>
    <x:row r="1461">
      <x:c r="C1461" s="15"/>
    </x:row>
    <x:row r="1462">
      <x:c r="C1462" s="15"/>
    </x:row>
    <x:row r="1463">
      <x:c r="C1463" s="15"/>
    </x:row>
    <x:row r="1464">
      <x:c r="C1464" s="15"/>
    </x:row>
    <x:row r="1465">
      <x:c r="C1465" s="15"/>
    </x:row>
    <x:row r="1466">
      <x:c r="C1466" s="15"/>
    </x:row>
    <x:row r="1467">
      <x:c r="C1467" s="15"/>
    </x:row>
    <x:row r="1468">
      <x:c r="C1468" s="15"/>
    </x:row>
    <x:row r="1469">
      <x:c r="C1469" s="15"/>
    </x:row>
    <x:row r="1470">
      <x:c r="C1470" s="15"/>
    </x:row>
    <x:row r="1471">
      <x:c r="C1471" s="15"/>
    </x:row>
    <x:row r="1472">
      <x:c r="C1472" s="15"/>
    </x:row>
    <x:row r="1473">
      <x:c r="C1473" s="15"/>
    </x:row>
    <x:row r="1474">
      <x:c r="C1474" s="15"/>
    </x:row>
    <x:row r="1475">
      <x:c r="C1475" s="15"/>
    </x:row>
    <x:row r="1476">
      <x:c r="C1476" s="15"/>
    </x:row>
    <x:row r="1477">
      <x:c r="C1477" s="15"/>
    </x:row>
    <x:row r="1478">
      <x:c r="C1478" s="15"/>
    </x:row>
    <x:row r="1479">
      <x:c r="C1479" s="15"/>
    </x:row>
    <x:row r="1480">
      <x:c r="C1480" s="15"/>
    </x:row>
    <x:row r="1481">
      <x:c r="C1481" s="15"/>
    </x:row>
    <x:row r="1482">
      <x:c r="C1482" s="15"/>
    </x:row>
    <x:row r="1483">
      <x:c r="C1483" s="15"/>
    </x:row>
    <x:row r="1484">
      <x:c r="C1484" s="15"/>
    </x:row>
    <x:row r="1485">
      <x:c r="C1485" s="15"/>
    </x:row>
    <x:row r="1486">
      <x:c r="C1486" s="15"/>
    </x:row>
    <x:row r="1487">
      <x:c r="C1487" s="15"/>
    </x:row>
    <x:row r="1488">
      <x:c r="C1488" s="15"/>
    </x:row>
    <x:row r="1489">
      <x:c r="C1489" s="15"/>
    </x:row>
    <x:row r="1490">
      <x:c r="C1490" s="15"/>
    </x:row>
    <x:row r="1491">
      <x:c r="C1491" s="15"/>
    </x:row>
    <x:row r="1492">
      <x:c r="C1492" s="15"/>
    </x:row>
    <x:row r="1493">
      <x:c r="C1493" s="15"/>
    </x:row>
    <x:row r="1494">
      <x:c r="C1494" s="15"/>
    </x:row>
    <x:row r="1495">
      <x:c r="C1495" s="15"/>
    </x:row>
    <x:row r="1496">
      <x:c r="C1496" s="15"/>
    </x:row>
    <x:row r="1497">
      <x:c r="C1497" s="15"/>
    </x:row>
    <x:row r="1498">
      <x:c r="C1498" s="15"/>
    </x:row>
    <x:row r="1499">
      <x:c r="C1499" s="15"/>
    </x:row>
    <x:row r="1500">
      <x:c r="C1500" s="15"/>
    </x:row>
    <x:row r="1501">
      <x:c r="C1501" s="15"/>
    </x:row>
    <x:row r="1502">
      <x:c r="C1502" s="15"/>
    </x:row>
    <x:row r="1503">
      <x:c r="C1503" s="15"/>
    </x:row>
    <x:row r="1504">
      <x:c r="C1504" s="15"/>
    </x:row>
    <x:row r="1505">
      <x:c r="C1505" s="15"/>
    </x:row>
    <x:row r="1506">
      <x:c r="C1506" s="15"/>
    </x:row>
    <x:row r="1507">
      <x:c r="C1507" s="15"/>
    </x:row>
    <x:row r="1508">
      <x:c r="C1508" s="15"/>
    </x:row>
    <x:row r="1509">
      <x:c r="C1509" s="15"/>
    </x:row>
    <x:row r="1510">
      <x:c r="C1510" s="15"/>
    </x:row>
    <x:row r="1511">
      <x:c r="C1511" s="15"/>
    </x:row>
    <x:row r="1512">
      <x:c r="C1512" s="15"/>
    </x:row>
    <x:row r="1513">
      <x:c r="C1513" s="15"/>
    </x:row>
    <x:row r="1514">
      <x:c r="C1514" s="15"/>
    </x:row>
    <x:row r="1515">
      <x:c r="C1515" s="15"/>
    </x:row>
    <x:row r="1516">
      <x:c r="C1516" s="15"/>
    </x:row>
    <x:row r="1517">
      <x:c r="C1517" s="15"/>
    </x:row>
    <x:row r="1518">
      <x:c r="C1518" s="15"/>
    </x:row>
    <x:row r="1519">
      <x:c r="C1519" s="15"/>
    </x:row>
    <x:row r="1520">
      <x:c r="C1520" s="15"/>
    </x:row>
    <x:row r="1521">
      <x:c r="C1521" s="15"/>
    </x:row>
    <x:row r="1522">
      <x:c r="C1522" s="15"/>
    </x:row>
    <x:row r="1523">
      <x:c r="C1523" s="15"/>
    </x:row>
    <x:row r="1524">
      <x:c r="C1524" s="15"/>
    </x:row>
    <x:row r="1525">
      <x:c r="C1525" s="15"/>
    </x:row>
    <x:row r="1526">
      <x:c r="C1526" s="15"/>
    </x:row>
    <x:row r="1527">
      <x:c r="C1527" s="15"/>
    </x:row>
    <x:row r="1528">
      <x:c r="C1528" s="15"/>
    </x:row>
    <x:row r="1529">
      <x:c r="C1529" s="15"/>
    </x:row>
    <x:row r="1530">
      <x:c r="C1530" s="15"/>
    </x:row>
    <x:row r="1531">
      <x:c r="C1531" s="15"/>
    </x:row>
    <x:row r="1532">
      <x:c r="C1532" s="15"/>
    </x:row>
    <x:row r="1533">
      <x:c r="C1533" s="15"/>
    </x:row>
    <x:row r="1534">
      <x:c r="C1534" s="15"/>
    </x:row>
    <x:row r="1535">
      <x:c r="C1535" s="15"/>
    </x:row>
    <x:row r="1536">
      <x:c r="C1536" s="15"/>
    </x:row>
    <x:row r="1537">
      <x:c r="C1537" s="15"/>
    </x:row>
    <x:row r="1538">
      <x:c r="C1538" s="15"/>
    </x:row>
    <x:row r="1539">
      <x:c r="C1539" s="15"/>
    </x:row>
    <x:row r="1540">
      <x:c r="C1540" s="15"/>
    </x:row>
    <x:row r="1541">
      <x:c r="C1541" s="15"/>
    </x:row>
    <x:row r="1542">
      <x:c r="C1542" s="15"/>
    </x:row>
    <x:row r="1543">
      <x:c r="C1543" s="15"/>
    </x:row>
    <x:row r="1544">
      <x:c r="C1544" s="15"/>
    </x:row>
    <x:row r="1545">
      <x:c r="C1545" s="15"/>
    </x:row>
    <x:row r="1546">
      <x:c r="C1546" s="15"/>
    </x:row>
    <x:row r="1547">
      <x:c r="C1547" s="15"/>
    </x:row>
    <x:row r="1548">
      <x:c r="C1548" s="15"/>
    </x:row>
    <x:row r="1549">
      <x:c r="C1549" s="15"/>
    </x:row>
    <x:row r="1550">
      <x:c r="C1550" s="15"/>
    </x:row>
    <x:row r="1551">
      <x:c r="C1551" s="15"/>
    </x:row>
    <x:row r="1552">
      <x:c r="C1552" s="15"/>
    </x:row>
    <x:row r="1553">
      <x:c r="C1553" s="15"/>
    </x:row>
    <x:row r="1554">
      <x:c r="C1554" s="15"/>
    </x:row>
    <x:row r="1555">
      <x:c r="C1555" s="15"/>
    </x:row>
    <x:row r="1556">
      <x:c r="C1556" s="15"/>
    </x:row>
    <x:row r="1557">
      <x:c r="C1557" s="15"/>
    </x:row>
    <x:row r="1558">
      <x:c r="C1558" s="15"/>
    </x:row>
    <x:row r="1559">
      <x:c r="C1559" s="15"/>
    </x:row>
    <x:row r="1560">
      <x:c r="C1560" s="15"/>
    </x:row>
    <x:row r="1561">
      <x:c r="C1561" s="15"/>
    </x:row>
    <x:row r="1562">
      <x:c r="C1562" s="15"/>
    </x:row>
    <x:row r="1563">
      <x:c r="C1563" s="15"/>
    </x:row>
    <x:row r="1564">
      <x:c r="C1564" s="15"/>
    </x:row>
    <x:row r="1565">
      <x:c r="C1565" s="15"/>
    </x:row>
    <x:row r="1566">
      <x:c r="C1566" s="15"/>
    </x:row>
    <x:row r="1567">
      <x:c r="C1567" s="15"/>
    </x:row>
    <x:row r="1568">
      <x:c r="C1568" s="15"/>
    </x:row>
    <x:row r="1569">
      <x:c r="C1569" s="15"/>
    </x:row>
    <x:row r="1570">
      <x:c r="C1570" s="15"/>
    </x:row>
    <x:row r="1571">
      <x:c r="C1571" s="15"/>
    </x:row>
    <x:row r="1572">
      <x:c r="C1572" s="15"/>
    </x:row>
    <x:row r="1573">
      <x:c r="C1573" s="15"/>
    </x:row>
    <x:row r="1574">
      <x:c r="C1574" s="15"/>
    </x:row>
    <x:row r="1575">
      <x:c r="C1575" s="15"/>
    </x:row>
    <x:row r="1576">
      <x:c r="C1576" s="15"/>
    </x:row>
    <x:row r="1577">
      <x:c r="C1577" s="15"/>
    </x:row>
    <x:row r="1578">
      <x:c r="C1578" s="15"/>
    </x:row>
    <x:row r="1579">
      <x:c r="C1579" s="15"/>
    </x:row>
    <x:row r="1580">
      <x:c r="C1580" s="15"/>
    </x:row>
    <x:row r="1581">
      <x:c r="C1581" s="15"/>
    </x:row>
    <x:row r="1582">
      <x:c r="C1582" s="15"/>
    </x:row>
    <x:row r="1583">
      <x:c r="C1583" s="15"/>
    </x:row>
    <x:row r="1584">
      <x:c r="C1584" s="15"/>
    </x:row>
    <x:row r="1585">
      <x:c r="C1585" s="15"/>
    </x:row>
    <x:row r="1586">
      <x:c r="C1586" s="15"/>
    </x:row>
    <x:row r="1587">
      <x:c r="C1587" s="15"/>
    </x:row>
    <x:row r="1588">
      <x:c r="C1588" s="15"/>
    </x:row>
    <x:row r="1589">
      <x:c r="C1589" s="15"/>
    </x:row>
    <x:row r="1590">
      <x:c r="C1590" s="15"/>
    </x:row>
    <x:row r="1591">
      <x:c r="C1591" s="15"/>
    </x:row>
    <x:row r="1592">
      <x:c r="C1592" s="15"/>
    </x:row>
    <x:row r="1593">
      <x:c r="C1593" s="15"/>
    </x:row>
    <x:row r="1594">
      <x:c r="C1594" s="15"/>
    </x:row>
    <x:row r="1595">
      <x:c r="C1595" s="15"/>
    </x:row>
    <x:row r="1596">
      <x:c r="C1596" s="15"/>
    </x:row>
    <x:row r="1597">
      <x:c r="C1597" s="15"/>
    </x:row>
    <x:row r="1598">
      <x:c r="C1598" s="15"/>
    </x:row>
    <x:row r="1599">
      <x:c r="C1599" s="15"/>
    </x:row>
    <x:row r="1600">
      <x:c r="C1600" s="15"/>
    </x:row>
    <x:row r="1601">
      <x:c r="C1601" s="15"/>
    </x:row>
    <x:row r="1602">
      <x:c r="C1602" s="15"/>
    </x:row>
    <x:row r="1603">
      <x:c r="C1603" s="15"/>
    </x:row>
    <x:row r="1604">
      <x:c r="C1604" s="15"/>
    </x:row>
    <x:row r="1605">
      <x:c r="C1605" s="15"/>
    </x:row>
    <x:row r="1606">
      <x:c r="C1606" s="15"/>
    </x:row>
    <x:row r="1607">
      <x:c r="C1607" s="15"/>
    </x:row>
    <x:row r="1608">
      <x:c r="C1608" s="15"/>
    </x:row>
    <x:row r="1609">
      <x:c r="C1609" s="15"/>
    </x:row>
    <x:row r="1610">
      <x:c r="C1610" s="15"/>
    </x:row>
    <x:row r="1611">
      <x:c r="C1611" s="15"/>
    </x:row>
    <x:row r="1612">
      <x:c r="C1612" s="15"/>
    </x:row>
    <x:row r="1613">
      <x:c r="C1613" s="15"/>
    </x:row>
    <x:row r="1614">
      <x:c r="C1614" s="15"/>
    </x:row>
    <x:row r="1615">
      <x:c r="C1615" s="15"/>
    </x:row>
    <x:row r="1616">
      <x:c r="C1616" s="15"/>
    </x:row>
    <x:row r="1617">
      <x:c r="C1617" s="15"/>
    </x:row>
    <x:row r="1618">
      <x:c r="C1618" s="15"/>
    </x:row>
    <x:row r="1619">
      <x:c r="C1619" s="15"/>
    </x:row>
    <x:row r="1620">
      <x:c r="C1620" s="15"/>
    </x:row>
    <x:row r="1621">
      <x:c r="C1621" s="15"/>
    </x:row>
    <x:row r="1622">
      <x:c r="C1622" s="15"/>
    </x:row>
    <x:row r="1623">
      <x:c r="C1623" s="15"/>
    </x:row>
    <x:row r="1624">
      <x:c r="C1624" s="15"/>
    </x:row>
    <x:row r="1625">
      <x:c r="C1625" s="15"/>
    </x:row>
    <x:row r="1626">
      <x:c r="C1626" s="15"/>
    </x:row>
    <x:row r="1627">
      <x:c r="C1627" s="15"/>
    </x:row>
    <x:row r="1628">
      <x:c r="C1628" s="15"/>
    </x:row>
    <x:row r="1629">
      <x:c r="C1629" s="15"/>
    </x:row>
    <x:row r="1630">
      <x:c r="C1630" s="15"/>
    </x:row>
    <x:row r="1631">
      <x:c r="C1631" s="15"/>
    </x:row>
    <x:row r="1632">
      <x:c r="C1632" s="15"/>
    </x:row>
    <x:row r="1633">
      <x:c r="C1633" s="15"/>
    </x:row>
    <x:row r="1634">
      <x:c r="C1634" s="15"/>
    </x:row>
    <x:row r="1635">
      <x:c r="C1635" s="15"/>
    </x:row>
    <x:row r="1636">
      <x:c r="C1636" s="15"/>
    </x:row>
    <x:row r="1637">
      <x:c r="C1637" s="15"/>
    </x:row>
    <x:row r="1638">
      <x:c r="C1638" s="15"/>
    </x:row>
    <x:row r="1639">
      <x:c r="C1639" s="15"/>
    </x:row>
    <x:row r="1640">
      <x:c r="C1640" s="15"/>
    </x:row>
    <x:row r="1641">
      <x:c r="C1641" s="15"/>
    </x:row>
    <x:row r="1642">
      <x:c r="C1642" s="15"/>
    </x:row>
    <x:row r="1643">
      <x:c r="C1643" s="15"/>
    </x:row>
    <x:row r="1644">
      <x:c r="C1644" s="15"/>
    </x:row>
    <x:row r="1645">
      <x:c r="C1645" s="15"/>
    </x:row>
    <x:row r="1646">
      <x:c r="C1646" s="15"/>
    </x:row>
    <x:row r="1647">
      <x:c r="C1647" s="15"/>
    </x:row>
    <x:row r="1648">
      <x:c r="C1648" s="15"/>
    </x:row>
    <x:row r="1649">
      <x:c r="C1649" s="15"/>
    </x:row>
    <x:row r="1650">
      <x:c r="C1650" s="15"/>
    </x:row>
    <x:row r="1651">
      <x:c r="C1651" s="15"/>
    </x:row>
    <x:row r="1652">
      <x:c r="C1652" s="15"/>
    </x:row>
    <x:row r="1653">
      <x:c r="C1653" s="15"/>
    </x:row>
    <x:row r="1654">
      <x:c r="C1654" s="15"/>
    </x:row>
    <x:row r="1655">
      <x:c r="C1655" s="15"/>
    </x:row>
    <x:row r="1656">
      <x:c r="C1656" s="15"/>
    </x:row>
    <x:row r="1657">
      <x:c r="C1657" s="15"/>
    </x:row>
    <x:row r="1658">
      <x:c r="C1658" s="15"/>
    </x:row>
    <x:row r="1659">
      <x:c r="C1659" s="15"/>
    </x:row>
    <x:row r="1660">
      <x:c r="C1660" s="15"/>
    </x:row>
    <x:row r="1661">
      <x:c r="C1661" s="15"/>
    </x:row>
    <x:row r="1662">
      <x:c r="C1662" s="15"/>
    </x:row>
    <x:row r="1663">
      <x:c r="C1663" s="15"/>
    </x:row>
    <x:row r="1664">
      <x:c r="C1664" s="15"/>
    </x:row>
    <x:row r="1665">
      <x:c r="C1665" s="15"/>
    </x:row>
    <x:row r="1666">
      <x:c r="C1666" s="15"/>
    </x:row>
    <x:row r="1667">
      <x:c r="C1667" s="15"/>
    </x:row>
    <x:row r="1668">
      <x:c r="C1668" s="15"/>
    </x:row>
    <x:row r="1669">
      <x:c r="C1669" s="15"/>
    </x:row>
    <x:row r="1670">
      <x:c r="C1670" s="15"/>
    </x:row>
    <x:row r="1671">
      <x:c r="C1671" s="15"/>
    </x:row>
    <x:row r="1672">
      <x:c r="C1672" s="15"/>
    </x:row>
    <x:row r="1673">
      <x:c r="C1673" s="15"/>
    </x:row>
    <x:row r="1674">
      <x:c r="C1674" s="15"/>
    </x:row>
    <x:row r="1675">
      <x:c r="C1675" s="15"/>
    </x:row>
    <x:row r="1676">
      <x:c r="C1676" s="15"/>
    </x:row>
    <x:row r="1677">
      <x:c r="C1677" s="15"/>
    </x:row>
    <x:row r="1678">
      <x:c r="C1678" s="15"/>
    </x:row>
    <x:row r="1679">
      <x:c r="C1679" s="15"/>
    </x:row>
    <x:row r="1680">
      <x:c r="C1680" s="15"/>
    </x:row>
    <x:row r="1681">
      <x:c r="C1681" s="15"/>
    </x:row>
    <x:row r="1682">
      <x:c r="C1682" s="15"/>
    </x:row>
    <x:row r="1683">
      <x:c r="C1683" s="15"/>
    </x:row>
    <x:row r="1684">
      <x:c r="C1684" s="15"/>
    </x:row>
    <x:row r="1685">
      <x:c r="C1685" s="15"/>
    </x:row>
    <x:row r="1686">
      <x:c r="C1686" s="15"/>
    </x:row>
    <x:row r="1687">
      <x:c r="C1687" s="15"/>
    </x:row>
    <x:row r="1688">
      <x:c r="C1688" s="15"/>
    </x:row>
    <x:row r="1689">
      <x:c r="C1689" s="15"/>
    </x:row>
    <x:row r="1690">
      <x:c r="C1690" s="15"/>
    </x:row>
    <x:row r="1691">
      <x:c r="C1691" s="15"/>
    </x:row>
    <x:row r="1692">
      <x:c r="C1692" s="15"/>
    </x:row>
    <x:row r="1693">
      <x:c r="C1693" s="15"/>
    </x:row>
    <x:row r="1694">
      <x:c r="C1694" s="15"/>
    </x:row>
    <x:row r="1695">
      <x:c r="C1695" s="15"/>
    </x:row>
    <x:row r="1696">
      <x:c r="C1696" s="15"/>
    </x:row>
    <x:row r="1697">
      <x:c r="C1697" s="15"/>
    </x:row>
    <x:row r="1698">
      <x:c r="C1698" s="15"/>
    </x:row>
    <x:row r="1699">
      <x:c r="C1699" s="15"/>
    </x:row>
    <x:row r="1700">
      <x:c r="C1700" s="15"/>
    </x:row>
    <x:row r="1701">
      <x:c r="C1701" s="15"/>
    </x:row>
    <x:row r="1702">
      <x:c r="C1702" s="15"/>
    </x:row>
    <x:row r="1703">
      <x:c r="C1703" s="15"/>
    </x:row>
    <x:row r="1704">
      <x:c r="C1704" s="15"/>
    </x:row>
    <x:row r="1705">
      <x:c r="C1705" s="15"/>
    </x:row>
    <x:row r="1706">
      <x:c r="C1706" s="15"/>
    </x:row>
    <x:row r="1707">
      <x:c r="C1707" s="15"/>
    </x:row>
    <x:row r="1708">
      <x:c r="C1708" s="15"/>
    </x:row>
    <x:row r="1709">
      <x:c r="C1709" s="15"/>
    </x:row>
    <x:row r="1710">
      <x:c r="C1710" s="15"/>
    </x:row>
    <x:row r="1711">
      <x:c r="C1711" s="15"/>
    </x:row>
    <x:row r="1712">
      <x:c r="C1712" s="15"/>
    </x:row>
    <x:row r="1713">
      <x:c r="C1713" s="15"/>
    </x:row>
    <x:row r="1714">
      <x:c r="C1714" s="15"/>
    </x:row>
    <x:row r="1715">
      <x:c r="C1715" s="15"/>
    </x:row>
    <x:row r="1716">
      <x:c r="C1716" s="15"/>
    </x:row>
    <x:row r="1717">
      <x:c r="C1717" s="15"/>
    </x:row>
    <x:row r="1718">
      <x:c r="C1718" s="15"/>
    </x:row>
    <x:row r="1719">
      <x:c r="C1719" s="15"/>
    </x:row>
    <x:row r="1720">
      <x:c r="C1720" s="15"/>
    </x:row>
    <x:row r="1721">
      <x:c r="C1721" s="15"/>
    </x:row>
    <x:row r="1722">
      <x:c r="C1722" s="15"/>
    </x:row>
    <x:row r="1723">
      <x:c r="C1723" s="15"/>
    </x:row>
    <x:row r="1724">
      <x:c r="C1724" s="15"/>
    </x:row>
    <x:row r="1725">
      <x:c r="C1725" s="15"/>
    </x:row>
    <x:row r="1726">
      <x:c r="C1726" s="15"/>
    </x:row>
    <x:row r="1727">
      <x:c r="C1727" s="15"/>
    </x:row>
    <x:row r="1728">
      <x:c r="C1728" s="15"/>
    </x:row>
    <x:row r="1729">
      <x:c r="C1729" s="15"/>
    </x:row>
    <x:row r="1730">
      <x:c r="C1730" s="15"/>
    </x:row>
    <x:row r="1731">
      <x:c r="C1731" s="15"/>
    </x:row>
    <x:row r="1732">
      <x:c r="C1732" s="15"/>
    </x:row>
    <x:row r="1733">
      <x:c r="C1733" s="15"/>
    </x:row>
    <x:row r="1734">
      <x:c r="C1734" s="15"/>
    </x:row>
    <x:row r="1735">
      <x:c r="C1735" s="15"/>
    </x:row>
    <x:row r="1736">
      <x:c r="C1736" s="15"/>
    </x:row>
    <x:row r="1737">
      <x:c r="C1737" s="15"/>
    </x:row>
    <x:row r="1738">
      <x:c r="C1738" s="15"/>
    </x:row>
    <x:row r="1739">
      <x:c r="C1739" s="15"/>
    </x:row>
    <x:row r="1740">
      <x:c r="C1740" s="15"/>
    </x:row>
    <x:row r="1741">
      <x:c r="C1741" s="15"/>
    </x:row>
    <x:row r="1742">
      <x:c r="C1742" s="15"/>
    </x:row>
    <x:row r="1743">
      <x:c r="C1743" s="15"/>
    </x:row>
    <x:row r="1744">
      <x:c r="C1744" s="15"/>
    </x:row>
    <x:row r="1745">
      <x:c r="C1745" s="15"/>
    </x:row>
    <x:row r="1746">
      <x:c r="C1746" s="15"/>
    </x:row>
    <x:row r="1747">
      <x:c r="C1747" s="15"/>
    </x:row>
    <x:row r="1748">
      <x:c r="C1748" s="15"/>
    </x:row>
    <x:row r="1749">
      <x:c r="C1749" s="15"/>
    </x:row>
    <x:row r="1750">
      <x:c r="C1750" s="15"/>
    </x:row>
    <x:row r="1751">
      <x:c r="C1751" s="15"/>
    </x:row>
    <x:row r="1752">
      <x:c r="C1752" s="15"/>
    </x:row>
    <x:row r="1753">
      <x:c r="C1753" s="15"/>
    </x:row>
    <x:row r="1754">
      <x:c r="C1754" s="15"/>
    </x:row>
    <x:row r="1755">
      <x:c r="C1755" s="15"/>
    </x:row>
    <x:row r="1756">
      <x:c r="C1756" s="15"/>
    </x:row>
    <x:row r="1757">
      <x:c r="C1757" s="15"/>
    </x:row>
    <x:row r="1758">
      <x:c r="C1758" s="15"/>
    </x:row>
    <x:row r="1759">
      <x:c r="C1759" s="15"/>
    </x:row>
    <x:row r="1760">
      <x:c r="C1760" s="15"/>
    </x:row>
    <x:row r="1761">
      <x:c r="C1761" s="15"/>
    </x:row>
    <x:row r="1762">
      <x:c r="C1762" s="15"/>
    </x:row>
    <x:row r="1763">
      <x:c r="C1763" s="15"/>
    </x:row>
    <x:row r="1764">
      <x:c r="C1764" s="15"/>
    </x:row>
    <x:row r="1765">
      <x:c r="C1765" s="15"/>
    </x:row>
    <x:row r="1766">
      <x:c r="C1766" s="15"/>
    </x:row>
    <x:row r="1767">
      <x:c r="C1767" s="15"/>
    </x:row>
    <x:row r="1768">
      <x:c r="C1768" s="15"/>
    </x:row>
    <x:row r="1769">
      <x:c r="C1769" s="15"/>
    </x:row>
    <x:row r="1770">
      <x:c r="C1770" s="15"/>
    </x:row>
    <x:row r="1771">
      <x:c r="C1771" s="15"/>
    </x:row>
    <x:row r="1772">
      <x:c r="C1772" s="15"/>
    </x:row>
    <x:row r="1773">
      <x:c r="C1773" s="15"/>
    </x:row>
    <x:row r="1774">
      <x:c r="C1774" s="15"/>
    </x:row>
    <x:row r="1775">
      <x:c r="C1775" s="15"/>
    </x:row>
    <x:row r="1776">
      <x:c r="C1776" s="15"/>
    </x:row>
    <x:row r="1777">
      <x:c r="C1777" s="15"/>
    </x:row>
    <x:row r="1778">
      <x:c r="C1778" s="15"/>
    </x:row>
    <x:row r="1779">
      <x:c r="C1779" s="15"/>
    </x:row>
    <x:row r="1780">
      <x:c r="C1780" s="15"/>
    </x:row>
    <x:row r="1781">
      <x:c r="C1781" s="15"/>
    </x:row>
    <x:row r="1782">
      <x:c r="C1782" s="15"/>
    </x:row>
    <x:row r="1783">
      <x:c r="C1783" s="15"/>
    </x:row>
    <x:row r="1784">
      <x:c r="C1784" s="15"/>
    </x:row>
    <x:row r="1785">
      <x:c r="C1785" s="15"/>
    </x:row>
    <x:row r="1786">
      <x:c r="C1786" s="15"/>
    </x:row>
    <x:row r="1787">
      <x:c r="C1787" s="15"/>
    </x:row>
    <x:row r="1788">
      <x:c r="C1788" s="15"/>
    </x:row>
    <x:row r="1789">
      <x:c r="C1789" s="15"/>
    </x:row>
    <x:row r="1790">
      <x:c r="C1790" s="15"/>
    </x:row>
    <x:row r="1791">
      <x:c r="C1791" s="15"/>
    </x:row>
    <x:row r="1792">
      <x:c r="C1792" s="15"/>
    </x:row>
    <x:row r="1793">
      <x:c r="C1793" s="15"/>
    </x:row>
    <x:row r="1794">
      <x:c r="C1794" s="15"/>
    </x:row>
    <x:row r="1795">
      <x:c r="C1795" s="15"/>
    </x:row>
    <x:row r="1796">
      <x:c r="C1796" s="15"/>
    </x:row>
    <x:row r="1797">
      <x:c r="C1797" s="15"/>
    </x:row>
    <x:row r="1798">
      <x:c r="C1798" s="15"/>
    </x:row>
    <x:row r="1799">
      <x:c r="C1799" s="15"/>
    </x:row>
    <x:row r="1800">
      <x:c r="C1800" s="15"/>
    </x:row>
    <x:row r="1801">
      <x:c r="C1801" s="15"/>
    </x:row>
    <x:row r="1802">
      <x:c r="C1802" s="15"/>
    </x:row>
    <x:row r="1803">
      <x:c r="C1803" s="15"/>
    </x:row>
    <x:row r="1804">
      <x:c r="C1804" s="15"/>
    </x:row>
    <x:row r="1805">
      <x:c r="C1805" s="15"/>
    </x:row>
    <x:row r="1806">
      <x:c r="C1806" s="15"/>
    </x:row>
    <x:row r="1807">
      <x:c r="C1807" s="15"/>
    </x:row>
    <x:row r="1808">
      <x:c r="C1808" s="15"/>
    </x:row>
    <x:row r="1809">
      <x:c r="C1809" s="15"/>
    </x:row>
    <x:row r="1810">
      <x:c r="C1810" s="15"/>
    </x:row>
    <x:row r="1811">
      <x:c r="C1811" s="15"/>
    </x:row>
    <x:row r="1812">
      <x:c r="C1812" s="15"/>
    </x:row>
    <x:row r="1813">
      <x:c r="C1813" s="15"/>
    </x:row>
    <x:row r="1814">
      <x:c r="C1814" s="15"/>
    </x:row>
    <x:row r="1815">
      <x:c r="C1815" s="15"/>
    </x:row>
    <x:row r="1816">
      <x:c r="C1816" s="15"/>
    </x:row>
    <x:row r="1817">
      <x:c r="C1817" s="15"/>
    </x:row>
    <x:row r="1818">
      <x:c r="C1818" s="15"/>
    </x:row>
    <x:row r="1819">
      <x:c r="C1819" s="15"/>
    </x:row>
    <x:row r="1820">
      <x:c r="C1820" s="15"/>
    </x:row>
    <x:row r="1821">
      <x:c r="C1821" s="15"/>
    </x:row>
    <x:row r="1822">
      <x:c r="C1822" s="15"/>
    </x:row>
    <x:row r="1823">
      <x:c r="C1823" s="15"/>
    </x:row>
    <x:row r="1824">
      <x:c r="C1824" s="15"/>
    </x:row>
    <x:row r="1825">
      <x:c r="C1825" s="15"/>
    </x:row>
    <x:row r="1826">
      <x:c r="C1826" s="15"/>
    </x:row>
    <x:row r="1827">
      <x:c r="C1827" s="15"/>
    </x:row>
    <x:row r="1828">
      <x:c r="C1828" s="15"/>
    </x:row>
    <x:row r="1829">
      <x:c r="C1829" s="15"/>
    </x:row>
    <x:row r="1830">
      <x:c r="C1830" s="15"/>
    </x:row>
    <x:row r="1831">
      <x:c r="C1831" s="15"/>
    </x:row>
    <x:row r="1832">
      <x:c r="C1832" s="15"/>
    </x:row>
    <x:row r="1833">
      <x:c r="C1833" s="15"/>
    </x:row>
    <x:row r="1834">
      <x:c r="C1834" s="15"/>
    </x:row>
    <x:row r="1835">
      <x:c r="C1835" s="15"/>
    </x:row>
    <x:row r="1836">
      <x:c r="C1836" s="15"/>
    </x:row>
    <x:row r="1837">
      <x:c r="C1837" s="15"/>
    </x:row>
    <x:row r="1838">
      <x:c r="C1838" s="15"/>
    </x:row>
    <x:row r="1839">
      <x:c r="C1839" s="15"/>
    </x:row>
    <x:row r="1840">
      <x:c r="C1840" s="15"/>
    </x:row>
    <x:row r="1841">
      <x:c r="C1841" s="15"/>
    </x:row>
    <x:row r="1842">
      <x:c r="C1842" s="15"/>
    </x:row>
    <x:row r="1843">
      <x:c r="C1843" s="15"/>
    </x:row>
    <x:row r="1844">
      <x:c r="C1844" s="15"/>
    </x:row>
    <x:row r="1845">
      <x:c r="C1845" s="15"/>
    </x:row>
    <x:row r="1846">
      <x:c r="C1846" s="15"/>
    </x:row>
    <x:row r="1847">
      <x:c r="C1847" s="15"/>
    </x:row>
    <x:row r="1848">
      <x:c r="C1848" s="15"/>
    </x:row>
    <x:row r="1849">
      <x:c r="C1849" s="15"/>
    </x:row>
    <x:row r="1850">
      <x:c r="C1850" s="15"/>
    </x:row>
    <x:row r="1851">
      <x:c r="C1851" s="15"/>
    </x:row>
    <x:row r="1852">
      <x:c r="C1852" s="15"/>
    </x:row>
    <x:row r="1853">
      <x:c r="C1853" s="15"/>
    </x:row>
    <x:row r="1854">
      <x:c r="C1854" s="15"/>
    </x:row>
    <x:row r="1855">
      <x:c r="C1855" s="15"/>
    </x:row>
    <x:row r="1856">
      <x:c r="C1856" s="15"/>
    </x:row>
    <x:row r="1857">
      <x:c r="C1857" s="15"/>
    </x:row>
    <x:row r="1858">
      <x:c r="C1858" s="15"/>
    </x:row>
    <x:row r="1859">
      <x:c r="C1859" s="15"/>
    </x:row>
    <x:row r="1860">
      <x:c r="C1860" s="15"/>
    </x:row>
    <x:row r="1861">
      <x:c r="C1861" s="15"/>
    </x:row>
    <x:row r="1862">
      <x:c r="C1862" s="15"/>
    </x:row>
    <x:row r="1863">
      <x:c r="C1863" s="15"/>
    </x:row>
    <x:row r="1864">
      <x:c r="C1864" s="15"/>
    </x:row>
    <x:row r="1865">
      <x:c r="C1865" s="15"/>
    </x:row>
    <x:row r="1866">
      <x:c r="C1866" s="15"/>
    </x:row>
    <x:row r="1867">
      <x:c r="C1867" s="15"/>
    </x:row>
    <x:row r="1868">
      <x:c r="C1868" s="15"/>
    </x:row>
    <x:row r="1869">
      <x:c r="C1869" s="15"/>
    </x:row>
    <x:row r="1870">
      <x:c r="C1870" s="15"/>
    </x:row>
    <x:row r="1871">
      <x:c r="C1871" s="15"/>
    </x:row>
    <x:row r="1872">
      <x:c r="C1872" s="15"/>
    </x:row>
    <x:row r="1873">
      <x:c r="C1873" s="15"/>
    </x:row>
    <x:row r="1874">
      <x:c r="C1874" s="15"/>
    </x:row>
    <x:row r="1875">
      <x:c r="C1875" s="15"/>
    </x:row>
    <x:row r="1876">
      <x:c r="C1876" s="15"/>
    </x:row>
    <x:row r="1877">
      <x:c r="C1877" s="15"/>
    </x:row>
    <x:row r="1878">
      <x:c r="C1878" s="15"/>
    </x:row>
    <x:row r="1879">
      <x:c r="C1879" s="15"/>
    </x:row>
    <x:row r="1880">
      <x:c r="C1880" s="15"/>
    </x:row>
    <x:row r="1881">
      <x:c r="C1881" s="15"/>
    </x:row>
    <x:row r="1882">
      <x:c r="C1882" s="15"/>
    </x:row>
    <x:row r="1883">
      <x:c r="C1883" s="15"/>
    </x:row>
    <x:row r="1884">
      <x:c r="C1884" s="15"/>
    </x:row>
    <x:row r="1885">
      <x:c r="C1885" s="15"/>
    </x:row>
    <x:row r="1886">
      <x:c r="C1886" s="15"/>
    </x:row>
    <x:row r="1887">
      <x:c r="C1887" s="15"/>
    </x:row>
    <x:row r="1888">
      <x:c r="C1888" s="15"/>
    </x:row>
    <x:row r="1889">
      <x:c r="C1889" s="15"/>
    </x:row>
    <x:row r="1890">
      <x:c r="C1890" s="15"/>
    </x:row>
    <x:row r="1891">
      <x:c r="C1891" s="15"/>
    </x:row>
    <x:row r="1892">
      <x:c r="C1892" s="15"/>
    </x:row>
    <x:row r="1893">
      <x:c r="C1893" s="15"/>
    </x:row>
    <x:row r="1894">
      <x:c r="C1894" s="15"/>
    </x:row>
    <x:row r="1895">
      <x:c r="C1895" s="15"/>
    </x:row>
    <x:row r="1896">
      <x:c r="C1896" s="15"/>
    </x:row>
    <x:row r="1897">
      <x:c r="C1897" s="15"/>
    </x:row>
    <x:row r="1898">
      <x:c r="C1898" s="15"/>
    </x:row>
    <x:row r="1899">
      <x:c r="C1899" s="15"/>
    </x:row>
    <x:row r="1900">
      <x:c r="C1900" s="15"/>
    </x:row>
    <x:row r="1901">
      <x:c r="C1901" s="15"/>
    </x:row>
    <x:row r="1902">
      <x:c r="C1902" s="15"/>
    </x:row>
    <x:row r="1903">
      <x:c r="C1903" s="15"/>
    </x:row>
    <x:row r="1904">
      <x:c r="C1904" s="15"/>
    </x:row>
    <x:row r="1905">
      <x:c r="C1905" s="15"/>
    </x:row>
    <x:row r="1906">
      <x:c r="C1906" s="15"/>
    </x:row>
    <x:row r="1907">
      <x:c r="C1907" s="15"/>
    </x:row>
    <x:row r="1908">
      <x:c r="C1908" s="15"/>
    </x:row>
    <x:row r="1909">
      <x:c r="C1909" s="15"/>
    </x:row>
    <x:row r="1910">
      <x:c r="C1910" s="15"/>
    </x:row>
    <x:row r="1911">
      <x:c r="C1911" s="15"/>
    </x:row>
    <x:row r="1912">
      <x:c r="C1912" s="15"/>
    </x:row>
    <x:row r="1913">
      <x:c r="C1913" s="15"/>
    </x:row>
    <x:row r="1914">
      <x:c r="C1914" s="15"/>
    </x:row>
    <x:row r="1915">
      <x:c r="C1915" s="15"/>
    </x:row>
    <x:row r="1916">
      <x:c r="C1916" s="15"/>
    </x:row>
    <x:row r="1917">
      <x:c r="C1917" s="15"/>
    </x:row>
    <x:row r="1918">
      <x:c r="C1918" s="15"/>
    </x:row>
    <x:row r="1919">
      <x:c r="C1919" s="15"/>
    </x:row>
    <x:row r="1920">
      <x:c r="C1920" s="15"/>
    </x:row>
    <x:row r="1921">
      <x:c r="C1921" s="15"/>
    </x:row>
    <x:row r="1922">
      <x:c r="C1922" s="15"/>
    </x:row>
    <x:row r="1923">
      <x:c r="C1923" s="15"/>
    </x:row>
    <x:row r="1924">
      <x:c r="C1924" s="15"/>
    </x:row>
    <x:row r="1925">
      <x:c r="C1925" s="15"/>
    </x:row>
    <x:row r="1926">
      <x:c r="C1926" s="15"/>
    </x:row>
    <x:row r="1927">
      <x:c r="C1927" s="15"/>
    </x:row>
    <x:row r="1928">
      <x:c r="C1928" s="15"/>
    </x:row>
    <x:row r="1929">
      <x:c r="C1929" s="15"/>
    </x:row>
    <x:row r="1930">
      <x:c r="C1930" s="15"/>
    </x:row>
    <x:row r="1931">
      <x:c r="C1931" s="15"/>
    </x:row>
    <x:row r="1932">
      <x:c r="C1932" s="15"/>
    </x:row>
    <x:row r="1933">
      <x:c r="C1933" s="15"/>
    </x:row>
    <x:row r="1934">
      <x:c r="C1934" s="15"/>
    </x:row>
    <x:row r="1935">
      <x:c r="C1935" s="15"/>
    </x:row>
    <x:row r="1936">
      <x:c r="C1936" s="15"/>
    </x:row>
    <x:row r="1937">
      <x:c r="C1937" s="15"/>
    </x:row>
    <x:row r="1938">
      <x:c r="C1938" s="15"/>
    </x:row>
    <x:row r="1939">
      <x:c r="C1939" s="15"/>
    </x:row>
    <x:row r="1940">
      <x:c r="C1940" s="15"/>
    </x:row>
    <x:row r="1941">
      <x:c r="C1941" s="15"/>
    </x:row>
    <x:row r="1942">
      <x:c r="C1942" s="15"/>
    </x:row>
    <x:row r="1943">
      <x:c r="C1943" s="15"/>
    </x:row>
    <x:row r="1944">
      <x:c r="C1944" s="15"/>
    </x:row>
    <x:row r="1945">
      <x:c r="C1945" s="15"/>
    </x:row>
    <x:row r="1946">
      <x:c r="C1946" s="15"/>
    </x:row>
    <x:row r="1947">
      <x:c r="C1947" s="15"/>
    </x:row>
    <x:row r="1948">
      <x:c r="C1948" s="15"/>
    </x:row>
    <x:row r="1949">
      <x:c r="C1949" s="15"/>
    </x:row>
    <x:row r="1950">
      <x:c r="C1950" s="15"/>
    </x:row>
    <x:row r="1951">
      <x:c r="C1951" s="15"/>
    </x:row>
    <x:row r="1952">
      <x:c r="C1952" s="15"/>
    </x:row>
    <x:row r="1953">
      <x:c r="C1953" s="15"/>
    </x:row>
    <x:row r="1954">
      <x:c r="C1954" s="15"/>
    </x:row>
    <x:row r="1955">
      <x:c r="C1955" s="15"/>
    </x:row>
    <x:row r="1956">
      <x:c r="C1956" s="15"/>
    </x:row>
    <x:row r="1957">
      <x:c r="C1957" s="15"/>
    </x:row>
    <x:row r="1958">
      <x:c r="C1958" s="15"/>
    </x:row>
    <x:row r="1959">
      <x:c r="C1959" s="15"/>
    </x:row>
    <x:row r="1960">
      <x:c r="C1960" s="15"/>
    </x:row>
    <x:row r="1961">
      <x:c r="C1961" s="15"/>
    </x:row>
    <x:row r="1962">
      <x:c r="C1962" s="15"/>
    </x:row>
    <x:row r="1963">
      <x:c r="C1963" s="15"/>
    </x:row>
    <x:row r="1964">
      <x:c r="C1964" s="15"/>
    </x:row>
    <x:row r="1965">
      <x:c r="C1965" s="15"/>
    </x:row>
    <x:row r="1966">
      <x:c r="C1966" s="15"/>
    </x:row>
    <x:row r="1967">
      <x:c r="C1967" s="15"/>
    </x:row>
    <x:row r="1968">
      <x:c r="C1968" s="15"/>
    </x:row>
    <x:row r="1969">
      <x:c r="C1969" s="15"/>
    </x:row>
    <x:row r="1970">
      <x:c r="C1970" s="15"/>
    </x:row>
    <x:row r="1971">
      <x:c r="C1971" s="15"/>
    </x:row>
    <x:row r="1972">
      <x:c r="C1972" s="15"/>
    </x:row>
    <x:row r="1973">
      <x:c r="C1973" s="15"/>
    </x:row>
    <x:row r="1974">
      <x:c r="C1974" s="15"/>
    </x:row>
    <x:row r="1975">
      <x:c r="C1975" s="15"/>
    </x:row>
    <x:row r="1976">
      <x:c r="C1976" s="15"/>
    </x:row>
    <x:row r="1977">
      <x:c r="C1977" s="15"/>
    </x:row>
    <x:row r="1978">
      <x:c r="C1978" s="15"/>
    </x:row>
    <x:row r="1979">
      <x:c r="C1979" s="15"/>
    </x:row>
    <x:row r="1980">
      <x:c r="C1980" s="15"/>
    </x:row>
    <x:row r="1981">
      <x:c r="C1981" s="15"/>
    </x:row>
    <x:row r="1982">
      <x:c r="C1982" s="15"/>
    </x:row>
    <x:row r="1983">
      <x:c r="C1983" s="15"/>
    </x:row>
    <x:row r="1984">
      <x:c r="C1984" s="15"/>
    </x:row>
    <x:row r="1985">
      <x:c r="C1985" s="15"/>
    </x:row>
    <x:row r="1986">
      <x:c r="C1986" s="15"/>
    </x:row>
    <x:row r="1987">
      <x:c r="C1987" s="15"/>
    </x:row>
    <x:row r="1988">
      <x:c r="C1988" s="15"/>
    </x:row>
    <x:row r="1989">
      <x:c r="C1989" s="15"/>
    </x:row>
    <x:row r="1990">
      <x:c r="C1990" s="15"/>
    </x:row>
    <x:row r="1991">
      <x:c r="C1991" s="15"/>
    </x:row>
    <x:row r="1992">
      <x:c r="C1992" s="15"/>
    </x:row>
    <x:row r="1993">
      <x:c r="C1993" s="15"/>
    </x:row>
    <x:row r="1994">
      <x:c r="C1994" s="15"/>
    </x:row>
    <x:row r="1995">
      <x:c r="C1995" s="15"/>
    </x:row>
    <x:row r="1996">
      <x:c r="C1996" s="15"/>
    </x:row>
    <x:row r="1997">
      <x:c r="C1997" s="15"/>
    </x:row>
    <x:row r="1998">
      <x:c r="C1998" s="15"/>
    </x:row>
    <x:row r="1999">
      <x:c r="C1999" s="15"/>
    </x:row>
    <x:row r="2000">
      <x:c r="C2000" s="15"/>
    </x:row>
    <x:row r="2001">
      <x:c r="C2001" s="15"/>
    </x:row>
    <x:row r="2002">
      <x:c r="C2002" s="15"/>
    </x:row>
    <x:row r="2003">
      <x:c r="C2003" s="15"/>
    </x:row>
    <x:row r="2004">
      <x:c r="C2004" s="15"/>
    </x:row>
    <x:row r="2005">
      <x:c r="C2005" s="15"/>
    </x:row>
    <x:row r="2006">
      <x:c r="C2006" s="15"/>
    </x:row>
    <x:row r="2007">
      <x:c r="C2007" s="15"/>
    </x:row>
    <x:row r="2008">
      <x:c r="C2008" s="15"/>
    </x:row>
    <x:row r="2009">
      <x:c r="C2009" s="15"/>
    </x:row>
    <x:row r="2010">
      <x:c r="C2010" s="15"/>
    </x:row>
    <x:row r="2011">
      <x:c r="C2011" s="15"/>
    </x:row>
    <x:row r="2012">
      <x:c r="C2012" s="15"/>
    </x:row>
    <x:row r="2013">
      <x:c r="C2013" s="15"/>
    </x:row>
    <x:row r="2014">
      <x:c r="C2014" s="15"/>
    </x:row>
    <x:row r="2015">
      <x:c r="C2015" s="15"/>
    </x:row>
    <x:row r="2016">
      <x:c r="C2016" s="15"/>
    </x:row>
    <x:row r="2017">
      <x:c r="C2017" s="15"/>
    </x:row>
    <x:row r="2018">
      <x:c r="C2018" s="15"/>
    </x:row>
    <x:row r="2019">
      <x:c r="C2019" s="15"/>
    </x:row>
    <x:row r="2020">
      <x:c r="C2020" s="15"/>
    </x:row>
    <x:row r="2021">
      <x:c r="C2021" s="15"/>
    </x:row>
    <x:row r="2022">
      <x:c r="C2022" s="15"/>
    </x:row>
    <x:row r="2023">
      <x:c r="C2023" s="15"/>
    </x:row>
    <x:row r="2024">
      <x:c r="C2024" s="15"/>
    </x:row>
    <x:row r="2025">
      <x:c r="C2025" s="15"/>
    </x:row>
    <x:row r="2026">
      <x:c r="C2026" s="15"/>
    </x:row>
    <x:row r="2027">
      <x:c r="C2027" s="15"/>
    </x:row>
    <x:row r="2028">
      <x:c r="C2028" s="15"/>
    </x:row>
    <x:row r="2029">
      <x:c r="C2029" s="15"/>
    </x:row>
    <x:row r="2030">
      <x:c r="C2030" s="15"/>
    </x:row>
    <x:row r="2031">
      <x:c r="C2031" s="15"/>
    </x:row>
    <x:row r="2032">
      <x:c r="C2032" s="15"/>
    </x:row>
    <x:row r="2033">
      <x:c r="C2033" s="15"/>
    </x:row>
    <x:row r="2034">
      <x:c r="C2034" s="15"/>
    </x:row>
    <x:row r="2035">
      <x:c r="C2035" s="15"/>
    </x:row>
    <x:row r="2036">
      <x:c r="C2036" s="15"/>
    </x:row>
    <x:row r="2037">
      <x:c r="C2037" s="15"/>
    </x:row>
    <x:row r="2038">
      <x:c r="C2038" s="15"/>
    </x:row>
    <x:row r="2039">
      <x:c r="C2039" s="15"/>
    </x:row>
    <x:row r="2040">
      <x:c r="C2040" s="15"/>
    </x:row>
    <x:row r="2041">
      <x:c r="C2041" s="15"/>
    </x:row>
    <x:row r="2042">
      <x:c r="C2042" s="15"/>
    </x:row>
    <x:row r="2043">
      <x:c r="C2043" s="15"/>
    </x:row>
    <x:row r="2044">
      <x:c r="C2044" s="15"/>
    </x:row>
    <x:row r="2045">
      <x:c r="C2045" s="15"/>
    </x:row>
    <x:row r="2046">
      <x:c r="C2046" s="15"/>
    </x:row>
    <x:row r="2047">
      <x:c r="C2047" s="15"/>
    </x:row>
    <x:row r="2048">
      <x:c r="C2048" s="15"/>
    </x:row>
    <x:row r="2049">
      <x:c r="C2049" s="15"/>
    </x:row>
    <x:row r="2050">
      <x:c r="C2050" s="15"/>
    </x:row>
    <x:row r="2051">
      <x:c r="C2051" s="15"/>
    </x:row>
    <x:row r="2052">
      <x:c r="C2052" s="15"/>
    </x:row>
    <x:row r="2053">
      <x:c r="C2053" s="15"/>
    </x:row>
    <x:row r="2054">
      <x:c r="C2054" s="15"/>
    </x:row>
    <x:row r="2055">
      <x:c r="C2055" s="15"/>
    </x:row>
    <x:row r="2056">
      <x:c r="C2056" s="15"/>
    </x:row>
    <x:row r="2057">
      <x:c r="C2057" s="15"/>
    </x:row>
    <x:row r="2058">
      <x:c r="C2058" s="15"/>
    </x:row>
    <x:row r="2059">
      <x:c r="C2059" s="15"/>
    </x:row>
    <x:row r="2060">
      <x:c r="C2060" s="15"/>
    </x:row>
    <x:row r="2061">
      <x:c r="C2061" s="15"/>
    </x:row>
    <x:row r="2062">
      <x:c r="C2062" s="15"/>
    </x:row>
    <x:row r="2063">
      <x:c r="C2063" s="15"/>
    </x:row>
    <x:row r="2064">
      <x:c r="C2064" s="15"/>
    </x:row>
    <x:row r="2065">
      <x:c r="C2065" s="15"/>
    </x:row>
    <x:row r="2066">
      <x:c r="C2066" s="15"/>
    </x:row>
    <x:row r="2067">
      <x:c r="C2067" s="15"/>
    </x:row>
    <x:row r="2068">
      <x:c r="C2068" s="15"/>
    </x:row>
    <x:row r="2069">
      <x:c r="C2069" s="15"/>
    </x:row>
    <x:row r="2070">
      <x:c r="C2070" s="15"/>
    </x:row>
    <x:row r="2071">
      <x:c r="C2071" s="15"/>
    </x:row>
    <x:row r="2072">
      <x:c r="C2072" s="15"/>
    </x:row>
    <x:row r="2073">
      <x:c r="C2073" s="15"/>
    </x:row>
    <x:row r="2074">
      <x:c r="C2074" s="15"/>
    </x:row>
    <x:row r="2075">
      <x:c r="C2075" s="15"/>
    </x:row>
    <x:row r="2076">
      <x:c r="C2076" s="15"/>
    </x:row>
    <x:row r="2077">
      <x:c r="C2077" s="15"/>
    </x:row>
    <x:row r="2078">
      <x:c r="C2078" s="15"/>
    </x:row>
    <x:row r="2079">
      <x:c r="C2079" s="15"/>
    </x:row>
    <x:row r="2080">
      <x:c r="C2080" s="15"/>
    </x:row>
    <x:row r="2081">
      <x:c r="C2081" s="15"/>
    </x:row>
    <x:row r="2082">
      <x:c r="C2082" s="15"/>
    </x:row>
    <x:row r="2083">
      <x:c r="C2083" s="15"/>
    </x:row>
    <x:row r="2084">
      <x:c r="C2084" s="15"/>
    </x:row>
    <x:row r="2085">
      <x:c r="C2085" s="15"/>
    </x:row>
    <x:row r="2086">
      <x:c r="C2086" s="15"/>
    </x:row>
    <x:row r="2087">
      <x:c r="C2087" s="15"/>
    </x:row>
    <x:row r="2088">
      <x:c r="C2088" s="15"/>
    </x:row>
    <x:row r="2089">
      <x:c r="C2089" s="15"/>
    </x:row>
    <x:row r="2090">
      <x:c r="C2090" s="15"/>
    </x:row>
    <x:row r="2091">
      <x:c r="C2091" s="15"/>
    </x:row>
    <x:row r="2092">
      <x:c r="C2092" s="15"/>
    </x:row>
    <x:row r="2093">
      <x:c r="C2093" s="15"/>
    </x:row>
    <x:row r="2094">
      <x:c r="C2094" s="15"/>
    </x:row>
    <x:row r="2095">
      <x:c r="C2095" s="15"/>
    </x:row>
    <x:row r="2096">
      <x:c r="C2096" s="15"/>
    </x:row>
    <x:row r="2097">
      <x:c r="C2097" s="15"/>
    </x:row>
    <x:row r="2098">
      <x:c r="C2098" s="15"/>
    </x:row>
    <x:row r="2099">
      <x:c r="C2099" s="15"/>
    </x:row>
    <x:row r="2100">
      <x:c r="C2100" s="15"/>
    </x:row>
    <x:row r="2101">
      <x:c r="C2101" s="15"/>
    </x:row>
    <x:row r="2102">
      <x:c r="C2102" s="15"/>
    </x:row>
    <x:row r="2103">
      <x:c r="C2103" s="15"/>
    </x:row>
    <x:row r="2104">
      <x:c r="C2104" s="15"/>
    </x:row>
    <x:row r="2105">
      <x:c r="C2105" s="15"/>
    </x:row>
    <x:row r="2106">
      <x:c r="C2106" s="15"/>
    </x:row>
    <x:row r="2107">
      <x:c r="C2107" s="15"/>
    </x:row>
    <x:row r="2108">
      <x:c r="C2108" s="15"/>
    </x:row>
    <x:row r="2109">
      <x:c r="C2109" s="15"/>
    </x:row>
    <x:row r="2110">
      <x:c r="C2110" s="15"/>
    </x:row>
    <x:row r="2111">
      <x:c r="C2111" s="15"/>
    </x:row>
    <x:row r="2112">
      <x:c r="C2112" s="15"/>
    </x:row>
    <x:row r="2113">
      <x:c r="C2113" s="15"/>
    </x:row>
    <x:row r="2114">
      <x:c r="C2114" s="15"/>
    </x:row>
    <x:row r="2115">
      <x:c r="C2115" s="15"/>
    </x:row>
    <x:row r="2116">
      <x:c r="C2116" s="15"/>
    </x:row>
    <x:row r="2117">
      <x:c r="C2117" s="15"/>
    </x:row>
    <x:row r="2118">
      <x:c r="C2118" s="15"/>
    </x:row>
    <x:row r="2119">
      <x:c r="C2119" s="15"/>
    </x:row>
    <x:row r="2120">
      <x:c r="C2120" s="15"/>
    </x:row>
    <x:row r="2121">
      <x:c r="C2121" s="15"/>
    </x:row>
    <x:row r="2122">
      <x:c r="C2122" s="15"/>
    </x:row>
    <x:row r="2123">
      <x:c r="C2123" s="15"/>
    </x:row>
    <x:row r="2124">
      <x:c r="C2124" s="15"/>
    </x:row>
    <x:row r="2125">
      <x:c r="C2125" s="15"/>
    </x:row>
    <x:row r="2126">
      <x:c r="C2126" s="15"/>
    </x:row>
    <x:row r="2127">
      <x:c r="C2127" s="15"/>
    </x:row>
    <x:row r="2128">
      <x:c r="C2128" s="15"/>
    </x:row>
    <x:row r="2129">
      <x:c r="C2129" s="15"/>
    </x:row>
    <x:row r="2130">
      <x:c r="C2130" s="15"/>
    </x:row>
    <x:row r="2131">
      <x:c r="C2131" s="15"/>
    </x:row>
    <x:row r="2132">
      <x:c r="C2132" s="15"/>
    </x:row>
    <x:row r="2133">
      <x:c r="C2133" s="15"/>
    </x:row>
    <x:row r="2134">
      <x:c r="C2134" s="15"/>
    </x:row>
    <x:row r="2135">
      <x:c r="C2135" s="15"/>
    </x:row>
    <x:row r="2136">
      <x:c r="C2136" s="15"/>
    </x:row>
    <x:row r="2137">
      <x:c r="C2137" s="15"/>
    </x:row>
    <x:row r="2138">
      <x:c r="C2138" s="15"/>
    </x:row>
    <x:row r="2139">
      <x:c r="C2139" s="15"/>
    </x:row>
    <x:row r="2140">
      <x:c r="C2140" s="15"/>
    </x:row>
    <x:row r="2141">
      <x:c r="C2141" s="15"/>
    </x:row>
    <x:row r="2142">
      <x:c r="C2142" s="15"/>
    </x:row>
    <x:row r="2143">
      <x:c r="C2143" s="15"/>
    </x:row>
    <x:row r="2144">
      <x:c r="C2144" s="15"/>
    </x:row>
    <x:row r="2145">
      <x:c r="C2145" s="15"/>
    </x:row>
    <x:row r="2146">
      <x:c r="C2146" s="15"/>
    </x:row>
    <x:row r="2147">
      <x:c r="C2147" s="15"/>
    </x:row>
    <x:row r="2148">
      <x:c r="C2148" s="15"/>
    </x:row>
    <x:row r="2149">
      <x:c r="C2149" s="15"/>
    </x:row>
    <x:row r="2150">
      <x:c r="C2150" s="15"/>
    </x:row>
    <x:row r="2151">
      <x:c r="C2151" s="15"/>
    </x:row>
    <x:row r="2152">
      <x:c r="C2152" s="15"/>
    </x:row>
    <x:row r="2153">
      <x:c r="C2153" s="15"/>
    </x:row>
    <x:row r="2154">
      <x:c r="C2154" s="15"/>
    </x:row>
    <x:row r="2155">
      <x:c r="C2155" s="15"/>
    </x:row>
    <x:row r="2156">
      <x:c r="C2156" s="15"/>
    </x:row>
    <x:row r="2157">
      <x:c r="C2157" s="15"/>
    </x:row>
    <x:row r="2158">
      <x:c r="C2158" s="15"/>
    </x:row>
    <x:row r="2159">
      <x:c r="C2159" s="15"/>
    </x:row>
    <x:row r="2160">
      <x:c r="C2160" s="15"/>
    </x:row>
    <x:row r="2161">
      <x:c r="C2161" s="15"/>
    </x:row>
    <x:row r="2162">
      <x:c r="C2162" s="15"/>
    </x:row>
    <x:row r="2163">
      <x:c r="C2163" s="15"/>
    </x:row>
    <x:row r="2164">
      <x:c r="C2164" s="15"/>
    </x:row>
    <x:row r="2165">
      <x:c r="C2165" s="15"/>
    </x:row>
    <x:row r="2166">
      <x:c r="C2166" s="15"/>
    </x:row>
    <x:row r="2167">
      <x:c r="C2167" s="15"/>
    </x:row>
    <x:row r="2168">
      <x:c r="C2168" s="15"/>
    </x:row>
    <x:row r="2169">
      <x:c r="C2169" s="15"/>
    </x:row>
    <x:row r="2170">
      <x:c r="C2170" s="15"/>
    </x:row>
    <x:row r="2171">
      <x:c r="C2171" s="15"/>
    </x:row>
    <x:row r="2172">
      <x:c r="C2172" s="15"/>
    </x:row>
    <x:row r="2173">
      <x:c r="C2173" s="15"/>
    </x:row>
    <x:row r="2174">
      <x:c r="C2174" s="15"/>
    </x:row>
    <x:row r="2175">
      <x:c r="C2175" s="15"/>
    </x:row>
    <x:row r="2176">
      <x:c r="C2176" s="15"/>
    </x:row>
    <x:row r="2177">
      <x:c r="C2177" s="15"/>
    </x:row>
    <x:row r="2178">
      <x:c r="C2178" s="15"/>
    </x:row>
    <x:row r="2179">
      <x:c r="C2179" s="15"/>
    </x:row>
    <x:row r="2180">
      <x:c r="C2180" s="15"/>
    </x:row>
    <x:row r="2181">
      <x:c r="C2181" s="15"/>
    </x:row>
    <x:row r="2182">
      <x:c r="C2182" s="15"/>
    </x:row>
    <x:row r="2183">
      <x:c r="C2183" s="15"/>
    </x:row>
    <x:row r="2184">
      <x:c r="C2184" s="15"/>
    </x:row>
    <x:row r="2185">
      <x:c r="C2185" s="15"/>
    </x:row>
    <x:row r="2186">
      <x:c r="C2186" s="15"/>
    </x:row>
    <x:row r="2187">
      <x:c r="C2187" s="15"/>
    </x:row>
    <x:row r="2188">
      <x:c r="C2188" s="15"/>
    </x:row>
    <x:row r="2189">
      <x:c r="C2189" s="15"/>
    </x:row>
    <x:row r="2190">
      <x:c r="C2190" s="15"/>
    </x:row>
    <x:row r="2191">
      <x:c r="C2191" s="15"/>
    </x:row>
    <x:row r="2192">
      <x:c r="C2192" s="15"/>
    </x:row>
    <x:row r="2193">
      <x:c r="C2193" s="15"/>
    </x:row>
    <x:row r="2194">
      <x:c r="C2194" s="15"/>
    </x:row>
    <x:row r="2195">
      <x:c r="C2195" s="15"/>
    </x:row>
    <x:row r="2196">
      <x:c r="C2196" s="15"/>
    </x:row>
    <x:row r="2197">
      <x:c r="C2197" s="15"/>
    </x:row>
    <x:row r="2198">
      <x:c r="C2198" s="15"/>
    </x:row>
    <x:row r="2199">
      <x:c r="C2199" s="15"/>
    </x:row>
    <x:row r="2200">
      <x:c r="C2200" s="15"/>
    </x:row>
    <x:row r="2201">
      <x:c r="C2201" s="15"/>
    </x:row>
    <x:row r="2202">
      <x:c r="C2202" s="15"/>
    </x:row>
    <x:row r="2203">
      <x:c r="C2203" s="15"/>
    </x:row>
    <x:row r="2204">
      <x:c r="C2204" s="15"/>
    </x:row>
    <x:row r="2205">
      <x:c r="C2205" s="15"/>
    </x:row>
    <x:row r="2206">
      <x:c r="C2206" s="15"/>
    </x:row>
    <x:row r="2207">
      <x:c r="C2207" s="15"/>
    </x:row>
    <x:row r="2208">
      <x:c r="C2208" s="15"/>
    </x:row>
    <x:row r="2209">
      <x:c r="C2209" s="15"/>
    </x:row>
    <x:row r="2210">
      <x:c r="C2210" s="15"/>
    </x:row>
    <x:row r="2211">
      <x:c r="C2211" s="15"/>
    </x:row>
    <x:row r="2212">
      <x:c r="C2212" s="15"/>
    </x:row>
    <x:row r="2213">
      <x:c r="C2213" s="15"/>
    </x:row>
    <x:row r="2214">
      <x:c r="C2214" s="15"/>
    </x:row>
    <x:row r="2215">
      <x:c r="C2215" s="15"/>
    </x:row>
    <x:row r="2216">
      <x:c r="C2216" s="15"/>
    </x:row>
    <x:row r="2217">
      <x:c r="C2217" s="15"/>
    </x:row>
    <x:row r="2218">
      <x:c r="C2218" s="15"/>
    </x:row>
    <x:row r="2219">
      <x:c r="C2219" s="15"/>
    </x:row>
    <x:row r="2220">
      <x:c r="C2220" s="15"/>
    </x:row>
    <x:row r="2221">
      <x:c r="C2221" s="15"/>
    </x:row>
    <x:row r="2222">
      <x:c r="C2222" s="15"/>
    </x:row>
    <x:row r="2223">
      <x:c r="C2223" s="15"/>
    </x:row>
    <x:row r="2224">
      <x:c r="C2224" s="15"/>
    </x:row>
    <x:row r="2225">
      <x:c r="C2225" s="15"/>
    </x:row>
    <x:row r="2226">
      <x:c r="C2226" s="15"/>
    </x:row>
    <x:row r="2227">
      <x:c r="C2227" s="15"/>
    </x:row>
    <x:row r="2228">
      <x:c r="C2228" s="15"/>
    </x:row>
    <x:row r="2229">
      <x:c r="C2229" s="15"/>
    </x:row>
    <x:row r="2230">
      <x:c r="C2230" s="15"/>
    </x:row>
    <x:row r="2231">
      <x:c r="C2231" s="15"/>
    </x:row>
    <x:row r="2232">
      <x:c r="C2232" s="15"/>
    </x:row>
    <x:row r="2233">
      <x:c r="C2233" s="15"/>
    </x:row>
    <x:row r="2234">
      <x:c r="C2234" s="15"/>
    </x:row>
    <x:row r="2235">
      <x:c r="C2235" s="15"/>
    </x:row>
    <x:row r="2236">
      <x:c r="C2236" s="15"/>
    </x:row>
    <x:row r="2237">
      <x:c r="C2237" s="15"/>
    </x:row>
    <x:row r="2238">
      <x:c r="C2238" s="15"/>
    </x:row>
    <x:row r="2239">
      <x:c r="C2239" s="15"/>
    </x:row>
    <x:row r="2240">
      <x:c r="C2240" s="15"/>
    </x:row>
    <x:row r="2241">
      <x:c r="C2241" s="15"/>
    </x:row>
    <x:row r="2242">
      <x:c r="C2242" s="15"/>
    </x:row>
    <x:row r="2243">
      <x:c r="C2243" s="15"/>
    </x:row>
    <x:row r="2244">
      <x:c r="C2244" s="15"/>
    </x:row>
    <x:row r="2245">
      <x:c r="C2245" s="15"/>
    </x:row>
    <x:row r="2246">
      <x:c r="C2246" s="15"/>
    </x:row>
    <x:row r="2247">
      <x:c r="C2247" s="15"/>
    </x:row>
    <x:row r="2248">
      <x:c r="C2248" s="15"/>
    </x:row>
    <x:row r="2249">
      <x:c r="C2249" s="15"/>
    </x:row>
    <x:row r="2250">
      <x:c r="C2250" s="15"/>
    </x:row>
    <x:row r="2251">
      <x:c r="C2251" s="15"/>
    </x:row>
    <x:row r="2252">
      <x:c r="C2252" s="15"/>
    </x:row>
    <x:row r="2253">
      <x:c r="C2253" s="15"/>
    </x:row>
    <x:row r="2254">
      <x:c r="C2254" s="15"/>
    </x:row>
    <x:row r="2255">
      <x:c r="C2255" s="15"/>
    </x:row>
    <x:row r="2256">
      <x:c r="C2256" s="15"/>
    </x:row>
    <x:row r="2257">
      <x:c r="C2257" s="15"/>
    </x:row>
    <x:row r="2258">
      <x:c r="C2258" s="15"/>
    </x:row>
    <x:row r="2259">
      <x:c r="C2259" s="15"/>
    </x:row>
    <x:row r="2260">
      <x:c r="C2260" s="15"/>
    </x:row>
    <x:row r="2261">
      <x:c r="C2261" s="15"/>
    </x:row>
    <x:row r="2262">
      <x:c r="C2262" s="15"/>
    </x:row>
    <x:row r="2263">
      <x:c r="C2263" s="15"/>
    </x:row>
    <x:row r="2264">
      <x:c r="C2264" s="15"/>
    </x:row>
    <x:row r="2265">
      <x:c r="C2265" s="15"/>
    </x:row>
    <x:row r="2266">
      <x:c r="C2266" s="15"/>
    </x:row>
    <x:row r="2267">
      <x:c r="C2267" s="15"/>
    </x:row>
    <x:row r="2268">
      <x:c r="C2268" s="15"/>
    </x:row>
    <x:row r="2269">
      <x:c r="C2269" s="15"/>
    </x:row>
    <x:row r="2270">
      <x:c r="C2270" s="15"/>
    </x:row>
    <x:row r="2271">
      <x:c r="C2271" s="15"/>
    </x:row>
    <x:row r="2272">
      <x:c r="C2272" s="15"/>
    </x:row>
    <x:row r="2273">
      <x:c r="C2273" s="15"/>
    </x:row>
    <x:row r="2274">
      <x:c r="C2274" s="15"/>
    </x:row>
    <x:row r="2275">
      <x:c r="C2275" s="15"/>
    </x:row>
    <x:row r="2276">
      <x:c r="C2276" s="15"/>
    </x:row>
    <x:row r="2277">
      <x:c r="C2277" s="15"/>
    </x:row>
    <x:row r="2278">
      <x:c r="C2278" s="15"/>
    </x:row>
    <x:row r="2279">
      <x:c r="C2279" s="15"/>
    </x:row>
    <x:row r="2280">
      <x:c r="C2280" s="15"/>
    </x:row>
    <x:row r="2281">
      <x:c r="C2281" s="15"/>
    </x:row>
    <x:row r="2282">
      <x:c r="C2282" s="15"/>
    </x:row>
    <x:row r="2283">
      <x:c r="C2283" s="15"/>
    </x:row>
    <x:row r="2284">
      <x:c r="C2284" s="15"/>
    </x:row>
    <x:row r="2285">
      <x:c r="C2285" s="15"/>
    </x:row>
    <x:row r="2286">
      <x:c r="C2286" s="15"/>
    </x:row>
    <x:row r="2287">
      <x:c r="C2287" s="15"/>
    </x:row>
    <x:row r="2288">
      <x:c r="C2288" s="15"/>
    </x:row>
    <x:row r="2289">
      <x:c r="C2289" s="15"/>
    </x:row>
    <x:row r="2290">
      <x:c r="C2290" s="15"/>
    </x:row>
    <x:row r="2291">
      <x:c r="C2291" s="15"/>
    </x:row>
    <x:row r="2292">
      <x:c r="C2292" s="15"/>
    </x:row>
    <x:row r="2293">
      <x:c r="C2293" s="15"/>
    </x:row>
    <x:row r="2294">
      <x:c r="C2294" s="15"/>
    </x:row>
    <x:row r="2295">
      <x:c r="C2295" s="15"/>
    </x:row>
    <x:row r="2296">
      <x:c r="C2296" s="15"/>
    </x:row>
    <x:row r="2297">
      <x:c r="C2297" s="15"/>
    </x:row>
    <x:row r="2298">
      <x:c r="C2298" s="15"/>
    </x:row>
    <x:row r="2299">
      <x:c r="C2299" s="15"/>
    </x:row>
    <x:row r="2300">
      <x:c r="C2300" s="15"/>
    </x:row>
    <x:row r="2301">
      <x:c r="C2301" s="15"/>
    </x:row>
    <x:row r="2302">
      <x:c r="C2302" s="15"/>
    </x:row>
    <x:row r="2303">
      <x:c r="C2303" s="15"/>
    </x:row>
    <x:row r="2304">
      <x:c r="C2304" s="15"/>
    </x:row>
    <x:row r="2305">
      <x:c r="C2305" s="15"/>
    </x:row>
    <x:row r="2306">
      <x:c r="C2306" s="15"/>
    </x:row>
    <x:row r="2307">
      <x:c r="C2307" s="15"/>
    </x:row>
    <x:row r="2308">
      <x:c r="C2308" s="15"/>
    </x:row>
    <x:row r="2309">
      <x:c r="C2309" s="15"/>
    </x:row>
    <x:row r="2310">
      <x:c r="C2310" s="15"/>
    </x:row>
    <x:row r="2311">
      <x:c r="C2311" s="15"/>
    </x:row>
    <x:row r="2312">
      <x:c r="C2312" s="15"/>
    </x:row>
    <x:row r="2313">
      <x:c r="C2313" s="15"/>
    </x:row>
    <x:row r="2314">
      <x:c r="C2314" s="15"/>
    </x:row>
    <x:row r="2315">
      <x:c r="C2315" s="15"/>
    </x:row>
    <x:row r="2316">
      <x:c r="C2316" s="15"/>
    </x:row>
    <x:row r="2317">
      <x:c r="C2317" s="15"/>
    </x:row>
    <x:row r="2318">
      <x:c r="C2318" s="15"/>
    </x:row>
    <x:row r="2319">
      <x:c r="C2319" s="15"/>
    </x:row>
    <x:row r="2320">
      <x:c r="C2320" s="15"/>
    </x:row>
    <x:row r="2321">
      <x:c r="C2321" s="15"/>
    </x:row>
    <x:row r="2322">
      <x:c r="C2322" s="15"/>
    </x:row>
    <x:row r="2323">
      <x:c r="C2323" s="15"/>
    </x:row>
    <x:row r="2324">
      <x:c r="C2324" s="15"/>
    </x:row>
    <x:row r="2325">
      <x:c r="C2325" s="15"/>
    </x:row>
    <x:row r="2326">
      <x:c r="C2326" s="15"/>
    </x:row>
    <x:row r="2327">
      <x:c r="C2327" s="15"/>
    </x:row>
    <x:row r="2328">
      <x:c r="C2328" s="15"/>
    </x:row>
    <x:row r="2329">
      <x:c r="C2329" s="15"/>
    </x:row>
    <x:row r="2330">
      <x:c r="C2330" s="15"/>
    </x:row>
    <x:row r="2331">
      <x:c r="C2331" s="15"/>
    </x:row>
    <x:row r="2332">
      <x:c r="C2332" s="15"/>
    </x:row>
    <x:row r="2333">
      <x:c r="C2333" s="15"/>
    </x:row>
    <x:row r="2334">
      <x:c r="C2334" s="15"/>
    </x:row>
    <x:row r="2335">
      <x:c r="C2335" s="15"/>
    </x:row>
    <x:row r="2336">
      <x:c r="C2336" s="15"/>
    </x:row>
    <x:row r="2337">
      <x:c r="C2337" s="15"/>
    </x:row>
    <x:row r="2338">
      <x:c r="C2338" s="15"/>
    </x:row>
    <x:row r="2339">
      <x:c r="C2339" s="15"/>
    </x:row>
    <x:row r="2340">
      <x:c r="C2340" s="15"/>
    </x:row>
    <x:row r="2341">
      <x:c r="C2341" s="15"/>
    </x:row>
    <x:row r="2342">
      <x:c r="C2342" s="15"/>
    </x:row>
    <x:row r="2343">
      <x:c r="C2343" s="15"/>
    </x:row>
    <x:row r="2344">
      <x:c r="C2344" s="15"/>
    </x:row>
    <x:row r="2345">
      <x:c r="C2345" s="15"/>
    </x:row>
    <x:row r="2346">
      <x:c r="C2346" s="15"/>
    </x:row>
    <x:row r="2347">
      <x:c r="C2347" s="15"/>
    </x:row>
    <x:row r="2348">
      <x:c r="C2348" s="15"/>
    </x:row>
    <x:row r="2349">
      <x:c r="C2349" s="15"/>
    </x:row>
    <x:row r="2350">
      <x:c r="C2350" s="15"/>
    </x:row>
    <x:row r="2351">
      <x:c r="C2351" s="15"/>
    </x:row>
    <x:row r="2352">
      <x:c r="C2352" s="15"/>
    </x:row>
    <x:row r="2353">
      <x:c r="C2353" s="15"/>
    </x:row>
    <x:row r="2354">
      <x:c r="C2354" s="15"/>
    </x:row>
    <x:row r="2355">
      <x:c r="C2355" s="15"/>
    </x:row>
    <x:row r="2356">
      <x:c r="C2356" s="15"/>
    </x:row>
    <x:row r="2357">
      <x:c r="C2357" s="15"/>
    </x:row>
    <x:row r="2358">
      <x:c r="C2358" s="15"/>
    </x:row>
    <x:row r="2359">
      <x:c r="C2359" s="15"/>
    </x:row>
    <x:row r="2360">
      <x:c r="C2360" s="15"/>
    </x:row>
    <x:row r="2361">
      <x:c r="C2361" s="15"/>
    </x:row>
    <x:row r="2362">
      <x:c r="C2362" s="15"/>
    </x:row>
    <x:row r="2363">
      <x:c r="C2363" s="15"/>
    </x:row>
    <x:row r="2364">
      <x:c r="C2364" s="15"/>
    </x:row>
    <x:row r="2365">
      <x:c r="C2365" s="15"/>
    </x:row>
    <x:row r="2366">
      <x:c r="C2366" s="15"/>
    </x:row>
    <x:row r="2367">
      <x:c r="C2367" s="15"/>
    </x:row>
    <x:row r="2368">
      <x:c r="C2368" s="15"/>
    </x:row>
    <x:row r="2369">
      <x:c r="C2369" s="15"/>
    </x:row>
    <x:row r="2370">
      <x:c r="C2370" s="15"/>
    </x:row>
    <x:row r="2371">
      <x:c r="C2371" s="15"/>
    </x:row>
    <x:row r="2372">
      <x:c r="C2372" s="15"/>
    </x:row>
    <x:row r="2373">
      <x:c r="C2373" s="15"/>
    </x:row>
    <x:row r="2374">
      <x:c r="C2374" s="15"/>
    </x:row>
    <x:row r="2375">
      <x:c r="C2375" s="15"/>
    </x:row>
    <x:row r="2376">
      <x:c r="C2376" s="15"/>
    </x:row>
    <x:row r="2377">
      <x:c r="C2377" s="15"/>
    </x:row>
    <x:row r="2378">
      <x:c r="C2378" s="15"/>
    </x:row>
    <x:row r="2379">
      <x:c r="C2379" s="15"/>
    </x:row>
    <x:row r="2380">
      <x:c r="C2380" s="15"/>
    </x:row>
    <x:row r="2381">
      <x:c r="C2381" s="15"/>
    </x:row>
    <x:row r="2382">
      <x:c r="C2382" s="15"/>
    </x:row>
    <x:row r="2383">
      <x:c r="C2383" s="15"/>
    </x:row>
    <x:row r="2384">
      <x:c r="C2384" s="15"/>
    </x:row>
    <x:row r="2385">
      <x:c r="C2385" s="15"/>
    </x:row>
    <x:row r="2386">
      <x:c r="C2386" s="15"/>
    </x:row>
    <x:row r="2387">
      <x:c r="C2387" s="15"/>
    </x:row>
    <x:row r="2388">
      <x:c r="C2388" s="15"/>
    </x:row>
    <x:row r="2389">
      <x:c r="C2389" s="15"/>
    </x:row>
    <x:row r="2390">
      <x:c r="C2390" s="15"/>
    </x:row>
    <x:row r="2391">
      <x:c r="C2391" s="15"/>
    </x:row>
    <x:row r="2392">
      <x:c r="C2392" s="15"/>
    </x:row>
    <x:row r="2393">
      <x:c r="C2393" s="15"/>
    </x:row>
    <x:row r="2394">
      <x:c r="C2394" s="15"/>
    </x:row>
    <x:row r="2395">
      <x:c r="C2395" s="15"/>
    </x:row>
    <x:row r="2396">
      <x:c r="C2396" s="15"/>
    </x:row>
    <x:row r="2397">
      <x:c r="C2397" s="15"/>
    </x:row>
    <x:row r="2398">
      <x:c r="C2398" s="15"/>
    </x:row>
    <x:row r="2399">
      <x:c r="C2399" s="15"/>
    </x:row>
    <x:row r="2400">
      <x:c r="C2400" s="15"/>
    </x:row>
    <x:row r="2401">
      <x:c r="C2401" s="15"/>
    </x:row>
    <x:row r="2402">
      <x:c r="C2402" s="15"/>
    </x:row>
    <x:row r="2403">
      <x:c r="C2403" s="15"/>
    </x:row>
    <x:row r="2404">
      <x:c r="C2404" s="15"/>
    </x:row>
    <x:row r="2405">
      <x:c r="C2405" s="15"/>
    </x:row>
    <x:row r="2406">
      <x:c r="C2406" s="15"/>
    </x:row>
    <x:row r="2407">
      <x:c r="C2407" s="15"/>
    </x:row>
    <x:row r="2408">
      <x:c r="C2408" s="15"/>
    </x:row>
    <x:row r="2409">
      <x:c r="C2409" s="15"/>
    </x:row>
    <x:row r="2410">
      <x:c r="C2410" s="15"/>
    </x:row>
    <x:row r="2411">
      <x:c r="C2411" s="15"/>
    </x:row>
    <x:row r="2412">
      <x:c r="C2412" s="15"/>
    </x:row>
    <x:row r="2413">
      <x:c r="C2413" s="15"/>
    </x:row>
    <x:row r="2414">
      <x:c r="C2414" s="15"/>
    </x:row>
    <x:row r="2415">
      <x:c r="C2415" s="15"/>
    </x:row>
    <x:row r="2416">
      <x:c r="C2416" s="15"/>
    </x:row>
    <x:row r="2417">
      <x:c r="C2417" s="15"/>
    </x:row>
    <x:row r="2418">
      <x:c r="C2418" s="15"/>
    </x:row>
    <x:row r="2419">
      <x:c r="C2419" s="15"/>
    </x:row>
    <x:row r="2420">
      <x:c r="C2420" s="15"/>
    </x:row>
    <x:row r="2421">
      <x:c r="C2421" s="15"/>
    </x:row>
    <x:row r="2422">
      <x:c r="C2422" s="15"/>
    </x:row>
    <x:row r="2423">
      <x:c r="C2423" s="15"/>
    </x:row>
    <x:row r="2424">
      <x:c r="C2424" s="15"/>
    </x:row>
    <x:row r="2425">
      <x:c r="C2425" s="15"/>
    </x:row>
    <x:row r="2426">
      <x:c r="C2426" s="15"/>
    </x:row>
    <x:row r="2427">
      <x:c r="C2427" s="15"/>
    </x:row>
    <x:row r="2428">
      <x:c r="C2428" s="15"/>
    </x:row>
    <x:row r="2429">
      <x:c r="C2429" s="15"/>
    </x:row>
    <x:row r="2430">
      <x:c r="C2430" s="15"/>
    </x:row>
    <x:row r="2431">
      <x:c r="C2431" s="15"/>
    </x:row>
    <x:row r="2432">
      <x:c r="C2432" s="15"/>
    </x:row>
    <x:row r="2433">
      <x:c r="C2433" s="15"/>
    </x:row>
    <x:row r="2434">
      <x:c r="C2434" s="15"/>
    </x:row>
    <x:row r="2435">
      <x:c r="C2435" s="15"/>
    </x:row>
    <x:row r="2436">
      <x:c r="C2436" s="15"/>
    </x:row>
    <x:row r="2437">
      <x:c r="C2437" s="15"/>
    </x:row>
    <x:row r="2438">
      <x:c r="C2438" s="15"/>
    </x:row>
    <x:row r="2439">
      <x:c r="C2439" s="15"/>
    </x:row>
    <x:row r="2440">
      <x:c r="C2440" s="15"/>
    </x:row>
    <x:row r="2441">
      <x:c r="C2441" s="15"/>
    </x:row>
    <x:row r="2442">
      <x:c r="C2442" s="15"/>
    </x:row>
    <x:row r="2443">
      <x:c r="C2443" s="15"/>
    </x:row>
    <x:row r="2444">
      <x:c r="C2444" s="15"/>
    </x:row>
    <x:row r="2445">
      <x:c r="C2445" s="15"/>
    </x:row>
    <x:row r="2446">
      <x:c r="C2446" s="15"/>
    </x:row>
    <x:row r="2447">
      <x:c r="C2447" s="15"/>
    </x:row>
    <x:row r="2448">
      <x:c r="C2448" s="15"/>
    </x:row>
    <x:row r="2449">
      <x:c r="C2449" s="15"/>
    </x:row>
    <x:row r="2450">
      <x:c r="C2450" s="15"/>
    </x:row>
    <x:row r="2451">
      <x:c r="C2451" s="15"/>
    </x:row>
    <x:row r="2452">
      <x:c r="C2452" s="15"/>
    </x:row>
    <x:row r="2453">
      <x:c r="C2453" s="15"/>
    </x:row>
    <x:row r="2454">
      <x:c r="C2454" s="15"/>
    </x:row>
    <x:row r="2455">
      <x:c r="C2455" s="15"/>
    </x:row>
    <x:row r="2456">
      <x:c r="C2456" s="15"/>
    </x:row>
    <x:row r="2457">
      <x:c r="C2457" s="15"/>
    </x:row>
    <x:row r="2458">
      <x:c r="C2458" s="15"/>
    </x:row>
    <x:row r="2459">
      <x:c r="C2459" s="15"/>
    </x:row>
    <x:row r="2460">
      <x:c r="C2460" s="15"/>
    </x:row>
    <x:row r="2461">
      <x:c r="C2461" s="15"/>
    </x:row>
    <x:row r="2462">
      <x:c r="C2462" s="15"/>
    </x:row>
    <x:row r="2463">
      <x:c r="C2463" s="15"/>
    </x:row>
    <x:row r="2464">
      <x:c r="C2464" s="15"/>
    </x:row>
    <x:row r="2465">
      <x:c r="C2465" s="15"/>
    </x:row>
    <x:row r="2466">
      <x:c r="C2466" s="15"/>
    </x:row>
    <x:row r="2467">
      <x:c r="C2467" s="15"/>
    </x:row>
    <x:row r="2468">
      <x:c r="C2468" s="15"/>
    </x:row>
    <x:row r="2469">
      <x:c r="C2469" s="15"/>
    </x:row>
    <x:row r="2470">
      <x:c r="C2470" s="15"/>
    </x:row>
    <x:row r="2471">
      <x:c r="C2471" s="15"/>
    </x:row>
    <x:row r="2472">
      <x:c r="C2472" s="15"/>
    </x:row>
    <x:row r="2473">
      <x:c r="C2473" s="15"/>
    </x:row>
    <x:row r="2474">
      <x:c r="C2474" s="15"/>
    </x:row>
    <x:row r="2475">
      <x:c r="C2475" s="15"/>
    </x:row>
    <x:row r="2476">
      <x:c r="C2476" s="15"/>
    </x:row>
    <x:row r="2477">
      <x:c r="C2477" s="15"/>
    </x:row>
    <x:row r="2478">
      <x:c r="C2478" s="15"/>
    </x:row>
    <x:row r="2479">
      <x:c r="C2479" s="15"/>
    </x:row>
    <x:row r="2480">
      <x:c r="C2480" s="15"/>
    </x:row>
    <x:row r="2481">
      <x:c r="C2481" s="15"/>
    </x:row>
    <x:row r="2482">
      <x:c r="C2482" s="15"/>
    </x:row>
    <x:row r="2483">
      <x:c r="C2483" s="15"/>
    </x:row>
    <x:row r="2484">
      <x:c r="C2484" s="15"/>
    </x:row>
    <x:row r="2485">
      <x:c r="C2485" s="15"/>
    </x:row>
    <x:row r="2486">
      <x:c r="C2486" s="15"/>
    </x:row>
    <x:row r="2487">
      <x:c r="C2487" s="15"/>
    </x:row>
    <x:row r="2488">
      <x:c r="C2488" s="15"/>
    </x:row>
    <x:row r="2489">
      <x:c r="C2489" s="15"/>
    </x:row>
    <x:row r="2490">
      <x:c r="C2490" s="15"/>
    </x:row>
    <x:row r="2491">
      <x:c r="C2491" s="15"/>
    </x:row>
    <x:row r="2492">
      <x:c r="C2492" s="15"/>
    </x:row>
    <x:row r="2493">
      <x:c r="C2493" s="15"/>
    </x:row>
    <x:row r="2494">
      <x:c r="C2494" s="15"/>
    </x:row>
    <x:row r="2495">
      <x:c r="C2495" s="15"/>
    </x:row>
    <x:row r="2496">
      <x:c r="C2496" s="15"/>
    </x:row>
    <x:row r="2497">
      <x:c r="C2497" s="15"/>
    </x:row>
    <x:row r="2498">
      <x:c r="C2498" s="15"/>
    </x:row>
    <x:row r="2499">
      <x:c r="C2499" s="15"/>
    </x:row>
    <x:row r="2500">
      <x:c r="C2500" s="15"/>
    </x:row>
    <x:row r="2501">
      <x:c r="C2501" s="15"/>
    </x:row>
    <x:row r="2502">
      <x:c r="C2502" s="15"/>
    </x:row>
    <x:row r="2503">
      <x:c r="C2503" s="15"/>
    </x:row>
    <x:row r="2504">
      <x:c r="C2504" s="15"/>
    </x:row>
    <x:row r="2505">
      <x:c r="C2505" s="15"/>
    </x:row>
    <x:row r="2506">
      <x:c r="C2506" s="15"/>
    </x:row>
    <x:row r="2507">
      <x:c r="C2507" s="15"/>
    </x:row>
    <x:row r="2508">
      <x:c r="C2508" s="15"/>
    </x:row>
    <x:row r="2509">
      <x:c r="C2509" s="15"/>
    </x:row>
    <x:row r="2510">
      <x:c r="C2510" s="15"/>
    </x:row>
    <x:row r="2511">
      <x:c r="C2511" s="15"/>
    </x:row>
    <x:row r="2512">
      <x:c r="C2512" s="15"/>
    </x:row>
    <x:row r="2513">
      <x:c r="C2513" s="15"/>
    </x:row>
    <x:row r="2514">
      <x:c r="C2514" s="15"/>
    </x:row>
    <x:row r="2515">
      <x:c r="C2515" s="15"/>
    </x:row>
    <x:row r="2516">
      <x:c r="C2516" s="15"/>
    </x:row>
    <x:row r="2517">
      <x:c r="C2517" s="15"/>
    </x:row>
    <x:row r="2518">
      <x:c r="C2518" s="15"/>
    </x:row>
    <x:row r="2519">
      <x:c r="C2519" s="15"/>
    </x:row>
    <x:row r="2520">
      <x:c r="C2520" s="15"/>
    </x:row>
    <x:row r="2521">
      <x:c r="C2521" s="15"/>
    </x:row>
    <x:row r="2522">
      <x:c r="C2522" s="15"/>
    </x:row>
    <x:row r="2523">
      <x:c r="C2523" s="15"/>
    </x:row>
    <x:row r="2524">
      <x:c r="C2524" s="15"/>
    </x:row>
    <x:row r="2525">
      <x:c r="C2525" s="15"/>
    </x:row>
    <x:row r="2526">
      <x:c r="C2526" s="15"/>
    </x:row>
    <x:row r="2527">
      <x:c r="C2527" s="15"/>
    </x:row>
    <x:row r="2528">
      <x:c r="C2528" s="15"/>
    </x:row>
    <x:row r="2529">
      <x:c r="C2529" s="15"/>
    </x:row>
    <x:row r="2530">
      <x:c r="C2530" s="15"/>
    </x:row>
    <x:row r="2531">
      <x:c r="C2531" s="15"/>
    </x:row>
    <x:row r="2532">
      <x:c r="C2532" s="15"/>
    </x:row>
    <x:row r="2533">
      <x:c r="C2533" s="15"/>
    </x:row>
    <x:row r="2534">
      <x:c r="C2534" s="15"/>
    </x:row>
    <x:row r="2535">
      <x:c r="C2535" s="15"/>
    </x:row>
    <x:row r="2536">
      <x:c r="C2536" s="15"/>
    </x:row>
    <x:row r="2537">
      <x:c r="C2537" s="15"/>
    </x:row>
    <x:row r="2538">
      <x:c r="C2538" s="15"/>
    </x:row>
    <x:row r="2539">
      <x:c r="C2539" s="15"/>
    </x:row>
    <x:row r="2540">
      <x:c r="C2540" s="15"/>
    </x:row>
    <x:row r="2541">
      <x:c r="C2541" s="15"/>
    </x:row>
    <x:row r="2542">
      <x:c r="C2542" s="15"/>
    </x:row>
    <x:row r="2543">
      <x:c r="C2543" s="15"/>
    </x:row>
    <x:row r="2544">
      <x:c r="C2544" s="15"/>
    </x:row>
    <x:row r="2545">
      <x:c r="C2545" s="15"/>
    </x:row>
    <x:row r="2546">
      <x:c r="C2546" s="15"/>
    </x:row>
    <x:row r="2547">
      <x:c r="C2547" s="15"/>
    </x:row>
    <x:row r="2548">
      <x:c r="C2548" s="15"/>
    </x:row>
    <x:row r="2549">
      <x:c r="C2549" s="15"/>
    </x:row>
    <x:row r="2550">
      <x:c r="C2550" s="15"/>
    </x:row>
    <x:row r="2551">
      <x:c r="C2551" s="15"/>
    </x:row>
    <x:row r="2552">
      <x:c r="C2552" s="15"/>
    </x:row>
    <x:row r="2553">
      <x:c r="C2553" s="15"/>
    </x:row>
    <x:row r="2554">
      <x:c r="C2554" s="15"/>
    </x:row>
    <x:row r="2555">
      <x:c r="C2555" s="15"/>
    </x:row>
    <x:row r="2556">
      <x:c r="C2556" s="15"/>
    </x:row>
    <x:row r="2557">
      <x:c r="C2557" s="15"/>
    </x:row>
    <x:row r="2558">
      <x:c r="C2558" s="15"/>
    </x:row>
    <x:row r="2559">
      <x:c r="C2559" s="15"/>
    </x:row>
    <x:row r="2560">
      <x:c r="C2560" s="15"/>
    </x:row>
    <x:row r="2561">
      <x:c r="C2561" s="15"/>
    </x:row>
    <x:row r="2562">
      <x:c r="C2562" s="15"/>
    </x:row>
    <x:row r="2563">
      <x:c r="C2563" s="15"/>
    </x:row>
    <x:row r="2564">
      <x:c r="C2564" s="15"/>
    </x:row>
    <x:row r="2565">
      <x:c r="C2565" s="15"/>
    </x:row>
    <x:row r="2566">
      <x:c r="C2566" s="15"/>
    </x:row>
    <x:row r="2567">
      <x:c r="C2567" s="15"/>
    </x:row>
    <x:row r="2568">
      <x:c r="C2568" s="15"/>
    </x:row>
    <x:row r="2569">
      <x:c r="C2569" s="15"/>
    </x:row>
    <x:row r="2570">
      <x:c r="C2570" s="15"/>
    </x:row>
    <x:row r="2571">
      <x:c r="C2571" s="15"/>
    </x:row>
    <x:row r="2572">
      <x:c r="C2572" s="15"/>
    </x:row>
    <x:row r="2573">
      <x:c r="C2573" s="15"/>
    </x:row>
    <x:row r="2574">
      <x:c r="C2574" s="15"/>
    </x:row>
    <x:row r="2575">
      <x:c r="C2575" s="15"/>
    </x:row>
    <x:row r="2576">
      <x:c r="C2576" s="15"/>
    </x:row>
    <x:row r="2577">
      <x:c r="C2577" s="15"/>
    </x:row>
    <x:row r="2578">
      <x:c r="C2578" s="15"/>
    </x:row>
    <x:row r="2579">
      <x:c r="C2579" s="15"/>
    </x:row>
    <x:row r="2580">
      <x:c r="C2580" s="15"/>
    </x:row>
    <x:row r="2581">
      <x:c r="C2581" s="15"/>
    </x:row>
    <x:row r="2582">
      <x:c r="C2582" s="15"/>
    </x:row>
    <x:row r="2583">
      <x:c r="C2583" s="15"/>
    </x:row>
    <x:row r="2584">
      <x:c r="C2584" s="15"/>
    </x:row>
    <x:row r="2585">
      <x:c r="C2585" s="15"/>
    </x:row>
    <x:row r="2586">
      <x:c r="C2586" s="15"/>
    </x:row>
    <x:row r="2587">
      <x:c r="C2587" s="15"/>
    </x:row>
    <x:row r="2588">
      <x:c r="C2588" s="15"/>
    </x:row>
    <x:row r="2589">
      <x:c r="C2589" s="15"/>
    </x:row>
    <x:row r="2590">
      <x:c r="C2590" s="15"/>
    </x:row>
    <x:row r="2591">
      <x:c r="C2591" s="15"/>
    </x:row>
    <x:row r="2592">
      <x:c r="C2592" s="15"/>
    </x:row>
    <x:row r="2593">
      <x:c r="C2593" s="15"/>
    </x:row>
    <x:row r="2594">
      <x:c r="C2594" s="15"/>
    </x:row>
    <x:row r="2595">
      <x:c r="C2595" s="15"/>
    </x:row>
    <x:row r="2596">
      <x:c r="C2596" s="15"/>
    </x:row>
    <x:row r="2597">
      <x:c r="C2597" s="15"/>
    </x:row>
    <x:row r="2598">
      <x:c r="C2598" s="15"/>
    </x:row>
    <x:row r="2599">
      <x:c r="C2599" s="15"/>
    </x:row>
    <x:row r="2600">
      <x:c r="C2600" s="15"/>
    </x:row>
    <x:row r="2601">
      <x:c r="C2601" s="15"/>
    </x:row>
    <x:row r="2602">
      <x:c r="C2602" s="15"/>
    </x:row>
    <x:row r="2603">
      <x:c r="C2603" s="15"/>
    </x:row>
    <x:row r="2604">
      <x:c r="C2604" s="15"/>
    </x:row>
    <x:row r="2605">
      <x:c r="C2605" s="15"/>
    </x:row>
    <x:row r="2606">
      <x:c r="C2606" s="15"/>
    </x:row>
    <x:row r="2607">
      <x:c r="C2607" s="15"/>
    </x:row>
    <x:row r="2608">
      <x:c r="C2608" s="15"/>
    </x:row>
    <x:row r="2609">
      <x:c r="C2609" s="15"/>
    </x:row>
    <x:row r="2610">
      <x:c r="C2610" s="15"/>
    </x:row>
    <x:row r="2611">
      <x:c r="C2611" s="15"/>
    </x:row>
    <x:row r="2612">
      <x:c r="C2612" s="15"/>
    </x:row>
    <x:row r="2613">
      <x:c r="C2613" s="15"/>
    </x:row>
    <x:row r="2614">
      <x:c r="C2614" s="15"/>
    </x:row>
    <x:row r="2615">
      <x:c r="C2615" s="15"/>
    </x:row>
    <x:row r="2616">
      <x:c r="C2616" s="15"/>
    </x:row>
    <x:row r="2617">
      <x:c r="C2617" s="15"/>
    </x:row>
    <x:row r="2618">
      <x:c r="C2618" s="15"/>
    </x:row>
    <x:row r="2619">
      <x:c r="C2619" s="15"/>
    </x:row>
    <x:row r="2620">
      <x:c r="C2620" s="15"/>
    </x:row>
    <x:row r="2621">
      <x:c r="C2621" s="15"/>
    </x:row>
    <x:row r="2622">
      <x:c r="C2622" s="15"/>
    </x:row>
    <x:row r="2623">
      <x:c r="C2623" s="15"/>
    </x:row>
    <x:row r="2624">
      <x:c r="C2624" s="15"/>
    </x:row>
    <x:row r="2625">
      <x:c r="C2625" s="15"/>
    </x:row>
    <x:row r="2626">
      <x:c r="C2626" s="15"/>
    </x:row>
    <x:row r="2627">
      <x:c r="C2627" s="15"/>
    </x:row>
    <x:row r="2628">
      <x:c r="C2628" s="15"/>
    </x:row>
    <x:row r="2629">
      <x:c r="C2629" s="15"/>
    </x:row>
    <x:row r="2630">
      <x:c r="C2630" s="15"/>
    </x:row>
    <x:row r="2631">
      <x:c r="C2631" s="15"/>
    </x:row>
    <x:row r="2632">
      <x:c r="C2632" s="15"/>
    </x:row>
    <x:row r="2633">
      <x:c r="C2633" s="15"/>
    </x:row>
    <x:row r="2634">
      <x:c r="C2634" s="15"/>
    </x:row>
    <x:row r="2635">
      <x:c r="C2635" s="15"/>
    </x:row>
    <x:row r="2636">
      <x:c r="C2636" s="15"/>
    </x:row>
    <x:row r="2637">
      <x:c r="C2637" s="15"/>
    </x:row>
    <x:row r="2638">
      <x:c r="C2638" s="15"/>
    </x:row>
    <x:row r="2639">
      <x:c r="C2639" s="15"/>
    </x:row>
    <x:row r="2640">
      <x:c r="C2640" s="15"/>
    </x:row>
    <x:row r="2641">
      <x:c r="C2641" s="15"/>
    </x:row>
    <x:row r="2642">
      <x:c r="C2642" s="15"/>
    </x:row>
    <x:row r="2643">
      <x:c r="C2643" s="15"/>
    </x:row>
    <x:row r="2644">
      <x:c r="C2644" s="15"/>
    </x:row>
    <x:row r="2645">
      <x:c r="C2645" s="15"/>
    </x:row>
    <x:row r="2646">
      <x:c r="C2646" s="15"/>
    </x:row>
    <x:row r="2647">
      <x:c r="C2647" s="15"/>
    </x:row>
    <x:row r="2648">
      <x:c r="C2648" s="15"/>
    </x:row>
    <x:row r="2649">
      <x:c r="C2649" s="15"/>
    </x:row>
    <x:row r="2650">
      <x:c r="C2650" s="15"/>
    </x:row>
    <x:row r="2651">
      <x:c r="C2651" s="15"/>
    </x:row>
    <x:row r="2652">
      <x:c r="C2652" s="15"/>
    </x:row>
    <x:row r="2653">
      <x:c r="C2653" s="15"/>
    </x:row>
    <x:row r="2654">
      <x:c r="C2654" s="15"/>
    </x:row>
    <x:row r="2655">
      <x:c r="C2655" s="15"/>
    </x:row>
    <x:row r="2656">
      <x:c r="C2656" s="15"/>
    </x:row>
    <x:row r="2657">
      <x:c r="C2657" s="15"/>
    </x:row>
    <x:row r="2658">
      <x:c r="C2658" s="15"/>
    </x:row>
    <x:row r="2659">
      <x:c r="C2659" s="15"/>
    </x:row>
    <x:row r="2660">
      <x:c r="C2660" s="15"/>
    </x:row>
    <x:row r="2661">
      <x:c r="C2661" s="15"/>
    </x:row>
    <x:row r="2662">
      <x:c r="C2662" s="15"/>
    </x:row>
    <x:row r="2663">
      <x:c r="C2663" s="15"/>
    </x:row>
    <x:row r="2664">
      <x:c r="C2664" s="15"/>
    </x:row>
    <x:row r="2665">
      <x:c r="C2665" s="15"/>
    </x:row>
    <x:row r="2666">
      <x:c r="C2666" s="15"/>
    </x:row>
    <x:row r="2667">
      <x:c r="C2667" s="15"/>
    </x:row>
    <x:row r="2668">
      <x:c r="C2668" s="15"/>
    </x:row>
    <x:row r="2669">
      <x:c r="C2669" s="15"/>
    </x:row>
    <x:row r="2670">
      <x:c r="C2670" s="15"/>
    </x:row>
    <x:row r="2671">
      <x:c r="C2671" s="15"/>
    </x:row>
    <x:row r="2672">
      <x:c r="C2672" s="15"/>
    </x:row>
    <x:row r="2673">
      <x:c r="C2673" s="15"/>
    </x:row>
    <x:row r="2674">
      <x:c r="C2674" s="15"/>
    </x:row>
    <x:row r="2675">
      <x:c r="C2675" s="15"/>
    </x:row>
    <x:row r="2676">
      <x:c r="C2676" s="15"/>
    </x:row>
    <x:row r="2677">
      <x:c r="C2677" s="15"/>
    </x:row>
    <x:row r="2678">
      <x:c r="C2678" s="15"/>
    </x:row>
    <x:row r="2679">
      <x:c r="C2679" s="15"/>
    </x:row>
    <x:row r="2680">
      <x:c r="C2680" s="15"/>
    </x:row>
    <x:row r="2681">
      <x:c r="C2681" s="15"/>
    </x:row>
    <x:row r="2682">
      <x:c r="C2682" s="15"/>
    </x:row>
    <x:row r="2683">
      <x:c r="C2683" s="15"/>
    </x:row>
    <x:row r="2684">
      <x:c r="C2684" s="15"/>
    </x:row>
    <x:row r="2685">
      <x:c r="C2685" s="15"/>
    </x:row>
    <x:row r="2686">
      <x:c r="C2686" s="15"/>
    </x:row>
    <x:row r="2687">
      <x:c r="C2687" s="15"/>
    </x:row>
    <x:row r="2688">
      <x:c r="C2688" s="15"/>
    </x:row>
    <x:row r="2689">
      <x:c r="C2689" s="15"/>
    </x:row>
    <x:row r="2690">
      <x:c r="C2690" s="15"/>
    </x:row>
    <x:row r="2691">
      <x:c r="C2691" s="15"/>
    </x:row>
    <x:row r="2692">
      <x:c r="C2692" s="15"/>
    </x:row>
    <x:row r="2693">
      <x:c r="C2693" s="15"/>
    </x:row>
    <x:row r="2694">
      <x:c r="C2694" s="15"/>
    </x:row>
    <x:row r="2695">
      <x:c r="C2695" s="15"/>
    </x:row>
    <x:row r="2696">
      <x:c r="C2696" s="15"/>
    </x:row>
    <x:row r="2697">
      <x:c r="C2697" s="15"/>
    </x:row>
    <x:row r="2698">
      <x:c r="C2698" s="15"/>
    </x:row>
    <x:row r="2699">
      <x:c r="C2699" s="15"/>
    </x:row>
    <x:row r="2700">
      <x:c r="C2700" s="15"/>
    </x:row>
    <x:row r="2701">
      <x:c r="C2701" s="15"/>
    </x:row>
    <x:row r="2702">
      <x:c r="C2702" s="15"/>
    </x:row>
    <x:row r="2703">
      <x:c r="C2703" s="15"/>
    </x:row>
    <x:row r="2704">
      <x:c r="C2704" s="15"/>
    </x:row>
    <x:row r="2705">
      <x:c r="C2705" s="15"/>
    </x:row>
    <x:row r="2706">
      <x:c r="C2706" s="15"/>
    </x:row>
    <x:row r="2707">
      <x:c r="C2707" s="15"/>
    </x:row>
    <x:row r="2708">
      <x:c r="C2708" s="15"/>
    </x:row>
    <x:row r="2709">
      <x:c r="C2709" s="15"/>
    </x:row>
    <x:row r="2710">
      <x:c r="C2710" s="15"/>
    </x:row>
    <x:row r="2711">
      <x:c r="C2711" s="15"/>
    </x:row>
    <x:row r="2712">
      <x:c r="C2712" s="15"/>
    </x:row>
    <x:row r="2713">
      <x:c r="C2713" s="15"/>
    </x:row>
    <x:row r="2714">
      <x:c r="C2714" s="15"/>
    </x:row>
    <x:row r="2715">
      <x:c r="C2715" s="15"/>
    </x:row>
    <x:row r="2716">
      <x:c r="C2716" s="15"/>
    </x:row>
    <x:row r="2717">
      <x:c r="C2717" s="15"/>
    </x:row>
    <x:row r="2718">
      <x:c r="C2718" s="15"/>
    </x:row>
    <x:row r="2719">
      <x:c r="C2719" s="15"/>
    </x:row>
    <x:row r="2720">
      <x:c r="C2720" s="15"/>
    </x:row>
    <x:row r="2721">
      <x:c r="C2721" s="15"/>
    </x:row>
    <x:row r="2722">
      <x:c r="C2722" s="15"/>
    </x:row>
    <x:row r="2723">
      <x:c r="C2723" s="15"/>
    </x:row>
    <x:row r="2724">
      <x:c r="C2724" s="15"/>
    </x:row>
    <x:row r="2725">
      <x:c r="C2725" s="15"/>
    </x:row>
    <x:row r="2726">
      <x:c r="C2726" s="15"/>
    </x:row>
    <x:row r="2727">
      <x:c r="C2727" s="15"/>
    </x:row>
    <x:row r="2728">
      <x:c r="C2728" s="15"/>
    </x:row>
    <x:row r="2729">
      <x:c r="C2729" s="15"/>
    </x:row>
    <x:row r="2730">
      <x:c r="C2730" s="15"/>
    </x:row>
    <x:row r="2731">
      <x:c r="C2731" s="15"/>
    </x:row>
    <x:row r="2732">
      <x:c r="C2732" s="15"/>
    </x:row>
    <x:row r="2733">
      <x:c r="C2733" s="15"/>
    </x:row>
    <x:row r="2734">
      <x:c r="C2734" s="15"/>
    </x:row>
    <x:row r="2735">
      <x:c r="C2735" s="15"/>
    </x:row>
    <x:row r="2736">
      <x:c r="C2736" s="15"/>
    </x:row>
    <x:row r="2737">
      <x:c r="C2737" s="15"/>
    </x:row>
    <x:row r="2738">
      <x:c r="C2738" s="15"/>
    </x:row>
    <x:row r="2739">
      <x:c r="C2739" s="15"/>
    </x:row>
    <x:row r="2740">
      <x:c r="C2740" s="15"/>
    </x:row>
    <x:row r="2741">
      <x:c r="C2741" s="15"/>
    </x:row>
    <x:row r="2742">
      <x:c r="C2742" s="15"/>
    </x:row>
    <x:row r="2743">
      <x:c r="C2743" s="15"/>
    </x:row>
    <x:row r="2744">
      <x:c r="C2744" s="15"/>
    </x:row>
    <x:row r="2745">
      <x:c r="C2745" s="15"/>
    </x:row>
    <x:row r="2746">
      <x:c r="C2746" s="15"/>
    </x:row>
    <x:row r="2747">
      <x:c r="C2747" s="15"/>
    </x:row>
    <x:row r="2748">
      <x:c r="C2748" s="15"/>
    </x:row>
    <x:row r="2749">
      <x:c r="C2749" s="15"/>
    </x:row>
    <x:row r="2750">
      <x:c r="C2750" s="15"/>
    </x:row>
    <x:row r="2751">
      <x:c r="C2751" s="15"/>
    </x:row>
    <x:row r="2752">
      <x:c r="C2752" s="15"/>
    </x:row>
    <x:row r="2753">
      <x:c r="C2753" s="15"/>
    </x:row>
    <x:row r="2754">
      <x:c r="C2754" s="15"/>
    </x:row>
    <x:row r="2755">
      <x:c r="C2755" s="15"/>
    </x:row>
    <x:row r="2756">
      <x:c r="C2756" s="15"/>
    </x:row>
    <x:row r="2757">
      <x:c r="C2757" s="15"/>
    </x:row>
    <x:row r="2758">
      <x:c r="C2758" s="15"/>
    </x:row>
    <x:row r="2759">
      <x:c r="C2759" s="15"/>
    </x:row>
    <x:row r="2760">
      <x:c r="C2760" s="15"/>
    </x:row>
    <x:row r="2761">
      <x:c r="C2761" s="15"/>
    </x:row>
    <x:row r="2762">
      <x:c r="C2762" s="15"/>
    </x:row>
    <x:row r="2763">
      <x:c r="C2763" s="15"/>
    </x:row>
    <x:row r="2764">
      <x:c r="C2764" s="15"/>
    </x:row>
    <x:row r="2765">
      <x:c r="C2765" s="15"/>
    </x:row>
    <x:row r="2766">
      <x:c r="C2766" s="15"/>
    </x:row>
    <x:row r="2767">
      <x:c r="C2767" s="15"/>
    </x:row>
    <x:row r="2768">
      <x:c r="C2768" s="15"/>
    </x:row>
    <x:row r="2769">
      <x:c r="C2769" s="15"/>
    </x:row>
    <x:row r="2770">
      <x:c r="C2770" s="15"/>
    </x:row>
    <x:row r="2771">
      <x:c r="C2771" s="15"/>
    </x:row>
    <x:row r="2772">
      <x:c r="C2772" s="15"/>
    </x:row>
    <x:row r="2773">
      <x:c r="C2773" s="15"/>
    </x:row>
    <x:row r="2774">
      <x:c r="C2774" s="15"/>
    </x:row>
    <x:row r="2775">
      <x:c r="C2775" s="15"/>
    </x:row>
    <x:row r="2776">
      <x:c r="C2776" s="15"/>
    </x:row>
    <x:row r="2777">
      <x:c r="C2777" s="15"/>
    </x:row>
    <x:row r="2778">
      <x:c r="C2778" s="15"/>
    </x:row>
    <x:row r="2779">
      <x:c r="C2779" s="15"/>
    </x:row>
    <x:row r="2780">
      <x:c r="C2780" s="15"/>
    </x:row>
    <x:row r="2781">
      <x:c r="C2781" s="15"/>
    </x:row>
    <x:row r="2782">
      <x:c r="C2782" s="15"/>
    </x:row>
    <x:row r="2783">
      <x:c r="C2783" s="15"/>
    </x:row>
    <x:row r="2784">
      <x:c r="C2784" s="15"/>
    </x:row>
    <x:row r="2785">
      <x:c r="C2785" s="15"/>
    </x:row>
    <x:row r="2786">
      <x:c r="C2786" s="15"/>
    </x:row>
    <x:row r="2787">
      <x:c r="C2787" s="15"/>
    </x:row>
    <x:row r="2788">
      <x:c r="C2788" s="15"/>
    </x:row>
    <x:row r="2789">
      <x:c r="C2789" s="15"/>
    </x:row>
    <x:row r="2790">
      <x:c r="C2790" s="15"/>
    </x:row>
    <x:row r="2791">
      <x:c r="C2791" s="15"/>
    </x:row>
    <x:row r="2792">
      <x:c r="C2792" s="15"/>
    </x:row>
    <x:row r="2793">
      <x:c r="C2793" s="15"/>
    </x:row>
    <x:row r="2794">
      <x:c r="C2794" s="15"/>
    </x:row>
    <x:row r="2795">
      <x:c r="C2795" s="15"/>
    </x:row>
    <x:row r="2796">
      <x:c r="C2796" s="15"/>
    </x:row>
    <x:row r="2797">
      <x:c r="C2797" s="15"/>
    </x:row>
    <x:row r="2798">
      <x:c r="C2798" s="15"/>
    </x:row>
    <x:row r="2799">
      <x:c r="C2799" s="15"/>
    </x:row>
    <x:row r="2800">
      <x:c r="C2800" s="15"/>
    </x:row>
    <x:row r="2801">
      <x:c r="C2801" s="15"/>
    </x:row>
    <x:row r="2802">
      <x:c r="C2802" s="15"/>
    </x:row>
    <x:row r="2803">
      <x:c r="C2803" s="15"/>
    </x:row>
    <x:row r="2804">
      <x:c r="C2804" s="15"/>
    </x:row>
    <x:row r="2805">
      <x:c r="C2805" s="15"/>
    </x:row>
    <x:row r="2806">
      <x:c r="C2806" s="15"/>
    </x:row>
    <x:row r="2807">
      <x:c r="C2807" s="15"/>
    </x:row>
    <x:row r="2808">
      <x:c r="C2808" s="15"/>
    </x:row>
    <x:row r="2809">
      <x:c r="C2809" s="15"/>
    </x:row>
    <x:row r="2810">
      <x:c r="C2810" s="15"/>
    </x:row>
    <x:row r="2811">
      <x:c r="C2811" s="15"/>
    </x:row>
    <x:row r="2812">
      <x:c r="C2812" s="15"/>
    </x:row>
    <x:row r="2813">
      <x:c r="C2813" s="15"/>
    </x:row>
    <x:row r="2814">
      <x:c r="C2814" s="15"/>
    </x:row>
    <x:row r="2815">
      <x:c r="C2815" s="15"/>
    </x:row>
    <x:row r="2816">
      <x:c r="C2816" s="15"/>
    </x:row>
    <x:row r="2817">
      <x:c r="C2817" s="15"/>
    </x:row>
    <x:row r="2818">
      <x:c r="C2818" s="15"/>
    </x:row>
    <x:row r="2819">
      <x:c r="C2819" s="15"/>
    </x:row>
    <x:row r="2820">
      <x:c r="C2820" s="15"/>
    </x:row>
    <x:row r="2821">
      <x:c r="C2821" s="15"/>
    </x:row>
    <x:row r="2822">
      <x:c r="C2822" s="15"/>
    </x:row>
    <x:row r="2823">
      <x:c r="C2823" s="15"/>
    </x:row>
    <x:row r="2824">
      <x:c r="C2824" s="15"/>
    </x:row>
    <x:row r="2825">
      <x:c r="C2825" s="15"/>
    </x:row>
    <x:row r="2826">
      <x:c r="C2826" s="15"/>
    </x:row>
    <x:row r="2827">
      <x:c r="C2827" s="15"/>
    </x:row>
    <x:row r="2828">
      <x:c r="C2828" s="15"/>
    </x:row>
    <x:row r="2829">
      <x:c r="C2829" s="15"/>
    </x:row>
    <x:row r="2830">
      <x:c r="C2830" s="15"/>
    </x:row>
    <x:row r="2831">
      <x:c r="C2831" s="15"/>
    </x:row>
    <x:row r="2832">
      <x:c r="C2832" s="15"/>
    </x:row>
    <x:row r="2833">
      <x:c r="C2833" s="15"/>
    </x:row>
    <x:row r="2834">
      <x:c r="C2834" s="15"/>
    </x:row>
    <x:row r="2835">
      <x:c r="C2835" s="15"/>
    </x:row>
    <x:row r="2836">
      <x:c r="C2836" s="15"/>
    </x:row>
    <x:row r="2837">
      <x:c r="C2837" s="15"/>
    </x:row>
    <x:row r="2838">
      <x:c r="C2838" s="15"/>
    </x:row>
    <x:row r="2839">
      <x:c r="C2839" s="15"/>
    </x:row>
    <x:row r="2840">
      <x:c r="C2840" s="15"/>
    </x:row>
    <x:row r="2841">
      <x:c r="C2841" s="15"/>
    </x:row>
    <x:row r="2842">
      <x:c r="C2842" s="15"/>
    </x:row>
    <x:row r="2843">
      <x:c r="C2843" s="15"/>
    </x:row>
    <x:row r="2844">
      <x:c r="C2844" s="15"/>
    </x:row>
    <x:row r="2845">
      <x:c r="C2845" s="15"/>
    </x:row>
    <x:row r="2846">
      <x:c r="C2846" s="15"/>
    </x:row>
    <x:row r="2847">
      <x:c r="C2847" s="15"/>
    </x:row>
    <x:row r="2848">
      <x:c r="C2848" s="15"/>
    </x:row>
    <x:row r="2849">
      <x:c r="C2849" s="15"/>
    </x:row>
    <x:row r="2850">
      <x:c r="C2850" s="15"/>
    </x:row>
    <x:row r="2851">
      <x:c r="C2851" s="15"/>
    </x:row>
    <x:row r="2852">
      <x:c r="C2852" s="15"/>
    </x:row>
    <x:row r="2853">
      <x:c r="C2853" s="15"/>
    </x:row>
    <x:row r="2854">
      <x:c r="C2854" s="15"/>
    </x:row>
    <x:row r="2855">
      <x:c r="C2855" s="15"/>
    </x:row>
    <x:row r="2856">
      <x:c r="C2856" s="15"/>
    </x:row>
    <x:row r="2857">
      <x:c r="C2857" s="15"/>
    </x:row>
    <x:row r="2858">
      <x:c r="C2858" s="15"/>
    </x:row>
    <x:row r="2859">
      <x:c r="C2859" s="15"/>
    </x:row>
    <x:row r="2860">
      <x:c r="C2860" s="15"/>
    </x:row>
    <x:row r="2861">
      <x:c r="C2861" s="15"/>
    </x:row>
    <x:row r="2862">
      <x:c r="C2862" s="15"/>
    </x:row>
    <x:row r="2863">
      <x:c r="C2863" s="15"/>
    </x:row>
    <x:row r="2864">
      <x:c r="C2864" s="15"/>
    </x:row>
    <x:row r="2865">
      <x:c r="C2865" s="15"/>
    </x:row>
    <x:row r="2866">
      <x:c r="C2866" s="15"/>
    </x:row>
    <x:row r="2867">
      <x:c r="C2867" s="15"/>
    </x:row>
    <x:row r="2868">
      <x:c r="C2868" s="15"/>
    </x:row>
    <x:row r="2869">
      <x:c r="C2869" s="15"/>
    </x:row>
    <x:row r="2870">
      <x:c r="C2870" s="15"/>
    </x:row>
    <x:row r="2871">
      <x:c r="C2871" s="15"/>
    </x:row>
    <x:row r="2872">
      <x:c r="C2872" s="15"/>
    </x:row>
    <x:row r="2873">
      <x:c r="C2873" s="15"/>
    </x:row>
    <x:row r="2874">
      <x:c r="C2874" s="15"/>
    </x:row>
    <x:row r="2875">
      <x:c r="C2875" s="15"/>
    </x:row>
    <x:row r="2876">
      <x:c r="C2876" s="15"/>
    </x:row>
    <x:row r="2877">
      <x:c r="C2877" s="15"/>
    </x:row>
    <x:row r="2878">
      <x:c r="C2878" s="15"/>
    </x:row>
    <x:row r="2879">
      <x:c r="C2879" s="15"/>
    </x:row>
    <x:row r="2880">
      <x:c r="C2880" s="15"/>
    </x:row>
    <x:row r="2881">
      <x:c r="C2881" s="15"/>
    </x:row>
    <x:row r="2882">
      <x:c r="C2882" s="15"/>
    </x:row>
    <x:row r="2883">
      <x:c r="C2883" s="15"/>
    </x:row>
    <x:row r="2884">
      <x:c r="C2884" s="15"/>
    </x:row>
    <x:row r="2885">
      <x:c r="C2885" s="15"/>
    </x:row>
    <x:row r="2886">
      <x:c r="C2886" s="15"/>
    </x:row>
    <x:row r="2887">
      <x:c r="C2887" s="15"/>
    </x:row>
    <x:row r="2888">
      <x:c r="C2888" s="15"/>
    </x:row>
    <x:row r="2889">
      <x:c r="C2889" s="15"/>
    </x:row>
    <x:row r="2890">
      <x:c r="C2890" s="15"/>
    </x:row>
    <x:row r="2891">
      <x:c r="C2891" s="15"/>
    </x:row>
    <x:row r="2892">
      <x:c r="C2892" s="15"/>
    </x:row>
    <x:row r="2893">
      <x:c r="C2893" s="15"/>
    </x:row>
    <x:row r="2894">
      <x:c r="C2894" s="15"/>
    </x:row>
    <x:row r="2895">
      <x:c r="C2895" s="15"/>
    </x:row>
    <x:row r="2896">
      <x:c r="C2896" s="15"/>
    </x:row>
    <x:row r="2897">
      <x:c r="C2897" s="15"/>
    </x:row>
    <x:row r="2898">
      <x:c r="C2898" s="15"/>
    </x:row>
    <x:row r="2899">
      <x:c r="C2899" s="15"/>
    </x:row>
    <x:row r="2900">
      <x:c r="C2900" s="15"/>
    </x:row>
    <x:row r="2901">
      <x:c r="C2901" s="15"/>
    </x:row>
    <x:row r="2902">
      <x:c r="C2902" s="15"/>
    </x:row>
    <x:row r="2903">
      <x:c r="C2903" s="15"/>
    </x:row>
    <x:row r="2904">
      <x:c r="C2904" s="15"/>
    </x:row>
    <x:row r="2905">
      <x:c r="C2905" s="15"/>
    </x:row>
    <x:row r="2906">
      <x:c r="C2906" s="15"/>
    </x:row>
    <x:row r="2907">
      <x:c r="C2907" s="15"/>
    </x:row>
    <x:row r="2908">
      <x:c r="C2908" s="15"/>
    </x:row>
    <x:row r="2909">
      <x:c r="C2909" s="15"/>
    </x:row>
    <x:row r="2910">
      <x:c r="C2910" s="15"/>
    </x:row>
    <x:row r="2911">
      <x:c r="C2911" s="15"/>
    </x:row>
    <x:row r="2912">
      <x:c r="C2912" s="15"/>
    </x:row>
    <x:row r="2913">
      <x:c r="C2913" s="15"/>
    </x:row>
    <x:row r="2914">
      <x:c r="C2914" s="15"/>
    </x:row>
    <x:row r="2915">
      <x:c r="C2915" s="15"/>
    </x:row>
    <x:row r="2916">
      <x:c r="C2916" s="15"/>
    </x:row>
    <x:row r="2917">
      <x:c r="C2917" s="15"/>
    </x:row>
    <x:row r="2918">
      <x:c r="C2918" s="15"/>
    </x:row>
    <x:row r="2919">
      <x:c r="C2919" s="15"/>
    </x:row>
    <x:row r="2920">
      <x:c r="C2920" s="15"/>
    </x:row>
    <x:row r="2921">
      <x:c r="C2921" s="15"/>
    </x:row>
    <x:row r="2922">
      <x:c r="C2922" s="15"/>
    </x:row>
    <x:row r="2923">
      <x:c r="C2923" s="15"/>
    </x:row>
    <x:row r="2924">
      <x:c r="C2924" s="15"/>
    </x:row>
    <x:row r="2925">
      <x:c r="C2925" s="15"/>
    </x:row>
    <x:row r="2926">
      <x:c r="C2926" s="15"/>
    </x:row>
    <x:row r="2927">
      <x:c r="C2927" s="15"/>
    </x:row>
    <x:row r="2928">
      <x:c r="C2928" s="15"/>
    </x:row>
    <x:row r="2929">
      <x:c r="C2929" s="15"/>
    </x:row>
    <x:row r="2930">
      <x:c r="C2930" s="15"/>
    </x:row>
    <x:row r="2931">
      <x:c r="C2931" s="15"/>
    </x:row>
    <x:row r="2932">
      <x:c r="C2932" s="15"/>
    </x:row>
    <x:row r="2933">
      <x:c r="C2933" s="15"/>
    </x:row>
    <x:row r="2934">
      <x:c r="C2934" s="15"/>
    </x:row>
    <x:row r="2935">
      <x:c r="C2935" s="15"/>
    </x:row>
    <x:row r="2936">
      <x:c r="C2936" s="15"/>
    </x:row>
    <x:row r="2937">
      <x:c r="C2937" s="15"/>
    </x:row>
    <x:row r="2938">
      <x:c r="C2938" s="15"/>
    </x:row>
    <x:row r="2939">
      <x:c r="C2939" s="15"/>
    </x:row>
    <x:row r="2940">
      <x:c r="C2940" s="15"/>
    </x:row>
    <x:row r="2941">
      <x:c r="C2941" s="15"/>
    </x:row>
    <x:row r="2942">
      <x:c r="C2942" s="15"/>
    </x:row>
    <x:row r="2943">
      <x:c r="C2943" s="15"/>
    </x:row>
    <x:row r="2944">
      <x:c r="C2944" s="15"/>
    </x:row>
    <x:row r="2945">
      <x:c r="C2945" s="15"/>
    </x:row>
    <x:row r="2946">
      <x:c r="C2946" s="15"/>
    </x:row>
    <x:row r="2947">
      <x:c r="C2947" s="15"/>
    </x:row>
    <x:row r="2948">
      <x:c r="C2948" s="15"/>
    </x:row>
    <x:row r="2949">
      <x:c r="C2949" s="15"/>
    </x:row>
    <x:row r="2950">
      <x:c r="C2950" s="15"/>
    </x:row>
    <x:row r="2951">
      <x:c r="C2951" s="15"/>
    </x:row>
    <x:row r="2952">
      <x:c r="C2952" s="15"/>
    </x:row>
    <x:row r="2953">
      <x:c r="C2953" s="15"/>
    </x:row>
    <x:row r="2954">
      <x:c r="C2954" s="15"/>
    </x:row>
    <x:row r="2955">
      <x:c r="C2955" s="15"/>
    </x:row>
    <x:row r="2956">
      <x:c r="C2956" s="15"/>
    </x:row>
    <x:row r="2957">
      <x:c r="C2957" s="15"/>
    </x:row>
    <x:row r="2958">
      <x:c r="C2958" s="15"/>
    </x:row>
    <x:row r="2959">
      <x:c r="C2959" s="15"/>
    </x:row>
    <x:row r="2960">
      <x:c r="C2960" s="15"/>
    </x:row>
    <x:row r="2961">
      <x:c r="C2961" s="15"/>
    </x:row>
    <x:row r="2962">
      <x:c r="C2962" s="15"/>
    </x:row>
    <x:row r="2963">
      <x:c r="C2963" s="15"/>
    </x:row>
    <x:row r="2964">
      <x:c r="C2964" s="15"/>
    </x:row>
    <x:row r="2965">
      <x:c r="C2965" s="15"/>
    </x:row>
    <x:row r="2966">
      <x:c r="C2966" s="15"/>
    </x:row>
    <x:row r="2967">
      <x:c r="C2967" s="15"/>
    </x:row>
    <x:row r="2968">
      <x:c r="C2968" s="15"/>
    </x:row>
    <x:row r="2969">
      <x:c r="C2969" s="15"/>
    </x:row>
    <x:row r="2970">
      <x:c r="C2970" s="15"/>
    </x:row>
    <x:row r="2971">
      <x:c r="C2971" s="15"/>
    </x:row>
    <x:row r="2972">
      <x:c r="C2972" s="15"/>
    </x:row>
    <x:row r="2973">
      <x:c r="C2973" s="15"/>
    </x:row>
    <x:row r="2974">
      <x:c r="C2974" s="15"/>
    </x:row>
    <x:row r="2975">
      <x:c r="C2975" s="15"/>
    </x:row>
    <x:row r="2976">
      <x:c r="C2976" s="15"/>
    </x:row>
    <x:row r="2977">
      <x:c r="C2977" s="15"/>
    </x:row>
    <x:row r="2978">
      <x:c r="C2978" s="15"/>
    </x:row>
    <x:row r="2979">
      <x:c r="C2979" s="15"/>
    </x:row>
    <x:row r="2980">
      <x:c r="C2980" s="15"/>
    </x:row>
    <x:row r="2981">
      <x:c r="C2981" s="15"/>
    </x:row>
    <x:row r="2982">
      <x:c r="C2982" s="15"/>
    </x:row>
    <x:row r="2983">
      <x:c r="C2983" s="15"/>
    </x:row>
    <x:row r="2984">
      <x:c r="C2984" s="15"/>
    </x:row>
    <x:row r="2985">
      <x:c r="C2985" s="15"/>
    </x:row>
    <x:row r="2986">
      <x:c r="C2986" s="15"/>
    </x:row>
    <x:row r="2987">
      <x:c r="C2987" s="15"/>
    </x:row>
    <x:row r="2988">
      <x:c r="C2988" s="15"/>
    </x:row>
    <x:row r="2989">
      <x:c r="C2989" s="15"/>
    </x:row>
    <x:row r="2990">
      <x:c r="C2990" s="15"/>
    </x:row>
    <x:row r="2991">
      <x:c r="C2991" s="15"/>
    </x:row>
    <x:row r="2992">
      <x:c r="C2992" s="15"/>
    </x:row>
    <x:row r="2993">
      <x:c r="C2993" s="15"/>
    </x:row>
    <x:row r="2994">
      <x:c r="C2994" s="15"/>
    </x:row>
    <x:row r="2995">
      <x:c r="C2995" s="15"/>
    </x:row>
    <x:row r="2996">
      <x:c r="C2996" s="15"/>
    </x:row>
    <x:row r="2997">
      <x:c r="C2997" s="15"/>
    </x:row>
    <x:row r="2998">
      <x:c r="C2998" s="15"/>
    </x:row>
    <x:row r="2999">
      <x:c r="C2999" s="15"/>
    </x:row>
    <x:row r="3000">
      <x:c r="C3000" s="15"/>
    </x:row>
  </x:sheetData>
  <x:dataValidations count="6">
    <x:dataValidation type="list" sqref="A2:A2000">
      <x:formula1>Athlete_Profile!$A$2:$A$200</x:formula1>
    </x:dataValidation>
    <x:dataValidation type="list" sqref="B2:B2000">
      <x:formula1>"1,2,3,4,5,6,7,8"</x:formula1>
    </x:dataValidation>
    <x:dataValidation type="list" sqref="D2:D2000">
      <x:formula1>Dropdown_Lists!$H$2:$H$7</x:formula1>
    </x:dataValidation>
    <x:dataValidation type="list" sqref="A2:A3000">
      <x:formula1>Athlete_Profile!$A$2:$A$51</x:formula1>
    </x:dataValidation>
    <x:dataValidation type="list" sqref="B2:B3000">
      <x:formula1>"1,2,3,4"</x:formula1>
    </x:dataValidation>
    <x:dataValidation type="list" sqref="D2:D3000">
      <x:formula1>Dropdown_Lists!$H$2:$H$7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14.430000305175781" defaultRowHeight="15"/>
  <x:cols>
    <x:col min="1" max="4" width="12" customWidth="1"/>
    <x:col min="5" max="5" width="13" customWidth="1"/>
    <x:col min="6" max="6" width="23" customWidth="1"/>
    <x:col min="7" max="10" width="12" customWidth="1"/>
    <x:col min="11" max="11" width="44" customWidth="1"/>
    <x:col min="12" max="26" width="8.710000038146973" customWidth="1"/>
  </x:cols>
  <x:sheetData>
    <x:row r="1">
      <x:c r="A1" s="1" t="s">
        <x:v>5</x:v>
      </x:c>
      <x:c r="B1" s="1" t="s">
        <x:v>4</x:v>
      </x:c>
      <x:c r="C1" s="1" t="s">
        <x:v>23</x:v>
      </x:c>
      <x:c r="D1" s="1" t="s">
        <x:v>24</x:v>
      </x:c>
      <x:c r="E1" s="1" t="s">
        <x:v>17</x:v>
      </x:c>
      <x:c r="F1" s="1" t="s">
        <x:v>18</x:v>
      </x:c>
      <x:c r="G1" s="1" t="s">
        <x:v>25</x:v>
      </x:c>
      <x:c r="H1" s="1" t="s">
        <x:v>26</x:v>
      </x:c>
      <x:c r="I1" s="1" t="s">
        <x:v>21</x:v>
      </x:c>
      <x:c r="J1" s="1" t="s">
        <x:v>22</x:v>
      </x:c>
      <x:c r="K1" s="1" t="s">
        <x:v>27</x:v>
      </x:c>
    </x:row>
    <x:row r="2">
      <x:c r="A2" s="2" t="str">
        <x:v>Hockey</x:v>
      </x:c>
      <x:c r="B2" s="2" t="str">
        <x:v>Female</x:v>
      </x:c>
      <x:c r="C2" s="3" t="n">
        <x:v>15</x:v>
      </x:c>
      <x:c r="D2" s="3" t="n">
        <x:v>16</x:v>
      </x:c>
      <x:c r="E2" s="2" t="str">
        <x:v>sprint_5m</x:v>
      </x:c>
      <x:c r="F2" s="2" t="str">
        <x:v>5m Sprint</x:v>
      </x:c>
      <x:c r="G2" s="3" t="n">
        <x:v>1.12</x:v>
      </x:c>
      <x:c r="H2" s="3" t="n">
        <x:v>0.08</x:v>
      </x:c>
      <x:c r="I2" s="2" t="str">
        <x:v>sec</x:v>
      </x:c>
      <x:c r="J2" s="2" t="str">
        <x:v>lower</x:v>
      </x:c>
      <x:c r="K2" s="3" t="str">
        <x:v>RVX sample normative data — replace with validated source</x:v>
      </x:c>
    </x:row>
    <x:row r="3">
      <x:c r="A3" s="2" t="str">
        <x:v>Hockey</x:v>
      </x:c>
      <x:c r="B3" s="2" t="str">
        <x:v>Female</x:v>
      </x:c>
      <x:c r="C3" s="3" t="n">
        <x:v>15</x:v>
      </x:c>
      <x:c r="D3" s="3" t="n">
        <x:v>16</x:v>
      </x:c>
      <x:c r="E3" s="2" t="str">
        <x:v>sprint_10m</x:v>
      </x:c>
      <x:c r="F3" s="2" t="str">
        <x:v>10m Sprint</x:v>
      </x:c>
      <x:c r="G3" s="3" t="n">
        <x:v>1.88</x:v>
      </x:c>
      <x:c r="H3" s="3" t="n">
        <x:v>0.11</x:v>
      </x:c>
      <x:c r="I3" s="2" t="str">
        <x:v>sec</x:v>
      </x:c>
      <x:c r="J3" s="2" t="str">
        <x:v>lower</x:v>
      </x:c>
      <x:c r="K3" s="3" t="str">
        <x:v>RVX sample normative data — replace with validated source</x:v>
      </x:c>
    </x:row>
    <x:row r="4">
      <x:c r="A4" s="2" t="str">
        <x:v>Hockey</x:v>
      </x:c>
      <x:c r="B4" s="2" t="str">
        <x:v>Female</x:v>
      </x:c>
      <x:c r="C4" s="3" t="n">
        <x:v>15</x:v>
      </x:c>
      <x:c r="D4" s="3" t="n">
        <x:v>16</x:v>
      </x:c>
      <x:c r="E4" s="2" t="str">
        <x:v>pro_agility</x:v>
      </x:c>
      <x:c r="F4" s="2" t="str">
        <x:v>5-10-5 Pro Agility</x:v>
      </x:c>
      <x:c r="G4" s="3" t="n">
        <x:v>4.82</x:v>
      </x:c>
      <x:c r="H4" s="3" t="n">
        <x:v>0.24</x:v>
      </x:c>
      <x:c r="I4" s="2" t="str">
        <x:v>sec</x:v>
      </x:c>
      <x:c r="J4" s="2" t="str">
        <x:v>lower</x:v>
      </x:c>
      <x:c r="K4" s="3" t="str">
        <x:v>RVX sample normative data — replace with validated source</x:v>
      </x:c>
    </x:row>
    <x:row r="5">
      <x:c r="A5" s="2" t="str">
        <x:v>Hockey</x:v>
      </x:c>
      <x:c r="B5" s="2" t="str">
        <x:v>Female</x:v>
      </x:c>
      <x:c r="C5" s="3" t="n">
        <x:v>15</x:v>
      </x:c>
      <x:c r="D5" s="3" t="n">
        <x:v>16</x:v>
      </x:c>
      <x:c r="E5" s="2" t="str">
        <x:v>cmj_depth</x:v>
      </x:c>
      <x:c r="F5" s="2" t="str">
        <x:v>Countermovement Depth</x:v>
      </x:c>
      <x:c r="G5" s="3" t="n">
        <x:v>30</x:v>
      </x:c>
      <x:c r="H5" s="3" t="n">
        <x:v>4.5</x:v>
      </x:c>
      <x:c r="I5" s="2" t="str">
        <x:v>cm</x:v>
      </x:c>
      <x:c r="J5" s="2" t="str">
        <x:v>higher</x:v>
      </x:c>
      <x:c r="K5" s="3" t="str">
        <x:v>RVX sample normative data — replace with validated source</x:v>
      </x:c>
    </x:row>
    <x:row r="6">
      <x:c r="A6" s="2" t="str">
        <x:v>Hockey</x:v>
      </x:c>
      <x:c r="B6" s="2" t="str">
        <x:v>Female</x:v>
      </x:c>
      <x:c r="C6" s="3" t="n">
        <x:v>15</x:v>
      </x:c>
      <x:c r="D6" s="3" t="n">
        <x:v>16</x:v>
      </x:c>
      <x:c r="E6" s="2" t="str">
        <x:v>peak_force</x:v>
      </x:c>
      <x:c r="F6" s="2" t="str">
        <x:v>Peak Force</x:v>
      </x:c>
      <x:c r="G6" s="3" t="n">
        <x:v>1750</x:v>
      </x:c>
      <x:c r="H6" s="3" t="n">
        <x:v>250</x:v>
      </x:c>
      <x:c r="I6" s="2" t="str">
        <x:v>N</x:v>
      </x:c>
      <x:c r="J6" s="2" t="str">
        <x:v>higher</x:v>
      </x:c>
      <x:c r="K6" s="3" t="str">
        <x:v>RVX sample normative data — replace with validated source</x:v>
      </x:c>
    </x:row>
    <x:row r="7">
      <x:c r="A7" s="2" t="str">
        <x:v>Hockey</x:v>
      </x:c>
      <x:c r="B7" s="2" t="str">
        <x:v>Female</x:v>
      </x:c>
      <x:c r="C7" s="3" t="n">
        <x:v>15</x:v>
      </x:c>
      <x:c r="D7" s="3" t="n">
        <x:v>16</x:v>
      </x:c>
      <x:c r="E7" s="2" t="str">
        <x:v>impulse</x:v>
      </x:c>
      <x:c r="F7" s="2" t="str">
        <x:v>Impulse-Momentum</x:v>
      </x:c>
      <x:c r="G7" s="3" t="n">
        <x:v>215</x:v>
      </x:c>
      <x:c r="H7" s="3" t="n">
        <x:v>30</x:v>
      </x:c>
      <x:c r="I7" s="2" t="str">
        <x:v>Ns</x:v>
      </x:c>
      <x:c r="J7" s="2" t="str">
        <x:v>higher</x:v>
      </x:c>
      <x:c r="K7" s="3" t="str">
        <x:v>RVX sample normative data — replace with validated source</x:v>
      </x:c>
    </x:row>
    <x:row r="8">
      <x:c r="A8" t="str">
        <x:v>Hockey</x:v>
      </x:c>
      <x:c r="B8" t="str">
        <x:v>Male</x:v>
      </x:c>
      <x:c r="C8" t="n">
        <x:v>15</x:v>
      </x:c>
      <x:c r="D8" t="n">
        <x:v>16</x:v>
      </x:c>
      <x:c r="E8" t="str">
        <x:v>sprint_5m</x:v>
      </x:c>
      <x:c r="F8" t="str">
        <x:v>5m Sprint</x:v>
      </x:c>
      <x:c r="G8" t="n">
        <x:v>1.08</x:v>
      </x:c>
      <x:c r="H8" t="n">
        <x:v>0.08</x:v>
      </x:c>
      <x:c r="I8" t="str">
        <x:v>sec</x:v>
      </x:c>
      <x:c r="J8" t="str">
        <x:v>lower</x:v>
      </x:c>
      <x:c r="K8" t="str">
        <x:v>RVX sample normative data — replace with validated source</x:v>
      </x:c>
    </x:row>
    <x:row r="9">
      <x:c r="A9" t="str">
        <x:v>Hockey</x:v>
      </x:c>
      <x:c r="B9" t="str">
        <x:v>Male</x:v>
      </x:c>
      <x:c r="C9" t="n">
        <x:v>15</x:v>
      </x:c>
      <x:c r="D9" t="n">
        <x:v>16</x:v>
      </x:c>
      <x:c r="E9" t="str">
        <x:v>sprint_10m</x:v>
      </x:c>
      <x:c r="F9" t="str">
        <x:v>10m Sprint</x:v>
      </x:c>
      <x:c r="G9" t="n">
        <x:v>1.8</x:v>
      </x:c>
      <x:c r="H9" t="n">
        <x:v>0.12</x:v>
      </x:c>
      <x:c r="I9" t="str">
        <x:v>sec</x:v>
      </x:c>
      <x:c r="J9" t="str">
        <x:v>lower</x:v>
      </x:c>
      <x:c r="K9" t="str">
        <x:v>RVX sample normative data — replace with validated source</x:v>
      </x:c>
    </x:row>
    <x:row r="10">
      <x:c r="A10" t="str">
        <x:v>Hockey</x:v>
      </x:c>
      <x:c r="B10" t="str">
        <x:v>Male</x:v>
      </x:c>
      <x:c r="C10" t="n">
        <x:v>15</x:v>
      </x:c>
      <x:c r="D10" t="n">
        <x:v>16</x:v>
      </x:c>
      <x:c r="E10" t="str">
        <x:v>pro_agility</x:v>
      </x:c>
      <x:c r="F10" t="str">
        <x:v>5-10-5 Pro Agility</x:v>
      </x:c>
      <x:c r="G10" t="n">
        <x:v>4.63</x:v>
      </x:c>
      <x:c r="H10" t="n">
        <x:v>0.25</x:v>
      </x:c>
      <x:c r="I10" t="str">
        <x:v>sec</x:v>
      </x:c>
      <x:c r="J10" t="str">
        <x:v>lower</x:v>
      </x:c>
      <x:c r="K10" t="str">
        <x:v>RVX sample normative data — replace with validated source</x:v>
      </x:c>
    </x:row>
    <x:row r="11">
      <x:c r="A11" t="str">
        <x:v>Hockey</x:v>
      </x:c>
      <x:c r="B11" t="str">
        <x:v>Male</x:v>
      </x:c>
      <x:c r="C11" t="n">
        <x:v>15</x:v>
      </x:c>
      <x:c r="D11" t="n">
        <x:v>16</x:v>
      </x:c>
      <x:c r="E11" t="str">
        <x:v>cmj_depth</x:v>
      </x:c>
      <x:c r="F11" t="str">
        <x:v>Countermovement Depth</x:v>
      </x:c>
      <x:c r="G11" t="n">
        <x:v>33</x:v>
      </x:c>
      <x:c r="H11" t="n">
        <x:v>4.73</x:v>
      </x:c>
      <x:c r="I11" t="str">
        <x:v>cm</x:v>
      </x:c>
      <x:c r="J11" t="str">
        <x:v>higher</x:v>
      </x:c>
      <x:c r="K11" t="str">
        <x:v>RVX sample normative data — replace with validated source</x:v>
      </x:c>
    </x:row>
    <x:row r="12">
      <x:c r="A12" t="str">
        <x:v>Hockey</x:v>
      </x:c>
      <x:c r="B12" t="str">
        <x:v>Male</x:v>
      </x:c>
      <x:c r="C12" t="n">
        <x:v>15</x:v>
      </x:c>
      <x:c r="D12" t="n">
        <x:v>16</x:v>
      </x:c>
      <x:c r="E12" t="str">
        <x:v>peak_force</x:v>
      </x:c>
      <x:c r="F12" t="str">
        <x:v>Peak Force</x:v>
      </x:c>
      <x:c r="G12" t="n">
        <x:v>1925</x:v>
      </x:c>
      <x:c r="H12" t="n">
        <x:v>262.5</x:v>
      </x:c>
      <x:c r="I12" t="str">
        <x:v>N</x:v>
      </x:c>
      <x:c r="J12" t="str">
        <x:v>higher</x:v>
      </x:c>
      <x:c r="K12" t="str">
        <x:v>RVX sample normative data — replace with validated source</x:v>
      </x:c>
    </x:row>
    <x:row r="13">
      <x:c r="A13" t="str">
        <x:v>Hockey</x:v>
      </x:c>
      <x:c r="B13" t="str">
        <x:v>Male</x:v>
      </x:c>
      <x:c r="C13" t="n">
        <x:v>15</x:v>
      </x:c>
      <x:c r="D13" t="n">
        <x:v>16</x:v>
      </x:c>
      <x:c r="E13" t="str">
        <x:v>impulse</x:v>
      </x:c>
      <x:c r="F13" t="str">
        <x:v>Impulse-Momentum</x:v>
      </x:c>
      <x:c r="G13" t="n">
        <x:v>236.5</x:v>
      </x:c>
      <x:c r="H13" t="n">
        <x:v>31.5</x:v>
      </x:c>
      <x:c r="I13" t="str">
        <x:v>Ns</x:v>
      </x:c>
      <x:c r="J13" t="str">
        <x:v>higher</x:v>
      </x:c>
      <x:c r="K13" t="str">
        <x:v>RVX sample normative data — replace with validated source</x:v>
      </x:c>
    </x:row>
    <x:row r="14">
      <x:c r="A14" t="str">
        <x:v>Soccer</x:v>
      </x:c>
      <x:c r="B14" t="str">
        <x:v>Female</x:v>
      </x:c>
      <x:c r="C14" t="n">
        <x:v>15</x:v>
      </x:c>
      <x:c r="D14" t="n">
        <x:v>16</x:v>
      </x:c>
      <x:c r="E14" t="str">
        <x:v>sprint_5m</x:v>
      </x:c>
      <x:c r="F14" t="str">
        <x:v>5m Sprint</x:v>
      </x:c>
      <x:c r="G14" t="n">
        <x:v>1.14</x:v>
      </x:c>
      <x:c r="H14" t="n">
        <x:v>0.08</x:v>
      </x:c>
      <x:c r="I14" t="str">
        <x:v>sec</x:v>
      </x:c>
      <x:c r="J14" t="str">
        <x:v>lower</x:v>
      </x:c>
      <x:c r="K14" t="str">
        <x:v>RVX sample normative data — replace with validated source</x:v>
      </x:c>
    </x:row>
    <x:row r="15">
      <x:c r="A15" t="str">
        <x:v>Soccer</x:v>
      </x:c>
      <x:c r="B15" t="str">
        <x:v>Female</x:v>
      </x:c>
      <x:c r="C15" t="n">
        <x:v>15</x:v>
      </x:c>
      <x:c r="D15" t="n">
        <x:v>16</x:v>
      </x:c>
      <x:c r="E15" t="str">
        <x:v>sprint_10m</x:v>
      </x:c>
      <x:c r="F15" t="str">
        <x:v>10m Sprint</x:v>
      </x:c>
      <x:c r="G15" t="n">
        <x:v>1.91</x:v>
      </x:c>
      <x:c r="H15" t="n">
        <x:v>0.11</x:v>
      </x:c>
      <x:c r="I15" t="str">
        <x:v>sec</x:v>
      </x:c>
      <x:c r="J15" t="str">
        <x:v>lower</x:v>
      </x:c>
      <x:c r="K15" t="str">
        <x:v>RVX sample normative data — replace with validated source</x:v>
      </x:c>
    </x:row>
    <x:row r="16">
      <x:c r="A16" t="str">
        <x:v>Soccer</x:v>
      </x:c>
      <x:c r="B16" t="str">
        <x:v>Female</x:v>
      </x:c>
      <x:c r="C16" t="n">
        <x:v>15</x:v>
      </x:c>
      <x:c r="D16" t="n">
        <x:v>16</x:v>
      </x:c>
      <x:c r="E16" t="str">
        <x:v>pro_agility</x:v>
      </x:c>
      <x:c r="F16" t="str">
        <x:v>5-10-5 Pro Agility</x:v>
      </x:c>
      <x:c r="G16" t="n">
        <x:v>4.89</x:v>
      </x:c>
      <x:c r="H16" t="n">
        <x:v>0.24</x:v>
      </x:c>
      <x:c r="I16" t="str">
        <x:v>sec</x:v>
      </x:c>
      <x:c r="J16" t="str">
        <x:v>lower</x:v>
      </x:c>
      <x:c r="K16" t="str">
        <x:v>RVX sample normative data — replace with validated source</x:v>
      </x:c>
    </x:row>
    <x:row r="17">
      <x:c r="A17" t="str">
        <x:v>Soccer</x:v>
      </x:c>
      <x:c r="B17" t="str">
        <x:v>Female</x:v>
      </x:c>
      <x:c r="C17" t="n">
        <x:v>15</x:v>
      </x:c>
      <x:c r="D17" t="n">
        <x:v>16</x:v>
      </x:c>
      <x:c r="E17" t="str">
        <x:v>cmj_depth</x:v>
      </x:c>
      <x:c r="F17" t="str">
        <x:v>Countermovement Depth</x:v>
      </x:c>
      <x:c r="G17" t="n">
        <x:v>28.5</x:v>
      </x:c>
      <x:c r="H17" t="n">
        <x:v>4.5</x:v>
      </x:c>
      <x:c r="I17" t="str">
        <x:v>cm</x:v>
      </x:c>
      <x:c r="J17" t="str">
        <x:v>higher</x:v>
      </x:c>
      <x:c r="K17" t="str">
        <x:v>RVX sample normative data — replace with validated source</x:v>
      </x:c>
    </x:row>
    <x:row r="18">
      <x:c r="A18" t="str">
        <x:v>Soccer</x:v>
      </x:c>
      <x:c r="B18" t="str">
        <x:v>Female</x:v>
      </x:c>
      <x:c r="C18" t="n">
        <x:v>15</x:v>
      </x:c>
      <x:c r="D18" t="n">
        <x:v>16</x:v>
      </x:c>
      <x:c r="E18" t="str">
        <x:v>peak_force</x:v>
      </x:c>
      <x:c r="F18" t="str">
        <x:v>Peak Force</x:v>
      </x:c>
      <x:c r="G18" t="n">
        <x:v>1662.5</x:v>
      </x:c>
      <x:c r="H18" t="n">
        <x:v>250</x:v>
      </x:c>
      <x:c r="I18" t="str">
        <x:v>N</x:v>
      </x:c>
      <x:c r="J18" t="str">
        <x:v>higher</x:v>
      </x:c>
      <x:c r="K18" t="str">
        <x:v>RVX sample normative data — replace with validated source</x:v>
      </x:c>
    </x:row>
    <x:row r="19">
      <x:c r="A19" t="str">
        <x:v>Soccer</x:v>
      </x:c>
      <x:c r="B19" t="str">
        <x:v>Female</x:v>
      </x:c>
      <x:c r="C19" t="n">
        <x:v>15</x:v>
      </x:c>
      <x:c r="D19" t="n">
        <x:v>16</x:v>
      </x:c>
      <x:c r="E19" t="str">
        <x:v>impulse</x:v>
      </x:c>
      <x:c r="F19" t="str">
        <x:v>Impulse-Momentum</x:v>
      </x:c>
      <x:c r="G19" t="n">
        <x:v>204.25</x:v>
      </x:c>
      <x:c r="H19" t="n">
        <x:v>30</x:v>
      </x:c>
      <x:c r="I19" t="str">
        <x:v>Ns</x:v>
      </x:c>
      <x:c r="J19" t="str">
        <x:v>higher</x:v>
      </x:c>
      <x:c r="K19" t="str">
        <x:v>RVX sample normative data — replace with validated source</x:v>
      </x:c>
    </x:row>
    <x:row r="20">
      <x:c r="A20" t="str">
        <x:v>Soccer</x:v>
      </x:c>
      <x:c r="B20" t="str">
        <x:v>Male</x:v>
      </x:c>
      <x:c r="C20" t="n">
        <x:v>15</x:v>
      </x:c>
      <x:c r="D20" t="n">
        <x:v>16</x:v>
      </x:c>
      <x:c r="E20" t="str">
        <x:v>sprint_5m</x:v>
      </x:c>
      <x:c r="F20" t="str">
        <x:v>5m Sprint</x:v>
      </x:c>
      <x:c r="G20" t="n">
        <x:v>1.09</x:v>
      </x:c>
      <x:c r="H20" t="n">
        <x:v>0.08</x:v>
      </x:c>
      <x:c r="I20" t="str">
        <x:v>sec</x:v>
      </x:c>
      <x:c r="J20" t="str">
        <x:v>lower</x:v>
      </x:c>
      <x:c r="K20" t="str">
        <x:v>RVX sample normative data — replace with validated source</x:v>
      </x:c>
    </x:row>
    <x:row r="21" ht="15.75" customHeight="1">
      <x:c r="A21" t="str">
        <x:v>Soccer</x:v>
      </x:c>
      <x:c r="B21" t="str">
        <x:v>Male</x:v>
      </x:c>
      <x:c r="C21" t="n">
        <x:v>15</x:v>
      </x:c>
      <x:c r="D21" t="n">
        <x:v>16</x:v>
      </x:c>
      <x:c r="E21" t="str">
        <x:v>sprint_10m</x:v>
      </x:c>
      <x:c r="F21" t="str">
        <x:v>10m Sprint</x:v>
      </x:c>
      <x:c r="G21" t="n">
        <x:v>1.83</x:v>
      </x:c>
      <x:c r="H21" t="n">
        <x:v>0.12</x:v>
      </x:c>
      <x:c r="I21" t="str">
        <x:v>sec</x:v>
      </x:c>
      <x:c r="J21" t="str">
        <x:v>lower</x:v>
      </x:c>
      <x:c r="K21" t="str">
        <x:v>RVX sample normative data — replace with validated source</x:v>
      </x:c>
    </x:row>
    <x:row r="22" ht="15.75" customHeight="1">
      <x:c r="A22" t="str">
        <x:v>Soccer</x:v>
      </x:c>
      <x:c r="B22" t="str">
        <x:v>Male</x:v>
      </x:c>
      <x:c r="C22" t="n">
        <x:v>15</x:v>
      </x:c>
      <x:c r="D22" t="n">
        <x:v>16</x:v>
      </x:c>
      <x:c r="E22" t="str">
        <x:v>pro_agility</x:v>
      </x:c>
      <x:c r="F22" t="str">
        <x:v>5-10-5 Pro Agility</x:v>
      </x:c>
      <x:c r="G22" t="n">
        <x:v>4.7</x:v>
      </x:c>
      <x:c r="H22" t="n">
        <x:v>0.25</x:v>
      </x:c>
      <x:c r="I22" t="str">
        <x:v>sec</x:v>
      </x:c>
      <x:c r="J22" t="str">
        <x:v>lower</x:v>
      </x:c>
      <x:c r="K22" t="str">
        <x:v>RVX sample normative data — replace with validated source</x:v>
      </x:c>
    </x:row>
    <x:row r="23" ht="15.75" customHeight="1">
      <x:c r="A23" t="str">
        <x:v>Soccer</x:v>
      </x:c>
      <x:c r="B23" t="str">
        <x:v>Male</x:v>
      </x:c>
      <x:c r="C23" t="n">
        <x:v>15</x:v>
      </x:c>
      <x:c r="D23" t="n">
        <x:v>16</x:v>
      </x:c>
      <x:c r="E23" t="str">
        <x:v>cmj_depth</x:v>
      </x:c>
      <x:c r="F23" t="str">
        <x:v>Countermovement Depth</x:v>
      </x:c>
      <x:c r="G23" t="n">
        <x:v>31.35</x:v>
      </x:c>
      <x:c r="H23" t="n">
        <x:v>4.73</x:v>
      </x:c>
      <x:c r="I23" t="str">
        <x:v>cm</x:v>
      </x:c>
      <x:c r="J23" t="str">
        <x:v>higher</x:v>
      </x:c>
      <x:c r="K23" t="str">
        <x:v>RVX sample normative data — replace with validated source</x:v>
      </x:c>
    </x:row>
    <x:row r="24" ht="15.75" customHeight="1">
      <x:c r="A24" t="str">
        <x:v>Soccer</x:v>
      </x:c>
      <x:c r="B24" t="str">
        <x:v>Male</x:v>
      </x:c>
      <x:c r="C24" t="n">
        <x:v>15</x:v>
      </x:c>
      <x:c r="D24" t="n">
        <x:v>16</x:v>
      </x:c>
      <x:c r="E24" t="str">
        <x:v>peak_force</x:v>
      </x:c>
      <x:c r="F24" t="str">
        <x:v>Peak Force</x:v>
      </x:c>
      <x:c r="G24" t="n">
        <x:v>1828.75</x:v>
      </x:c>
      <x:c r="H24" t="n">
        <x:v>262.5</x:v>
      </x:c>
      <x:c r="I24" t="str">
        <x:v>N</x:v>
      </x:c>
      <x:c r="J24" t="str">
        <x:v>higher</x:v>
      </x:c>
      <x:c r="K24" t="str">
        <x:v>RVX sample normative data — replace with validated source</x:v>
      </x:c>
    </x:row>
    <x:row r="25" ht="15.75" customHeight="1">
      <x:c r="A25" t="str">
        <x:v>Soccer</x:v>
      </x:c>
      <x:c r="B25" t="str">
        <x:v>Male</x:v>
      </x:c>
      <x:c r="C25" t="n">
        <x:v>15</x:v>
      </x:c>
      <x:c r="D25" t="n">
        <x:v>16</x:v>
      </x:c>
      <x:c r="E25" t="str">
        <x:v>impulse</x:v>
      </x:c>
      <x:c r="F25" t="str">
        <x:v>Impulse-Momentum</x:v>
      </x:c>
      <x:c r="G25" t="n">
        <x:v>224.68</x:v>
      </x:c>
      <x:c r="H25" t="n">
        <x:v>31.5</x:v>
      </x:c>
      <x:c r="I25" t="str">
        <x:v>Ns</x:v>
      </x:c>
      <x:c r="J25" t="str">
        <x:v>higher</x:v>
      </x:c>
      <x:c r="K25" t="str">
        <x:v>RVX sample normative data — replace with validated source</x:v>
      </x:c>
    </x:row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14.430000305175781" defaultRowHeight="15"/>
  <x:cols>
    <x:col min="1" max="1" width="12" customWidth="1"/>
    <x:col min="2" max="2" width="15" customWidth="1"/>
    <x:col min="3" max="4" width="18" customWidth="1"/>
    <x:col min="5" max="5" width="55" customWidth="1"/>
    <x:col min="6" max="26" width="8.710000038146973" customWidth="1"/>
  </x:cols>
  <x:sheetData>
    <x:row r="1">
      <x:c r="A1" s="1" t="s">
        <x:v>0</x:v>
      </x:c>
      <x:c r="B1" s="1" t="s">
        <x:v>28</x:v>
      </x:c>
      <x:c r="C1" s="1" t="s">
        <x:v>19</x:v>
      </x:c>
      <x:c r="D1" s="1" t="s">
        <x:v>29</x:v>
      </x:c>
      <x:c r="E1" s="1" t="s">
        <x:v>30</x:v>
      </x:c>
    </x:row>
    <x:row r="2">
      <x:c r="A2" s="2" t="str">
        <x:v>RVX-00001</x:v>
      </x:c>
      <x:c r="B2" s="2" t="n">
        <x:v>1</x:v>
      </x:c>
      <x:c r="C2" s="2" t="str">
        <x:v>Performance</x:v>
      </x:c>
      <x:c r="D2" s="2" t="str">
        <x:v>Auto Recommendation</x:v>
      </x:c>
      <x:c r="E2" s="2"/>
    </x:row>
    <x:row r="3">
      <x:c r="A3" s="2" t="str">
        <x:v>RVX-00002</x:v>
      </x:c>
      <x:c r="B3" s="2" t="n">
        <x:v>1</x:v>
      </x:c>
      <x:c r="C3" s="2" t="str">
        <x:v>Performance</x:v>
      </x:c>
      <x:c r="D3" s="2" t="str">
        <x:v>Auto Recommendation</x:v>
      </x:c>
      <x:c r="E3" s="2"/>
    </x:row>
    <x:row r="4">
      <x:c r="A4" s="2" t="str">
        <x:v>RVX-00003</x:v>
      </x:c>
      <x:c r="B4" s="2" t="n">
        <x:v>1</x:v>
      </x:c>
      <x:c r="C4" s="2" t="str">
        <x:v>Performance</x:v>
      </x:c>
      <x:c r="D4" s="2" t="str">
        <x:v>Auto Recommendation</x:v>
      </x:c>
      <x:c r="E4" s="2"/>
    </x:row>
    <x:row r="5">
      <x:c r="A5" s="2" t="str">
        <x:v>RVX-00004</x:v>
      </x:c>
      <x:c r="B5" s="2" t="n">
        <x:v>1</x:v>
      </x:c>
      <x:c r="C5" s="2" t="str">
        <x:v>Performance</x:v>
      </x:c>
      <x:c r="D5" s="2" t="str">
        <x:v>Auto Recommendation</x:v>
      </x:c>
      <x:c r="E5" s="2"/>
    </x:row>
    <x:row r="6">
      <x:c r="A6" s="3" t="str">
        <x:v>RVX-00005</x:v>
      </x:c>
      <x:c r="B6" s="2" t="n">
        <x:v>1</x:v>
      </x:c>
      <x:c r="C6" s="2" t="str">
        <x:v>Performance</x:v>
      </x:c>
      <x:c r="D6" s="2" t="str">
        <x:v>Auto Recommendation</x:v>
      </x:c>
      <x:c r="E6" s="3"/>
    </x:row>
    <x:row r="7">
      <x:c r="A7" s="3" t="str">
        <x:v>RVX-00006</x:v>
      </x:c>
      <x:c r="B7" s="2" t="n">
        <x:v>1</x:v>
      </x:c>
      <x:c r="C7" s="2" t="str">
        <x:v>Performance</x:v>
      </x:c>
      <x:c r="D7" s="2" t="str">
        <x:v>Auto Recommendation</x:v>
      </x:c>
      <x:c r="E7" s="2"/>
    </x:row>
    <x:row r="8">
      <x:c r="A8" s="3" t="str">
        <x:v>RVX-00007</x:v>
      </x:c>
      <x:c r="B8" s="2" t="n">
        <x:v>1</x:v>
      </x:c>
      <x:c r="C8" s="2" t="str">
        <x:v>Performance</x:v>
      </x:c>
      <x:c r="D8" s="2" t="str">
        <x:v>Auto Recommendation</x:v>
      </x:c>
      <x:c r="E8" s="2"/>
    </x:row>
    <x:row r="9">
      <x:c r="A9" s="3" t="str">
        <x:v>RVX-00008</x:v>
      </x:c>
      <x:c r="B9" s="2" t="n">
        <x:v>1</x:v>
      </x:c>
      <x:c r="C9" s="2" t="str">
        <x:v>Performance</x:v>
      </x:c>
      <x:c r="D9" s="2" t="str">
        <x:v>Auto Recommendation</x:v>
      </x:c>
      <x:c r="E9" s="2"/>
    </x:row>
    <x:row r="10">
      <x:c r="A10" t="str">
        <x:v>RVX-00009</x:v>
      </x:c>
      <x:c r="B10" t="n">
        <x:v>1</x:v>
      </x:c>
      <x:c r="C10" t="str">
        <x:v>Performance</x:v>
      </x:c>
      <x:c r="D10" t="str">
        <x:v>Auto Recommendation</x:v>
      </x:c>
      <x:c r="E10"/>
    </x:row>
    <x:row r="11">
      <x:c r="A11" t="str">
        <x:v>RVX-00010</x:v>
      </x:c>
      <x:c r="B11" t="n">
        <x:v>1</x:v>
      </x:c>
      <x:c r="C11" t="str">
        <x:v>Performance</x:v>
      </x:c>
      <x:c r="D11" t="str">
        <x:v>Auto Recommendation</x:v>
      </x:c>
      <x:c r="E11"/>
    </x:row>
    <x:row r="12">
      <x:c r="A12" t="str">
        <x:v>RVX-00011</x:v>
      </x:c>
      <x:c r="B12" t="n">
        <x:v>1</x:v>
      </x:c>
      <x:c r="C12" t="str">
        <x:v>Performance</x:v>
      </x:c>
      <x:c r="D12" t="str">
        <x:v>Auto Recommendation</x:v>
      </x:c>
      <x:c r="E12"/>
    </x:row>
    <x:row r="13">
      <x:c r="A13" t="str">
        <x:v>RVX-00012</x:v>
      </x:c>
      <x:c r="B13" t="n">
        <x:v>1</x:v>
      </x:c>
      <x:c r="C13" t="str">
        <x:v>Performance</x:v>
      </x:c>
      <x:c r="D13" t="str">
        <x:v>Auto Recommendation</x:v>
      </x:c>
      <x:c r="E13"/>
    </x:row>
    <x:row r="14">
      <x:c r="A14" t="str">
        <x:v>RVX-00013</x:v>
      </x:c>
      <x:c r="B14" t="n">
        <x:v>1</x:v>
      </x:c>
      <x:c r="C14" t="str">
        <x:v>Performance</x:v>
      </x:c>
      <x:c r="D14" t="str">
        <x:v>Auto Recommendation</x:v>
      </x:c>
      <x:c r="E14"/>
    </x:row>
    <x:row r="15">
      <x:c r="A15" t="str">
        <x:v>RVX-00014</x:v>
      </x:c>
      <x:c r="B15" t="n">
        <x:v>1</x:v>
      </x:c>
      <x:c r="C15" t="str">
        <x:v>Performance</x:v>
      </x:c>
      <x:c r="D15" t="str">
        <x:v>Auto Recommendation</x:v>
      </x:c>
      <x:c r="E15"/>
    </x:row>
    <x:row r="16">
      <x:c r="A16" t="str">
        <x:v>RVX-00015</x:v>
      </x:c>
      <x:c r="B16" t="n">
        <x:v>1</x:v>
      </x:c>
      <x:c r="C16" t="str">
        <x:v>Performance</x:v>
      </x:c>
      <x:c r="D16" t="str">
        <x:v>Auto Recommendation</x:v>
      </x:c>
      <x:c r="E16"/>
    </x:row>
    <x:row r="17">
      <x:c r="A17" t="str">
        <x:v>RVX-00016</x:v>
      </x:c>
      <x:c r="B17" t="n">
        <x:v>1</x:v>
      </x:c>
      <x:c r="C17" t="str">
        <x:v>Performance</x:v>
      </x:c>
      <x:c r="D17" t="str">
        <x:v>Auto Recommendation</x:v>
      </x:c>
      <x:c r="E17"/>
    </x:row>
    <x:row r="18">
      <x:c r="A18" t="str">
        <x:v>RVX-00017</x:v>
      </x:c>
      <x:c r="B18" t="n">
        <x:v>1</x:v>
      </x:c>
      <x:c r="C18" t="str">
        <x:v>Performance</x:v>
      </x:c>
      <x:c r="D18" t="str">
        <x:v>Auto Recommendation</x:v>
      </x:c>
      <x:c r="E18"/>
    </x:row>
    <x:row r="19">
      <x:c r="A19" t="str">
        <x:v>RVX-00018</x:v>
      </x:c>
      <x:c r="B19" t="n">
        <x:v>1</x:v>
      </x:c>
      <x:c r="C19" t="str">
        <x:v>Performance</x:v>
      </x:c>
      <x:c r="D19" t="str">
        <x:v>Auto Recommendation</x:v>
      </x:c>
      <x:c r="E19"/>
    </x:row>
    <x:row r="20">
      <x:c r="A20" t="str">
        <x:v>RVX-00019</x:v>
      </x:c>
      <x:c r="B20" t="n">
        <x:v>1</x:v>
      </x:c>
      <x:c r="C20" t="str">
        <x:v>Performance</x:v>
      </x:c>
      <x:c r="D20" t="str">
        <x:v>Auto Recommendation</x:v>
      </x:c>
      <x:c r="E20"/>
    </x:row>
    <x:row r="21" ht="15.75" customHeight="1">
      <x:c r="A21" t="str">
        <x:v>RVX-00020</x:v>
      </x:c>
      <x:c r="B21" t="n">
        <x:v>1</x:v>
      </x:c>
      <x:c r="C21" t="str">
        <x:v>Performance</x:v>
      </x:c>
      <x:c r="D21" t="str">
        <x:v>Auto Recommendation</x:v>
      </x:c>
      <x:c r="E21"/>
    </x:row>
    <x:row r="22" ht="15.75" customHeight="1">
      <x:c r="A22" t="str">
        <x:v>RVX-00021</x:v>
      </x:c>
      <x:c r="B22" t="n">
        <x:v>1</x:v>
      </x:c>
      <x:c r="C22" t="str">
        <x:v>Performance</x:v>
      </x:c>
      <x:c r="D22" t="str">
        <x:v>Auto Recommendation</x:v>
      </x:c>
      <x:c r="E22"/>
    </x:row>
    <x:row r="23" ht="15.75" customHeight="1">
      <x:c r="A23" t="str">
        <x:v>RVX-00022</x:v>
      </x:c>
      <x:c r="B23" t="n">
        <x:v>1</x:v>
      </x:c>
      <x:c r="C23" t="str">
        <x:v>Performance</x:v>
      </x:c>
      <x:c r="D23" t="str">
        <x:v>Auto Recommendation</x:v>
      </x:c>
      <x:c r="E23"/>
    </x:row>
    <x:row r="24" ht="15.75" customHeight="1">
      <x:c r="A24" t="str">
        <x:v>RVX-00023</x:v>
      </x:c>
      <x:c r="B24" t="n">
        <x:v>1</x:v>
      </x:c>
      <x:c r="C24" t="str">
        <x:v>Performance</x:v>
      </x:c>
      <x:c r="D24" t="str">
        <x:v>Auto Recommendation</x:v>
      </x:c>
      <x:c r="E24"/>
    </x:row>
    <x:row r="25" ht="15.75" customHeight="1">
      <x:c r="A25" t="str">
        <x:v>RVX-00024</x:v>
      </x:c>
      <x:c r="B25" t="n">
        <x:v>1</x:v>
      </x:c>
      <x:c r="C25" t="str">
        <x:v>Performance</x:v>
      </x:c>
      <x:c r="D25" t="str">
        <x:v>Auto Recommendation</x:v>
      </x:c>
      <x:c r="E25"/>
    </x:row>
    <x:row r="26" ht="15.75" customHeight="1">
      <x:c r="A26" t="str">
        <x:v>RVX-00025</x:v>
      </x:c>
      <x:c r="B26" t="n">
        <x:v>1</x:v>
      </x:c>
      <x:c r="C26" t="str">
        <x:v>Performance</x:v>
      </x:c>
      <x:c r="D26" t="str">
        <x:v>Auto Recommendation</x:v>
      </x:c>
      <x:c r="E26"/>
    </x:row>
    <x:row r="27" ht="15.75" customHeight="1">
      <x:c r="A27" t="str">
        <x:v>RVX-00026</x:v>
      </x:c>
      <x:c r="B27" t="n">
        <x:v>1</x:v>
      </x:c>
      <x:c r="C27" t="str">
        <x:v>Performance</x:v>
      </x:c>
      <x:c r="D27" t="str">
        <x:v>Auto Recommendation</x:v>
      </x:c>
      <x:c r="E27"/>
    </x:row>
    <x:row r="28" ht="15.75" customHeight="1">
      <x:c r="A28" t="str">
        <x:v>RVX-00027</x:v>
      </x:c>
      <x:c r="B28" t="n">
        <x:v>1</x:v>
      </x:c>
      <x:c r="C28" t="str">
        <x:v>Performance</x:v>
      </x:c>
      <x:c r="D28" t="str">
        <x:v>Auto Recommendation</x:v>
      </x:c>
      <x:c r="E28"/>
    </x:row>
    <x:row r="29" ht="15.75" customHeight="1">
      <x:c r="A29" t="str">
        <x:v>RVX-00028</x:v>
      </x:c>
      <x:c r="B29" t="n">
        <x:v>1</x:v>
      </x:c>
      <x:c r="C29" t="str">
        <x:v>Performance</x:v>
      </x:c>
      <x:c r="D29" t="str">
        <x:v>Auto Recommendation</x:v>
      </x:c>
      <x:c r="E29"/>
    </x:row>
    <x:row r="30" ht="15.75" customHeight="1">
      <x:c r="A30" t="str">
        <x:v>RVX-00029</x:v>
      </x:c>
      <x:c r="B30" t="n">
        <x:v>1</x:v>
      </x:c>
      <x:c r="C30" t="str">
        <x:v>Performance</x:v>
      </x:c>
      <x:c r="D30" t="str">
        <x:v>Auto Recommendation</x:v>
      </x:c>
      <x:c r="E30"/>
    </x:row>
    <x:row r="31" ht="15.75" customHeight="1">
      <x:c r="A31" t="str">
        <x:v>RVX-00030</x:v>
      </x:c>
      <x:c r="B31" t="n">
        <x:v>1</x:v>
      </x:c>
      <x:c r="C31" t="str">
        <x:v>Performance</x:v>
      </x:c>
      <x:c r="D31" t="str">
        <x:v>Auto Recommendation</x:v>
      </x:c>
      <x:c r="E31"/>
    </x:row>
    <x:row r="32" ht="15.75" customHeight="1">
      <x:c r="A32" t="str">
        <x:v>RVX-00031</x:v>
      </x:c>
      <x:c r="B32" t="n">
        <x:v>1</x:v>
      </x:c>
      <x:c r="C32" t="str">
        <x:v>Performance</x:v>
      </x:c>
      <x:c r="D32" t="str">
        <x:v>Auto Recommendation</x:v>
      </x:c>
      <x:c r="E32"/>
    </x:row>
    <x:row r="33" ht="15.75" customHeight="1">
      <x:c r="A33" t="str">
        <x:v>RVX-00032</x:v>
      </x:c>
      <x:c r="B33" t="n">
        <x:v>1</x:v>
      </x:c>
      <x:c r="C33" t="str">
        <x:v>Performance</x:v>
      </x:c>
      <x:c r="D33" t="str">
        <x:v>Auto Recommendation</x:v>
      </x:c>
      <x:c r="E33"/>
    </x:row>
    <x:row r="34" ht="15.75" customHeight="1">
      <x:c r="A34" t="str">
        <x:v>RVX-00033</x:v>
      </x:c>
      <x:c r="B34" t="n">
        <x:v>1</x:v>
      </x:c>
      <x:c r="C34" t="str">
        <x:v>Performance</x:v>
      </x:c>
      <x:c r="D34" t="str">
        <x:v>Auto Recommendation</x:v>
      </x:c>
      <x:c r="E34"/>
    </x:row>
    <x:row r="35" ht="15.75" customHeight="1">
      <x:c r="A35" t="str">
        <x:v>RVX-00034</x:v>
      </x:c>
      <x:c r="B35" t="n">
        <x:v>1</x:v>
      </x:c>
      <x:c r="C35" t="str">
        <x:v>Performance</x:v>
      </x:c>
      <x:c r="D35" t="str">
        <x:v>Auto Recommendation</x:v>
      </x:c>
      <x:c r="E35"/>
    </x:row>
    <x:row r="36" ht="15.75" customHeight="1">
      <x:c r="A36" t="str">
        <x:v>RVX-00035</x:v>
      </x:c>
      <x:c r="B36" t="n">
        <x:v>1</x:v>
      </x:c>
      <x:c r="C36" t="str">
        <x:v>Performance</x:v>
      </x:c>
      <x:c r="D36" t="str">
        <x:v>Auto Recommendation</x:v>
      </x:c>
      <x:c r="E36"/>
    </x:row>
    <x:row r="37" ht="15.75" customHeight="1">
      <x:c r="A37" t="str">
        <x:v>RVX-00036</x:v>
      </x:c>
      <x:c r="B37" t="n">
        <x:v>1</x:v>
      </x:c>
      <x:c r="C37" t="str">
        <x:v>Performance</x:v>
      </x:c>
      <x:c r="D37" t="str">
        <x:v>Auto Recommendation</x:v>
      </x:c>
      <x:c r="E37"/>
    </x:row>
    <x:row r="38" ht="15.75" customHeight="1">
      <x:c r="A38" t="str">
        <x:v>RVX-00037</x:v>
      </x:c>
      <x:c r="B38" t="n">
        <x:v>1</x:v>
      </x:c>
      <x:c r="C38" t="str">
        <x:v>Performance</x:v>
      </x:c>
      <x:c r="D38" t="str">
        <x:v>Auto Recommendation</x:v>
      </x:c>
      <x:c r="E38"/>
    </x:row>
    <x:row r="39" ht="15.75" customHeight="1">
      <x:c r="A39" t="str">
        <x:v>RVX-00038</x:v>
      </x:c>
      <x:c r="B39" t="n">
        <x:v>1</x:v>
      </x:c>
      <x:c r="C39" t="str">
        <x:v>Performance</x:v>
      </x:c>
      <x:c r="D39" t="str">
        <x:v>Auto Recommendation</x:v>
      </x:c>
      <x:c r="E39"/>
    </x:row>
    <x:row r="40" ht="15.75" customHeight="1">
      <x:c r="A40" t="str">
        <x:v>RVX-00039</x:v>
      </x:c>
      <x:c r="B40" t="n">
        <x:v>1</x:v>
      </x:c>
      <x:c r="C40" t="str">
        <x:v>Performance</x:v>
      </x:c>
      <x:c r="D40" t="str">
        <x:v>Auto Recommendation</x:v>
      </x:c>
      <x:c r="E40"/>
    </x:row>
    <x:row r="41" ht="15.75" customHeight="1">
      <x:c r="A41" t="str">
        <x:v>RVX-00040</x:v>
      </x:c>
      <x:c r="B41" t="n">
        <x:v>1</x:v>
      </x:c>
      <x:c r="C41" t="str">
        <x:v>Performance</x:v>
      </x:c>
      <x:c r="D41" t="str">
        <x:v>Auto Recommendation</x:v>
      </x:c>
      <x:c r="E41"/>
    </x:row>
    <x:row r="42" ht="15.75" customHeight="1">
      <x:c r="A42" t="str">
        <x:v>RVX-00041</x:v>
      </x:c>
      <x:c r="B42" t="n">
        <x:v>1</x:v>
      </x:c>
      <x:c r="C42" t="str">
        <x:v>Performance</x:v>
      </x:c>
      <x:c r="D42" t="str">
        <x:v>Auto Recommendation</x:v>
      </x:c>
      <x:c r="E42"/>
    </x:row>
    <x:row r="43" ht="15.75" customHeight="1">
      <x:c r="A43" t="str">
        <x:v>RVX-00042</x:v>
      </x:c>
      <x:c r="B43" t="n">
        <x:v>1</x:v>
      </x:c>
      <x:c r="C43" t="str">
        <x:v>Performance</x:v>
      </x:c>
      <x:c r="D43" t="str">
        <x:v>Auto Recommendation</x:v>
      </x:c>
      <x:c r="E43"/>
    </x:row>
    <x:row r="44" ht="15.75" customHeight="1">
      <x:c r="A44" t="str">
        <x:v>RVX-00043</x:v>
      </x:c>
      <x:c r="B44" t="n">
        <x:v>1</x:v>
      </x:c>
      <x:c r="C44" t="str">
        <x:v>Performance</x:v>
      </x:c>
      <x:c r="D44" t="str">
        <x:v>Auto Recommendation</x:v>
      </x:c>
      <x:c r="E44"/>
    </x:row>
    <x:row r="45" ht="15.75" customHeight="1">
      <x:c r="A45" t="str">
        <x:v>RVX-00044</x:v>
      </x:c>
      <x:c r="B45" t="n">
        <x:v>1</x:v>
      </x:c>
      <x:c r="C45" t="str">
        <x:v>Performance</x:v>
      </x:c>
      <x:c r="D45" t="str">
        <x:v>Auto Recommendation</x:v>
      </x:c>
      <x:c r="E45"/>
    </x:row>
    <x:row r="46" ht="15.75" customHeight="1">
      <x:c r="A46" t="str">
        <x:v>RVX-00045</x:v>
      </x:c>
      <x:c r="B46" t="n">
        <x:v>1</x:v>
      </x:c>
      <x:c r="C46" t="str">
        <x:v>Performance</x:v>
      </x:c>
      <x:c r="D46" t="str">
        <x:v>Auto Recommendation</x:v>
      </x:c>
      <x:c r="E46"/>
    </x:row>
    <x:row r="47" ht="15.75" customHeight="1">
      <x:c r="A47" t="str">
        <x:v>RVX-00046</x:v>
      </x:c>
      <x:c r="B47" t="n">
        <x:v>1</x:v>
      </x:c>
      <x:c r="C47" t="str">
        <x:v>Performance</x:v>
      </x:c>
      <x:c r="D47" t="str">
        <x:v>Auto Recommendation</x:v>
      </x:c>
      <x:c r="E47"/>
    </x:row>
    <x:row r="48" ht="15.75" customHeight="1">
      <x:c r="A48" t="str">
        <x:v>RVX-00047</x:v>
      </x:c>
      <x:c r="B48" t="n">
        <x:v>1</x:v>
      </x:c>
      <x:c r="C48" t="str">
        <x:v>Performance</x:v>
      </x:c>
      <x:c r="D48" t="str">
        <x:v>Auto Recommendation</x:v>
      </x:c>
      <x:c r="E48"/>
    </x:row>
    <x:row r="49" ht="15.75" customHeight="1">
      <x:c r="A49" t="str">
        <x:v>RVX-00048</x:v>
      </x:c>
      <x:c r="B49" t="n">
        <x:v>1</x:v>
      </x:c>
      <x:c r="C49" t="str">
        <x:v>Performance</x:v>
      </x:c>
      <x:c r="D49" t="str">
        <x:v>Auto Recommendation</x:v>
      </x:c>
      <x:c r="E49"/>
    </x:row>
    <x:row r="50" ht="15.75" customHeight="1">
      <x:c r="A50" t="str">
        <x:v>RVX-00049</x:v>
      </x:c>
      <x:c r="B50" t="n">
        <x:v>1</x:v>
      </x:c>
      <x:c r="C50" t="str">
        <x:v>Performance</x:v>
      </x:c>
      <x:c r="D50" t="str">
        <x:v>Auto Recommendation</x:v>
      </x:c>
      <x:c r="E50"/>
    </x:row>
    <x:row r="51" ht="15.75" customHeight="1">
      <x:c r="A51" t="str">
        <x:v>RVX-00050</x:v>
      </x:c>
      <x:c r="B51" t="n">
        <x:v>1</x:v>
      </x:c>
      <x:c r="C51" t="str">
        <x:v>Performance</x:v>
      </x:c>
      <x:c r="D51" t="str">
        <x:v>Auto Recommendation</x:v>
      </x:c>
      <x:c r="E51"/>
    </x:row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3">
    <x:dataValidation type="list" sqref="A2:A500">
      <x:formula1>Athlete_Profile!$A$2:$A$51</x:formula1>
    </x:dataValidation>
    <x:dataValidation type="list" sqref="C2:C500">
      <x:formula1>"Acceleration,Agility,Movement,Strength &amp; Power,Speed,Force Plate"</x:formula1>
    </x:dataValidation>
    <x:dataValidation type="list" sqref="E2:E500">
      <x:formula1>'Recommendation Matrix'!$H$2:$H$19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14.430000305175781" defaultRowHeight="15"/>
  <x:cols>
    <x:col min="1" max="1" width="12" customWidth="1"/>
    <x:col min="2" max="2" width="15" customWidth="1"/>
    <x:col min="3" max="3" width="55" customWidth="1"/>
    <x:col min="4" max="26" width="8.710000038146973" customWidth="1"/>
  </x:cols>
  <x:sheetData>
    <x:row r="1">
      <x:c r="A1" s="1" t="s">
        <x:v>0</x:v>
      </x:c>
      <x:c r="B1" s="1" t="s">
        <x:v>28</x:v>
      </x:c>
      <x:c r="C1" s="1" t="s">
        <x:v>31</x:v>
      </x:c>
    </x:row>
    <x:row r="2">
      <x:c r="A2" s="2" t="str">
        <x:v>RVX-00001</x:v>
      </x:c>
      <x:c r="B2" s="2" t="n">
        <x:v>1</x:v>
      </x:c>
      <x:c r="C2" s="2"/>
    </x:row>
    <x:row r="3">
      <x:c r="A3" s="2" t="str">
        <x:v>RVX-00002</x:v>
      </x:c>
      <x:c r="B3" s="2" t="n">
        <x:v>1</x:v>
      </x:c>
      <x:c r="C3" s="2"/>
    </x:row>
    <x:row r="4">
      <x:c r="A4" s="2" t="str">
        <x:v>RVX-00003</x:v>
      </x:c>
      <x:c r="B4" s="2" t="n">
        <x:v>1</x:v>
      </x:c>
      <x:c r="C4" s="2"/>
    </x:row>
    <x:row r="5">
      <x:c r="A5" s="2" t="str">
        <x:v>RVX-00004</x:v>
      </x:c>
      <x:c r="B5" s="2" t="n">
        <x:v>1</x:v>
      </x:c>
      <x:c r="C5" s="2"/>
    </x:row>
    <x:row r="6">
      <x:c r="A6" s="3" t="str">
        <x:v>RVX-00005</x:v>
      </x:c>
      <x:c r="B6" s="2" t="n">
        <x:v>1</x:v>
      </x:c>
      <x:c r="C6" s="2"/>
    </x:row>
    <x:row r="7">
      <x:c r="A7" s="3" t="str">
        <x:v>RVX-00006</x:v>
      </x:c>
      <x:c r="B7" s="2" t="n">
        <x:v>1</x:v>
      </x:c>
      <x:c r="C7" s="2"/>
    </x:row>
    <x:row r="8">
      <x:c r="A8" s="3" t="str">
        <x:v>RVX-00007</x:v>
      </x:c>
      <x:c r="B8" s="2" t="n">
        <x:v>1</x:v>
      </x:c>
      <x:c r="C8" s="2"/>
    </x:row>
    <x:row r="9">
      <x:c r="A9" s="3" t="str">
        <x:v>RVX-00008</x:v>
      </x:c>
      <x:c r="B9" s="2" t="n">
        <x:v>1</x:v>
      </x:c>
      <x:c r="C9" s="2"/>
    </x:row>
    <x:row r="10">
      <x:c r="A10" t="str">
        <x:v>RVX-00009</x:v>
      </x:c>
      <x:c r="B10" t="n">
        <x:v>1</x:v>
      </x:c>
      <x:c r="C10"/>
    </x:row>
    <x:row r="11">
      <x:c r="A11" t="str">
        <x:v>RVX-00010</x:v>
      </x:c>
      <x:c r="B11" t="n">
        <x:v>1</x:v>
      </x:c>
      <x:c r="C11"/>
    </x:row>
    <x:row r="12">
      <x:c r="A12" t="str">
        <x:v>RVX-00011</x:v>
      </x:c>
      <x:c r="B12" t="n">
        <x:v>1</x:v>
      </x:c>
      <x:c r="C12"/>
    </x:row>
    <x:row r="13">
      <x:c r="A13" t="str">
        <x:v>RVX-00012</x:v>
      </x:c>
      <x:c r="B13" t="n">
        <x:v>1</x:v>
      </x:c>
      <x:c r="C13"/>
    </x:row>
    <x:row r="14">
      <x:c r="A14" t="str">
        <x:v>RVX-00013</x:v>
      </x:c>
      <x:c r="B14" t="n">
        <x:v>1</x:v>
      </x:c>
      <x:c r="C14"/>
    </x:row>
    <x:row r="15">
      <x:c r="A15" t="str">
        <x:v>RVX-00014</x:v>
      </x:c>
      <x:c r="B15" t="n">
        <x:v>1</x:v>
      </x:c>
      <x:c r="C15"/>
    </x:row>
    <x:row r="16">
      <x:c r="A16" t="str">
        <x:v>RVX-00015</x:v>
      </x:c>
      <x:c r="B16" t="n">
        <x:v>1</x:v>
      </x:c>
      <x:c r="C16"/>
    </x:row>
    <x:row r="17">
      <x:c r="A17" t="str">
        <x:v>RVX-00016</x:v>
      </x:c>
      <x:c r="B17" t="n">
        <x:v>1</x:v>
      </x:c>
      <x:c r="C17"/>
    </x:row>
    <x:row r="18">
      <x:c r="A18" t="str">
        <x:v>RVX-00017</x:v>
      </x:c>
      <x:c r="B18" t="n">
        <x:v>1</x:v>
      </x:c>
      <x:c r="C18"/>
    </x:row>
    <x:row r="19">
      <x:c r="A19" t="str">
        <x:v>RVX-00018</x:v>
      </x:c>
      <x:c r="B19" t="n">
        <x:v>1</x:v>
      </x:c>
      <x:c r="C19"/>
    </x:row>
    <x:row r="20">
      <x:c r="A20" t="str">
        <x:v>RVX-00019</x:v>
      </x:c>
      <x:c r="B20" t="n">
        <x:v>1</x:v>
      </x:c>
      <x:c r="C20"/>
    </x:row>
    <x:row r="21" ht="15.75" customHeight="1">
      <x:c r="A21" t="str">
        <x:v>RVX-00020</x:v>
      </x:c>
      <x:c r="B21" t="n">
        <x:v>1</x:v>
      </x:c>
      <x:c r="C21"/>
    </x:row>
    <x:row r="22" ht="15.75" customHeight="1">
      <x:c r="A22" t="str">
        <x:v>RVX-00021</x:v>
      </x:c>
      <x:c r="B22" t="n">
        <x:v>1</x:v>
      </x:c>
      <x:c r="C22"/>
    </x:row>
    <x:row r="23" ht="15.75" customHeight="1">
      <x:c r="A23" t="str">
        <x:v>RVX-00022</x:v>
      </x:c>
      <x:c r="B23" t="n">
        <x:v>1</x:v>
      </x:c>
      <x:c r="C23"/>
    </x:row>
    <x:row r="24" ht="15.75" customHeight="1">
      <x:c r="A24" t="str">
        <x:v>RVX-00023</x:v>
      </x:c>
      <x:c r="B24" t="n">
        <x:v>1</x:v>
      </x:c>
      <x:c r="C24"/>
    </x:row>
    <x:row r="25" ht="15.75" customHeight="1">
      <x:c r="A25" t="str">
        <x:v>RVX-00024</x:v>
      </x:c>
      <x:c r="B25" t="n">
        <x:v>1</x:v>
      </x:c>
      <x:c r="C25"/>
    </x:row>
    <x:row r="26" ht="15.75" customHeight="1">
      <x:c r="A26" t="str">
        <x:v>RVX-00025</x:v>
      </x:c>
      <x:c r="B26" t="n">
        <x:v>1</x:v>
      </x:c>
      <x:c r="C26"/>
    </x:row>
    <x:row r="27" ht="15.75" customHeight="1">
      <x:c r="A27" t="str">
        <x:v>RVX-00026</x:v>
      </x:c>
      <x:c r="B27" t="n">
        <x:v>1</x:v>
      </x:c>
      <x:c r="C27"/>
    </x:row>
    <x:row r="28" ht="15.75" customHeight="1">
      <x:c r="A28" t="str">
        <x:v>RVX-00027</x:v>
      </x:c>
      <x:c r="B28" t="n">
        <x:v>1</x:v>
      </x:c>
      <x:c r="C28"/>
    </x:row>
    <x:row r="29" ht="15.75" customHeight="1">
      <x:c r="A29" t="str">
        <x:v>RVX-00028</x:v>
      </x:c>
      <x:c r="B29" t="n">
        <x:v>1</x:v>
      </x:c>
      <x:c r="C29"/>
    </x:row>
    <x:row r="30" ht="15.75" customHeight="1">
      <x:c r="A30" t="str">
        <x:v>RVX-00029</x:v>
      </x:c>
      <x:c r="B30" t="n">
        <x:v>1</x:v>
      </x:c>
      <x:c r="C30"/>
    </x:row>
    <x:row r="31" ht="15.75" customHeight="1">
      <x:c r="A31" t="str">
        <x:v>RVX-00030</x:v>
      </x:c>
      <x:c r="B31" t="n">
        <x:v>1</x:v>
      </x:c>
      <x:c r="C31"/>
    </x:row>
    <x:row r="32" ht="15.75" customHeight="1">
      <x:c r="A32" t="str">
        <x:v>RVX-00031</x:v>
      </x:c>
      <x:c r="B32" t="n">
        <x:v>1</x:v>
      </x:c>
      <x:c r="C32"/>
    </x:row>
    <x:row r="33" ht="15.75" customHeight="1">
      <x:c r="A33" t="str">
        <x:v>RVX-00032</x:v>
      </x:c>
      <x:c r="B33" t="n">
        <x:v>1</x:v>
      </x:c>
      <x:c r="C33"/>
    </x:row>
    <x:row r="34" ht="15.75" customHeight="1">
      <x:c r="A34" t="str">
        <x:v>RVX-00033</x:v>
      </x:c>
      <x:c r="B34" t="n">
        <x:v>1</x:v>
      </x:c>
      <x:c r="C34"/>
    </x:row>
    <x:row r="35" ht="15.75" customHeight="1">
      <x:c r="A35" t="str">
        <x:v>RVX-00034</x:v>
      </x:c>
      <x:c r="B35" t="n">
        <x:v>1</x:v>
      </x:c>
      <x:c r="C35"/>
    </x:row>
    <x:row r="36" ht="15.75" customHeight="1">
      <x:c r="A36" t="str">
        <x:v>RVX-00035</x:v>
      </x:c>
      <x:c r="B36" t="n">
        <x:v>1</x:v>
      </x:c>
      <x:c r="C36"/>
    </x:row>
    <x:row r="37" ht="15.75" customHeight="1">
      <x:c r="A37" t="str">
        <x:v>RVX-00036</x:v>
      </x:c>
      <x:c r="B37" t="n">
        <x:v>1</x:v>
      </x:c>
      <x:c r="C37"/>
    </x:row>
    <x:row r="38" ht="15.75" customHeight="1">
      <x:c r="A38" t="str">
        <x:v>RVX-00037</x:v>
      </x:c>
      <x:c r="B38" t="n">
        <x:v>1</x:v>
      </x:c>
      <x:c r="C38"/>
    </x:row>
    <x:row r="39" ht="15.75" customHeight="1">
      <x:c r="A39" t="str">
        <x:v>RVX-00038</x:v>
      </x:c>
      <x:c r="B39" t="n">
        <x:v>1</x:v>
      </x:c>
      <x:c r="C39"/>
    </x:row>
    <x:row r="40" ht="15.75" customHeight="1">
      <x:c r="A40" t="str">
        <x:v>RVX-00039</x:v>
      </x:c>
      <x:c r="B40" t="n">
        <x:v>1</x:v>
      </x:c>
      <x:c r="C40"/>
    </x:row>
    <x:row r="41" ht="15.75" customHeight="1">
      <x:c r="A41" t="str">
        <x:v>RVX-00040</x:v>
      </x:c>
      <x:c r="B41" t="n">
        <x:v>1</x:v>
      </x:c>
      <x:c r="C41"/>
    </x:row>
    <x:row r="42" ht="15.75" customHeight="1">
      <x:c r="A42" t="str">
        <x:v>RVX-00041</x:v>
      </x:c>
      <x:c r="B42" t="n">
        <x:v>1</x:v>
      </x:c>
      <x:c r="C42"/>
    </x:row>
    <x:row r="43" ht="15.75" customHeight="1">
      <x:c r="A43" t="str">
        <x:v>RVX-00042</x:v>
      </x:c>
      <x:c r="B43" t="n">
        <x:v>1</x:v>
      </x:c>
      <x:c r="C43"/>
    </x:row>
    <x:row r="44" ht="15.75" customHeight="1">
      <x:c r="A44" t="str">
        <x:v>RVX-00043</x:v>
      </x:c>
      <x:c r="B44" t="n">
        <x:v>1</x:v>
      </x:c>
      <x:c r="C44"/>
    </x:row>
    <x:row r="45" ht="15.75" customHeight="1">
      <x:c r="A45" t="str">
        <x:v>RVX-00044</x:v>
      </x:c>
      <x:c r="B45" t="n">
        <x:v>1</x:v>
      </x:c>
      <x:c r="C45"/>
    </x:row>
    <x:row r="46" ht="15.75" customHeight="1">
      <x:c r="A46" t="str">
        <x:v>RVX-00045</x:v>
      </x:c>
      <x:c r="B46" t="n">
        <x:v>1</x:v>
      </x:c>
      <x:c r="C46"/>
    </x:row>
    <x:row r="47" ht="15.75" customHeight="1">
      <x:c r="A47" t="str">
        <x:v>RVX-00046</x:v>
      </x:c>
      <x:c r="B47" t="n">
        <x:v>1</x:v>
      </x:c>
      <x:c r="C47"/>
    </x:row>
    <x:row r="48" ht="15.75" customHeight="1">
      <x:c r="A48" t="str">
        <x:v>RVX-00047</x:v>
      </x:c>
      <x:c r="B48" t="n">
        <x:v>1</x:v>
      </x:c>
      <x:c r="C48"/>
    </x:row>
    <x:row r="49" ht="15.75" customHeight="1">
      <x:c r="A49" t="str">
        <x:v>RVX-00048</x:v>
      </x:c>
      <x:c r="B49" t="n">
        <x:v>1</x:v>
      </x:c>
      <x:c r="C49"/>
    </x:row>
    <x:row r="50" ht="15.75" customHeight="1">
      <x:c r="A50" t="str">
        <x:v>RVX-00049</x:v>
      </x:c>
      <x:c r="B50" t="n">
        <x:v>1</x:v>
      </x:c>
      <x:c r="C50"/>
    </x:row>
    <x:row r="51" ht="15.75" customHeight="1">
      <x:c r="A51" t="str">
        <x:v>RVX-00050</x:v>
      </x:c>
      <x:c r="B51" t="n">
        <x:v>1</x:v>
      </x:c>
      <x:c r="C51"/>
    </x:row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2">
    <x:dataValidation type="list" sqref="A2:A500">
      <x:formula1>Athlete_Profile!$A$2:$A$51</x:formula1>
    </x:dataValidation>
    <x:dataValidation type="list" sqref="C2:C500">
      <x:formula1>'Recommendation Matrix'!$F$2:$F$19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14.430000305175781" defaultRowHeight="15"/>
  <x:cols>
    <x:col min="1" max="1" width="12" customWidth="1"/>
    <x:col min="2" max="2" width="15" customWidth="1"/>
    <x:col min="3" max="3" width="50" customWidth="1"/>
    <x:col min="4" max="26" width="8.710000038146973" customWidth="1"/>
  </x:cols>
  <x:sheetData>
    <x:row r="1">
      <x:c r="A1" s="1" t="s">
        <x:v>0</x:v>
      </x:c>
      <x:c r="B1" s="1" t="s">
        <x:v>28</x:v>
      </x:c>
      <x:c r="C1" s="1" t="s">
        <x:v>32</x:v>
      </x:c>
    </x:row>
    <x:row r="2">
      <x:c r="A2" s="2" t="str">
        <x:v>RVX-00001</x:v>
      </x:c>
      <x:c r="B2" s="2" t="n">
        <x:v>1</x:v>
      </x:c>
      <x:c r="C2" s="3"/>
    </x:row>
    <x:row r="3">
      <x:c r="A3" s="2" t="str">
        <x:v>RVX-00002</x:v>
      </x:c>
      <x:c r="B3" s="2" t="n">
        <x:v>1</x:v>
      </x:c>
      <x:c r="C3" s="2"/>
    </x:row>
    <x:row r="4">
      <x:c r="A4" s="2" t="str">
        <x:v>RVX-00003</x:v>
      </x:c>
      <x:c r="B4" s="2" t="n">
        <x:v>1</x:v>
      </x:c>
      <x:c r="C4" s="2"/>
    </x:row>
    <x:row r="5">
      <x:c r="A5" s="2" t="str">
        <x:v>RVX-00004</x:v>
      </x:c>
      <x:c r="B5" s="2" t="n">
        <x:v>1</x:v>
      </x:c>
      <x:c r="C5" s="2"/>
    </x:row>
    <x:row r="6">
      <x:c r="A6" s="3" t="str">
        <x:v>RVX-00005</x:v>
      </x:c>
      <x:c r="B6" s="2" t="n">
        <x:v>1</x:v>
      </x:c>
      <x:c r="C6" s="2"/>
    </x:row>
    <x:row r="7">
      <x:c r="A7" s="3" t="str">
        <x:v>RVX-00006</x:v>
      </x:c>
      <x:c r="B7" s="2" t="n">
        <x:v>1</x:v>
      </x:c>
      <x:c r="C7" s="2"/>
    </x:row>
    <x:row r="8">
      <x:c r="A8" s="3" t="str">
        <x:v>RVX-00007</x:v>
      </x:c>
      <x:c r="B8" s="2" t="n">
        <x:v>1</x:v>
      </x:c>
      <x:c r="C8" s="2"/>
    </x:row>
    <x:row r="9">
      <x:c r="A9" s="3" t="str">
        <x:v>RVX-00008</x:v>
      </x:c>
      <x:c r="B9" s="2" t="n">
        <x:v>1</x:v>
      </x:c>
      <x:c r="C9" s="2"/>
    </x:row>
    <x:row r="10">
      <x:c r="A10" t="str">
        <x:v>RVX-00009</x:v>
      </x:c>
      <x:c r="B10" t="n">
        <x:v>1</x:v>
      </x:c>
      <x:c r="C10"/>
    </x:row>
    <x:row r="11">
      <x:c r="A11" t="str">
        <x:v>RVX-00010</x:v>
      </x:c>
      <x:c r="B11" t="n">
        <x:v>1</x:v>
      </x:c>
      <x:c r="C11"/>
    </x:row>
    <x:row r="12">
      <x:c r="A12" t="str">
        <x:v>RVX-00011</x:v>
      </x:c>
      <x:c r="B12" t="n">
        <x:v>1</x:v>
      </x:c>
      <x:c r="C12"/>
    </x:row>
    <x:row r="13">
      <x:c r="A13" t="str">
        <x:v>RVX-00012</x:v>
      </x:c>
      <x:c r="B13" t="n">
        <x:v>1</x:v>
      </x:c>
      <x:c r="C13"/>
    </x:row>
    <x:row r="14">
      <x:c r="A14" t="str">
        <x:v>RVX-00013</x:v>
      </x:c>
      <x:c r="B14" t="n">
        <x:v>1</x:v>
      </x:c>
      <x:c r="C14"/>
    </x:row>
    <x:row r="15">
      <x:c r="A15" t="str">
        <x:v>RVX-00014</x:v>
      </x:c>
      <x:c r="B15" t="n">
        <x:v>1</x:v>
      </x:c>
      <x:c r="C15"/>
    </x:row>
    <x:row r="16">
      <x:c r="A16" t="str">
        <x:v>RVX-00015</x:v>
      </x:c>
      <x:c r="B16" t="n">
        <x:v>1</x:v>
      </x:c>
      <x:c r="C16"/>
    </x:row>
    <x:row r="17">
      <x:c r="A17" t="str">
        <x:v>RVX-00016</x:v>
      </x:c>
      <x:c r="B17" t="n">
        <x:v>1</x:v>
      </x:c>
      <x:c r="C17"/>
    </x:row>
    <x:row r="18">
      <x:c r="A18" t="str">
        <x:v>RVX-00017</x:v>
      </x:c>
      <x:c r="B18" t="n">
        <x:v>1</x:v>
      </x:c>
      <x:c r="C18"/>
    </x:row>
    <x:row r="19">
      <x:c r="A19" t="str">
        <x:v>RVX-00018</x:v>
      </x:c>
      <x:c r="B19" t="n">
        <x:v>1</x:v>
      </x:c>
      <x:c r="C19"/>
    </x:row>
    <x:row r="20">
      <x:c r="A20" t="str">
        <x:v>RVX-00019</x:v>
      </x:c>
      <x:c r="B20" t="n">
        <x:v>1</x:v>
      </x:c>
      <x:c r="C20"/>
    </x:row>
    <x:row r="21" ht="15.75" customHeight="1">
      <x:c r="A21" t="str">
        <x:v>RVX-00020</x:v>
      </x:c>
      <x:c r="B21" t="n">
        <x:v>1</x:v>
      </x:c>
      <x:c r="C21"/>
    </x:row>
    <x:row r="22" ht="15.75" customHeight="1">
      <x:c r="A22" t="str">
        <x:v>RVX-00021</x:v>
      </x:c>
      <x:c r="B22" t="n">
        <x:v>1</x:v>
      </x:c>
      <x:c r="C22"/>
    </x:row>
    <x:row r="23" ht="15.75" customHeight="1">
      <x:c r="A23" t="str">
        <x:v>RVX-00022</x:v>
      </x:c>
      <x:c r="B23" t="n">
        <x:v>1</x:v>
      </x:c>
      <x:c r="C23"/>
    </x:row>
    <x:row r="24" ht="15.75" customHeight="1">
      <x:c r="A24" t="str">
        <x:v>RVX-00023</x:v>
      </x:c>
      <x:c r="B24" t="n">
        <x:v>1</x:v>
      </x:c>
      <x:c r="C24"/>
    </x:row>
    <x:row r="25" ht="15.75" customHeight="1">
      <x:c r="A25" t="str">
        <x:v>RVX-00024</x:v>
      </x:c>
      <x:c r="B25" t="n">
        <x:v>1</x:v>
      </x:c>
      <x:c r="C25"/>
    </x:row>
    <x:row r="26" ht="15.75" customHeight="1">
      <x:c r="A26" t="str">
        <x:v>RVX-00025</x:v>
      </x:c>
      <x:c r="B26" t="n">
        <x:v>1</x:v>
      </x:c>
      <x:c r="C26"/>
    </x:row>
    <x:row r="27" ht="15.75" customHeight="1">
      <x:c r="A27" t="str">
        <x:v>RVX-00026</x:v>
      </x:c>
      <x:c r="B27" t="n">
        <x:v>1</x:v>
      </x:c>
      <x:c r="C27"/>
    </x:row>
    <x:row r="28" ht="15.75" customHeight="1">
      <x:c r="A28" t="str">
        <x:v>RVX-00027</x:v>
      </x:c>
      <x:c r="B28" t="n">
        <x:v>1</x:v>
      </x:c>
      <x:c r="C28"/>
    </x:row>
    <x:row r="29" ht="15.75" customHeight="1">
      <x:c r="A29" t="str">
        <x:v>RVX-00028</x:v>
      </x:c>
      <x:c r="B29" t="n">
        <x:v>1</x:v>
      </x:c>
      <x:c r="C29"/>
    </x:row>
    <x:row r="30" ht="15.75" customHeight="1">
      <x:c r="A30" t="str">
        <x:v>RVX-00029</x:v>
      </x:c>
      <x:c r="B30" t="n">
        <x:v>1</x:v>
      </x:c>
      <x:c r="C30"/>
    </x:row>
    <x:row r="31" ht="15.75" customHeight="1">
      <x:c r="A31" t="str">
        <x:v>RVX-00030</x:v>
      </x:c>
      <x:c r="B31" t="n">
        <x:v>1</x:v>
      </x:c>
      <x:c r="C31"/>
    </x:row>
    <x:row r="32" ht="15.75" customHeight="1">
      <x:c r="A32" t="str">
        <x:v>RVX-00031</x:v>
      </x:c>
      <x:c r="B32" t="n">
        <x:v>1</x:v>
      </x:c>
      <x:c r="C32"/>
    </x:row>
    <x:row r="33" ht="15.75" customHeight="1">
      <x:c r="A33" t="str">
        <x:v>RVX-00032</x:v>
      </x:c>
      <x:c r="B33" t="n">
        <x:v>1</x:v>
      </x:c>
      <x:c r="C33"/>
    </x:row>
    <x:row r="34" ht="15.75" customHeight="1">
      <x:c r="A34" t="str">
        <x:v>RVX-00033</x:v>
      </x:c>
      <x:c r="B34" t="n">
        <x:v>1</x:v>
      </x:c>
      <x:c r="C34"/>
    </x:row>
    <x:row r="35" ht="15.75" customHeight="1">
      <x:c r="A35" t="str">
        <x:v>RVX-00034</x:v>
      </x:c>
      <x:c r="B35" t="n">
        <x:v>1</x:v>
      </x:c>
      <x:c r="C35"/>
    </x:row>
    <x:row r="36" ht="15.75" customHeight="1">
      <x:c r="A36" t="str">
        <x:v>RVX-00035</x:v>
      </x:c>
      <x:c r="B36" t="n">
        <x:v>1</x:v>
      </x:c>
      <x:c r="C36"/>
    </x:row>
    <x:row r="37" ht="15.75" customHeight="1">
      <x:c r="A37" t="str">
        <x:v>RVX-00036</x:v>
      </x:c>
      <x:c r="B37" t="n">
        <x:v>1</x:v>
      </x:c>
      <x:c r="C37"/>
    </x:row>
    <x:row r="38" ht="15.75" customHeight="1">
      <x:c r="A38" t="str">
        <x:v>RVX-00037</x:v>
      </x:c>
      <x:c r="B38" t="n">
        <x:v>1</x:v>
      </x:c>
      <x:c r="C38"/>
    </x:row>
    <x:row r="39" ht="15.75" customHeight="1">
      <x:c r="A39" t="str">
        <x:v>RVX-00038</x:v>
      </x:c>
      <x:c r="B39" t="n">
        <x:v>1</x:v>
      </x:c>
      <x:c r="C39"/>
    </x:row>
    <x:row r="40" ht="15.75" customHeight="1">
      <x:c r="A40" t="str">
        <x:v>RVX-00039</x:v>
      </x:c>
      <x:c r="B40" t="n">
        <x:v>1</x:v>
      </x:c>
      <x:c r="C40"/>
    </x:row>
    <x:row r="41" ht="15.75" customHeight="1">
      <x:c r="A41" t="str">
        <x:v>RVX-00040</x:v>
      </x:c>
      <x:c r="B41" t="n">
        <x:v>1</x:v>
      </x:c>
      <x:c r="C41"/>
    </x:row>
    <x:row r="42" ht="15.75" customHeight="1">
      <x:c r="A42" t="str">
        <x:v>RVX-00041</x:v>
      </x:c>
      <x:c r="B42" t="n">
        <x:v>1</x:v>
      </x:c>
      <x:c r="C42"/>
    </x:row>
    <x:row r="43" ht="15.75" customHeight="1">
      <x:c r="A43" t="str">
        <x:v>RVX-00042</x:v>
      </x:c>
      <x:c r="B43" t="n">
        <x:v>1</x:v>
      </x:c>
      <x:c r="C43"/>
    </x:row>
    <x:row r="44" ht="15.75" customHeight="1">
      <x:c r="A44" t="str">
        <x:v>RVX-00043</x:v>
      </x:c>
      <x:c r="B44" t="n">
        <x:v>1</x:v>
      </x:c>
      <x:c r="C44"/>
    </x:row>
    <x:row r="45" ht="15.75" customHeight="1">
      <x:c r="A45" t="str">
        <x:v>RVX-00044</x:v>
      </x:c>
      <x:c r="B45" t="n">
        <x:v>1</x:v>
      </x:c>
      <x:c r="C45"/>
    </x:row>
    <x:row r="46" ht="15.75" customHeight="1">
      <x:c r="A46" t="str">
        <x:v>RVX-00045</x:v>
      </x:c>
      <x:c r="B46" t="n">
        <x:v>1</x:v>
      </x:c>
      <x:c r="C46"/>
    </x:row>
    <x:row r="47" ht="15.75" customHeight="1">
      <x:c r="A47" t="str">
        <x:v>RVX-00046</x:v>
      </x:c>
      <x:c r="B47" t="n">
        <x:v>1</x:v>
      </x:c>
      <x:c r="C47"/>
    </x:row>
    <x:row r="48" ht="15.75" customHeight="1">
      <x:c r="A48" t="str">
        <x:v>RVX-00047</x:v>
      </x:c>
      <x:c r="B48" t="n">
        <x:v>1</x:v>
      </x:c>
      <x:c r="C48"/>
    </x:row>
    <x:row r="49" ht="15.75" customHeight="1">
      <x:c r="A49" t="str">
        <x:v>RVX-00048</x:v>
      </x:c>
      <x:c r="B49" t="n">
        <x:v>1</x:v>
      </x:c>
      <x:c r="C49"/>
    </x:row>
    <x:row r="50" ht="15.75" customHeight="1">
      <x:c r="A50" t="str">
        <x:v>RVX-00049</x:v>
      </x:c>
      <x:c r="B50" t="n">
        <x:v>1</x:v>
      </x:c>
      <x:c r="C50"/>
    </x:row>
    <x:row r="51" ht="15.75" customHeight="1">
      <x:c r="A51" t="str">
        <x:v>RVX-00050</x:v>
      </x:c>
      <x:c r="B51" t="n">
        <x:v>1</x:v>
      </x:c>
      <x:c r="C51"/>
    </x:row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2">
    <x:dataValidation type="list" sqref="A2:A500">
      <x:formula1>Athlete_Profile!$A$2:$A$51</x:formula1>
    </x:dataValidation>
    <x:dataValidation type="list" sqref="C2:C500">
      <x:formula1>'Recommendation Matrix'!$I$2:$I$19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ColWidth="14.430000305175781" defaultRowHeight="15"/>
  <x:cols>
    <x:col min="1" max="1" width="19" customWidth="1"/>
    <x:col min="2" max="2" width="55" customWidth="1"/>
    <x:col min="3" max="3" width="35" customWidth="1"/>
    <x:col min="4" max="26" width="8.710000038146973" customWidth="1"/>
  </x:cols>
  <x:sheetData>
    <x:row r="1">
      <x:c r="A1" s="1" t="s">
        <x:v>33</x:v>
      </x:c>
      <x:c r="B1" s="1" t="s">
        <x:v>20</x:v>
      </x:c>
      <x:c r="C1" s="1" t="s">
        <x:v>34</x:v>
      </x:c>
    </x:row>
    <x:row r="2">
      <x:c r="A2" s="2" t="s">
        <x:v>35</x:v>
      </x:c>
      <x:c r="B2" s="2" t="s">
        <x:v>36</x:v>
      </x:c>
      <x:c r="C2" s="2" t="s">
        <x:v>37</x:v>
      </x:c>
    </x:row>
    <x:row r="3">
      <x:c r="A3" s="2" t="s">
        <x:v>38</x:v>
      </x:c>
      <x:c r="B3" s="2" t="s">
        <x:v>39</x:v>
      </x:c>
      <x:c r="C3" s="2" t="s">
        <x:v>40</x:v>
      </x:c>
    </x:row>
    <x:row r="4">
      <x:c r="A4" s="2" t="s">
        <x:v>41</x:v>
      </x:c>
      <x:c r="B4" s="2" t="s">
        <x:v>42</x:v>
      </x:c>
      <x:c r="C4" s="2" t="s">
        <x:v>43</x:v>
      </x:c>
    </x:row>
    <x:row r="5">
      <x:c r="A5" s="2" t="s">
        <x:v>44</x:v>
      </x:c>
      <x:c r="C5" s="2" t="s">
        <x:v>45</x:v>
      </x:c>
    </x:row>
    <x:row r="6">
      <x:c r="A6" s="2" t="s">
        <x:v>46</x:v>
      </x:c>
      <x:c r="B6" s="2" t="s">
        <x:v>47</x:v>
      </x:c>
      <x:c r="C6" s="2" t="s">
        <x:v>48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3" max="13" width="24" hidden="0" customWidth="1"/>
    <x:col min="14" max="14" width="24" hidden="0" customWidth="1"/>
    <x:col min="1" max="1" width="10" hidden="0" customWidth="1"/>
    <x:col min="2" max="2" width="25" hidden="0" customWidth="1"/>
    <x:col min="3" max="3" width="11" hidden="0" customWidth="1"/>
    <x:col min="4" max="4" width="14" hidden="0" customWidth="1"/>
    <x:col min="5" max="5" width="31" hidden="0" customWidth="1"/>
    <x:col min="6" max="6" width="30" hidden="0" customWidth="1"/>
    <x:col min="7" max="7" width="38" hidden="0" customWidth="1"/>
    <x:col min="8" max="8" width="58" hidden="0" customWidth="1"/>
    <x:col min="9" max="9" width="29" hidden="0" customWidth="1"/>
    <x:col min="10" max="10" width="29" hidden="0" customWidth="1"/>
    <x:col min="11" max="11" width="42" hidden="0" customWidth="1"/>
    <x:col min="12" max="12" width="38" hidden="0" customWidth="1"/>
  </x:cols>
  <x:sheetData>
    <x:row r="1">
      <x:c r="A1" s="11" t="str">
        <x:v>Metric ID</x:v>
      </x:c>
      <x:c r="B1" s="11" t="str">
        <x:v>Metric</x:v>
      </x:c>
      <x:c r="C1" s="11" t="str">
        <x:v>Direction</x:v>
      </x:c>
      <x:c r="D1" s="11" t="str">
        <x:v>Norm Status</x:v>
      </x:c>
      <x:c r="E1" s="11" t="str">
        <x:v>Status Logic</x:v>
      </x:c>
      <x:c r="F1" s="11" t="str">
        <x:v>Primary Area of Focus</x:v>
      </x:c>
      <x:c r="G1" s="11" t="str">
        <x:v>Secondary Areas of Focus</x:v>
      </x:c>
      <x:c r="H1" s="11" t="str">
        <x:v>Coach Recommendation</x:v>
      </x:c>
      <x:c r="I1" s="11" t="str">
        <x:v>Primary RVX App Program</x:v>
      </x:c>
      <x:c r="J1" s="11" t="str">
        <x:v>Secondary RVX App Program</x:v>
      </x:c>
      <x:c r="K1" s="11" t="str">
        <x:v>Suggested Coaching Cue</x:v>
      </x:c>
      <x:c r="L1" s="11" t="str">
        <x:v>Retest Guidance</x:v>
      </x:c>
      <x:c r="M1" s="11" t="str">
        <x:v>Template Metric Key</x:v>
      </x:c>
      <x:c r="N1" s="11" t="str">
        <x:v>Lookup Key</x:v>
      </x:c>
    </x:row>
    <x:row r="2">
      <x:c r="A2" s="12" t="str">
        <x:v>M01</x:v>
      </x:c>
      <x:c r="B2" s="12" t="str">
        <x:v>5 m Sprint</x:v>
      </x:c>
      <x:c r="C2" s="12" t="str">
        <x:v>LOWER</x:v>
      </x:c>
      <x:c r="D2" s="12" t="str">
        <x:v>Above Norm</x:v>
      </x:c>
      <x:c r="E2" s="12" t="str">
        <x:v>Athlete time is meaningfully faster than the normative value.</x:v>
      </x:c>
      <x:c r="F2" s="12" t="str">
        <x:v>Maintain first-step explosiveness</x:v>
      </x:c>
      <x:c r="G2" s="12" t="str">
        <x:v>Start consistency; projection angle; horizontal force; reaction quality</x:v>
      </x:c>
      <x:c r="H2" s="12" t="str">
        <x:v>Maintain speed with low-volume, high-quality acceleration exposures. Avoid unnecessary volume that could reduce sprint quality. Progress through resisted and reactive starts while preserving mechanics.</x:v>
      </x:c>
      <x:c r="I2" s="12" t="str">
        <x:v>RVX Advanced Acceleration</x:v>
      </x:c>
      <x:c r="J2" s="12" t="str">
        <x:v>RVX Explosive Starts Microdose</x:v>
      </x:c>
      <x:c r="K2" s="12" t="str">
        <x:v>Project forward, push the ground back, and win the first three steps.</x:v>
      </x:c>
      <x:c r="L2" s="12" t="str">
        <x:v>Retest every 6–8 weeks or after a dedicated acceleration block.</x:v>
      </x:c>
      <x:c r="M2" s="12" t="str">
        <x:v>sprint_5m</x:v>
      </x:c>
      <x:c r="N2" s="12" t="str">
        <x:v>sprint_5m|Above Norm</x:v>
      </x:c>
    </x:row>
    <x:row r="3">
      <x:c r="A3" s="12" t="str">
        <x:v>M01</x:v>
      </x:c>
      <x:c r="B3" s="12" t="str">
        <x:v>5 m Sprint</x:v>
      </x:c>
      <x:c r="C3" s="12" t="str">
        <x:v>LOWER</x:v>
      </x:c>
      <x:c r="D3" s="12" t="str">
        <x:v>Equal to Norm</x:v>
      </x:c>
      <x:c r="E3" s="12" t="str">
        <x:v>Athlete time is within the equal band around the normative value.</x:v>
      </x:c>
      <x:c r="F3" s="12" t="str">
        <x:v>Improve acceleration efficiency</x:v>
      </x:c>
      <x:c r="G3" s="12" t="str">
        <x:v>Starting posture; shin angle; first-step direction; arm action</x:v>
      </x:c>
      <x:c r="H3" s="12" t="str">
        <x:v>Use a focused acceleration-development block emphasizing starting position, projection and force application. Keep repetitions short with full recovery.</x:v>
      </x:c>
      <x:c r="I3" s="12" t="str">
        <x:v>RVX Acceleration Foundations</x:v>
      </x:c>
      <x:c r="J3" s="12" t="str">
        <x:v>RVX Sprint Mechanics</x:v>
      </x:c>
      <x:c r="K3" s="12" t="str">
        <x:v>Push out, not up. Keep the first steps powerful and connected.</x:v>
      </x:c>
      <x:c r="L3" s="12" t="str">
        <x:v>Retest after 4–6 weeks of focused acceleration work.</x:v>
      </x:c>
      <x:c r="M3" s="12" t="str">
        <x:v>sprint_5m</x:v>
      </x:c>
      <x:c r="N3" s="12" t="str">
        <x:v>sprint_5m|Equal to Norm</x:v>
      </x:c>
    </x:row>
    <x:row r="4">
      <x:c r="A4" s="12" t="str">
        <x:v>M01</x:v>
      </x:c>
      <x:c r="B4" s="12" t="str">
        <x:v>5 m Sprint</x:v>
      </x:c>
      <x:c r="C4" s="12" t="str">
        <x:v>LOWER</x:v>
      </x:c>
      <x:c r="D4" s="12" t="str">
        <x:v>Below Norm</x:v>
      </x:c>
      <x:c r="E4" s="12" t="str">
        <x:v>Athlete time is meaningfully slower than the normative value.</x:v>
      </x:c>
      <x:c r="F4" s="12" t="str">
        <x:v>Develop first-step acceleration</x:v>
      </x:c>
      <x:c r="G4" s="12" t="str">
        <x:v>Relative strength; horizontal force; start mechanics; stiffness; coordination</x:v>
      </x:c>
      <x:c r="H4" s="12" t="str">
        <x:v>Prioritize acceleration fundamentals and lower-body force capacity. Use resisted marches, wall drills, short sled accelerations and controlled 5 m sprint exposures.</x:v>
      </x:c>
      <x:c r="I4" s="12" t="str">
        <x:v>RVX Acceleration Foundations</x:v>
      </x:c>
      <x:c r="J4" s="12" t="str">
        <x:v>RVX Lower-Body Strength Foundations</x:v>
      </x:c>
      <x:c r="K4" s="12" t="str">
        <x:v>Create a strong angle, drive through the ground, and accelerate with intent.</x:v>
      </x:c>
      <x:c r="L4" s="12" t="str">
        <x:v>Retest after 4 weeks; review technique video before increasing sprint volume.</x:v>
      </x:c>
      <x:c r="M4" s="12" t="str">
        <x:v>sprint_5m</x:v>
      </x:c>
      <x:c r="N4" s="12" t="str">
        <x:v>sprint_5m|Below Norm</x:v>
      </x:c>
    </x:row>
    <x:row r="5">
      <x:c r="A5" s="12" t="str">
        <x:v>M02</x:v>
      </x:c>
      <x:c r="B5" s="12" t="str">
        <x:v>10 m Sprint</x:v>
      </x:c>
      <x:c r="C5" s="12" t="str">
        <x:v>LOWER</x:v>
      </x:c>
      <x:c r="D5" s="12" t="str">
        <x:v>Above Norm</x:v>
      </x:c>
      <x:c r="E5" s="12" t="str">
        <x:v>Athlete time is meaningfully faster than the normative value.</x:v>
      </x:c>
      <x:c r="F5" s="12" t="str">
        <x:v>Maintain acceleration through 10 m</x:v>
      </x:c>
      <x:c r="G5" s="12" t="str">
        <x:v>Transition mechanics; stride rhythm; stiffness; repeatability</x:v>
      </x:c>
      <x:c r="H5" s="12" t="str">
        <x:v>Maintain one to two weekly high-quality acceleration exposures. Add varied starts and light resistance while monitoring consistency across trials.</x:v>
      </x:c>
      <x:c r="I5" s="12" t="str">
        <x:v>RVX Advanced Acceleration</x:v>
      </x:c>
      <x:c r="J5" s="12" t="str">
        <x:v>RVX Speed Maintenance Microdose</x:v>
      </x:c>
      <x:c r="K5" s="12" t="str">
        <x:v>Stay patient through acceleration and keep pushing behind the body.</x:v>
      </x:c>
      <x:c r="L5" s="12" t="str">
        <x:v>Retest every 6–8 weeks or after a speed block.</x:v>
      </x:c>
      <x:c r="M5" s="12" t="str">
        <x:v>sprint_10m</x:v>
      </x:c>
      <x:c r="N5" s="12" t="str">
        <x:v>sprint_10m|Above Norm</x:v>
      </x:c>
    </x:row>
    <x:row r="6">
      <x:c r="A6" s="12" t="str">
        <x:v>M02</x:v>
      </x:c>
      <x:c r="B6" s="12" t="str">
        <x:v>10 m Sprint</x:v>
      </x:c>
      <x:c r="C6" s="12" t="str">
        <x:v>LOWER</x:v>
      </x:c>
      <x:c r="D6" s="12" t="str">
        <x:v>Equal to Norm</x:v>
      </x:c>
      <x:c r="E6" s="12" t="str">
        <x:v>Athlete time is within the equal band around the normative value.</x:v>
      </x:c>
      <x:c r="F6" s="12" t="str">
        <x:v>Improve acceleration continuation</x:v>
      </x:c>
      <x:c r="G6" s="12" t="str">
        <x:v>Projection; force orientation; step rhythm; trunk control</x:v>
      </x:c>
      <x:c r="H6" s="12" t="str">
        <x:v>Build acceleration from 0–10 m using split starts, falling starts and progressive resisted sprints. Emphasize full recovery and technical consistency.</x:v>
      </x:c>
      <x:c r="I6" s="12" t="str">
        <x:v>RVX Acceleration Development</x:v>
      </x:c>
      <x:c r="J6" s="12" t="str">
        <x:v>RVX Sprint Mechanics</x:v>
      </x:c>
      <x:c r="K6" s="12" t="str">
        <x:v>Keep building speed through the line; do not stand up too early.</x:v>
      </x:c>
      <x:c r="L6" s="12" t="str">
        <x:v>Retest after 4–6 weeks.</x:v>
      </x:c>
      <x:c r="M6" s="12" t="str">
        <x:v>sprint_10m</x:v>
      </x:c>
      <x:c r="N6" s="12" t="str">
        <x:v>sprint_10m|Equal to Norm</x:v>
      </x:c>
    </x:row>
    <x:row r="7">
      <x:c r="A7" s="12" t="str">
        <x:v>M02</x:v>
      </x:c>
      <x:c r="B7" s="12" t="str">
        <x:v>10 m Sprint</x:v>
      </x:c>
      <x:c r="C7" s="12" t="str">
        <x:v>LOWER</x:v>
      </x:c>
      <x:c r="D7" s="12" t="str">
        <x:v>Below Norm</x:v>
      </x:c>
      <x:c r="E7" s="12" t="str">
        <x:v>Athlete time is meaningfully slower than the normative value.</x:v>
      </x:c>
      <x:c r="F7" s="12" t="str">
        <x:v>Develop 0–10 m speed</x:v>
      </x:c>
      <x:c r="G7" s="12" t="str">
        <x:v>Relative strength; first-step mechanics; force application; acceleration endurance</x:v>
      </x:c>
      <x:c r="H7" s="12" t="str">
        <x:v>Use a foundational acceleration block paired with strength development. Limit sprint distances initially and improve the quality of each step before adding volume.</x:v>
      </x:c>
      <x:c r="I7" s="12" t="str">
        <x:v>RVX Acceleration Foundations</x:v>
      </x:c>
      <x:c r="J7" s="12" t="str">
        <x:v>RVX Relative Strength Builder</x:v>
      </x:c>
      <x:c r="K7" s="12" t="str">
        <x:v>Push longer, maintain posture and create force in the correct direction.</x:v>
      </x:c>
      <x:c r="L7" s="12" t="str">
        <x:v>Retest in 4 weeks and compare 5 m versus 10 m split changes.</x:v>
      </x:c>
      <x:c r="M7" s="12" t="str">
        <x:v>sprint_10m</x:v>
      </x:c>
      <x:c r="N7" s="12" t="str">
        <x:v>sprint_10m|Below Norm</x:v>
      </x:c>
    </x:row>
    <x:row r="8">
      <x:c r="A8" s="12" t="str">
        <x:v>M03</x:v>
      </x:c>
      <x:c r="B8" s="12" t="str">
        <x:v>5-10-5 Pro-Agility</x:v>
      </x:c>
      <x:c r="C8" s="12" t="str">
        <x:v>LOWER</x:v>
      </x:c>
      <x:c r="D8" s="12" t="str">
        <x:v>Above Norm</x:v>
      </x:c>
      <x:c r="E8" s="12" t="str">
        <x:v>Athlete time is meaningfully faster than the normative value.</x:v>
      </x:c>
      <x:c r="F8" s="12" t="str">
        <x:v>Maintain change-of-direction performance</x:v>
      </x:c>
      <x:c r="G8" s="12" t="str">
        <x:v>Reactive decision-making; braking tolerance; bilateral symmetry; movement variability</x:v>
      </x:c>
      <x:c r="H8" s="12" t="str">
        <x:v>Maintain planned change-of-direction work and progress toward reactive agility. Use low-volume, high-quality exposures with multiple starting and turning strategies.</x:v>
      </x:c>
      <x:c r="I8" s="12" t="str">
        <x:v>RVX Advanced Change of Direction</x:v>
      </x:c>
      <x:c r="J8" s="12" t="str">
        <x:v>RVX Reactive Agility</x:v>
      </x:c>
      <x:c r="K8" s="12" t="str">
        <x:v>Brake under control, own the plant and accelerate out immediately.</x:v>
      </x:c>
      <x:c r="L8" s="12" t="str">
        <x:v>Retest every 6–8 weeks with left and right trial review.</x:v>
      </x:c>
      <x:c r="M8" s="12" t="str">
        <x:v>pro_agility</x:v>
      </x:c>
      <x:c r="N8" s="12" t="str">
        <x:v>pro_agility|Above Norm</x:v>
      </x:c>
    </x:row>
    <x:row r="9">
      <x:c r="A9" s="12" t="str">
        <x:v>M03</x:v>
      </x:c>
      <x:c r="B9" s="12" t="str">
        <x:v>5-10-5 Pro-Agility</x:v>
      </x:c>
      <x:c r="C9" s="12" t="str">
        <x:v>LOWER</x:v>
      </x:c>
      <x:c r="D9" s="12" t="str">
        <x:v>Equal to Norm</x:v>
      </x:c>
      <x:c r="E9" s="12" t="str">
        <x:v>Athlete time is within the equal band around the normative value.</x:v>
      </x:c>
      <x:c r="F9" s="12" t="str">
        <x:v>Improve braking and re-acceleration</x:v>
      </x:c>
      <x:c r="G9" s="12" t="str">
        <x:v>Deceleration mechanics; foot placement; hip position; crossover efficiency</x:v>
      </x:c>
      <x:c r="H9" s="12" t="str">
        <x:v>Use a structured change-of-direction block emphasizing braking positions, plant-foot control and efficient re-acceleration on both sides.</x:v>
      </x:c>
      <x:c r="I9" s="12" t="str">
        <x:v>RVX Change of Direction Development</x:v>
      </x:c>
      <x:c r="J9" s="12" t="str">
        <x:v>RVX Deceleration Mechanics</x:v>
      </x:c>
      <x:c r="K9" s="12" t="str">
        <x:v>Lower the centre of mass before the turn and push away from the plant.</x:v>
      </x:c>
      <x:c r="L9" s="12" t="str">
        <x:v>Retest after 4–6 weeks and review directional splits if available.</x:v>
      </x:c>
      <x:c r="M9" s="12" t="str">
        <x:v>pro_agility</x:v>
      </x:c>
      <x:c r="N9" s="12" t="str">
        <x:v>pro_agility|Equal to Norm</x:v>
      </x:c>
    </x:row>
    <x:row r="10">
      <x:c r="A10" s="12" t="str">
        <x:v>M03</x:v>
      </x:c>
      <x:c r="B10" s="12" t="str">
        <x:v>5-10-5 Pro-Agility</x:v>
      </x:c>
      <x:c r="C10" s="12" t="str">
        <x:v>LOWER</x:v>
      </x:c>
      <x:c r="D10" s="12" t="str">
        <x:v>Below Norm</x:v>
      </x:c>
      <x:c r="E10" s="12" t="str">
        <x:v>Athlete time is meaningfully slower than the normative value.</x:v>
      </x:c>
      <x:c r="F10" s="12" t="str">
        <x:v>Build foundational change-of-direction skill</x:v>
      </x:c>
      <x:c r="G10" s="12" t="str">
        <x:v>Eccentric strength; braking confidence; plant mechanics; lateral force; coordination</x:v>
      </x:c>
      <x:c r="H10" s="12" t="str">
        <x:v>Begin with controlled deceleration and planned directional drills. Pair with unilateral strength and lateral force development before increasing reactive complexity.</x:v>
      </x:c>
      <x:c r="I10" s="12" t="str">
        <x:v>RVX Change of Direction Foundations</x:v>
      </x:c>
      <x:c r="J10" s="12" t="str">
        <x:v>RVX Unilateral Strength Foundations</x:v>
      </x:c>
      <x:c r="K10" s="12" t="str">
        <x:v>Arrive under control, plant outside the body and re-accelerate with purpose.</x:v>
      </x:c>
      <x:c r="L10" s="12" t="str">
        <x:v>Retest after 4 weeks; assess both turning directions separately.</x:v>
      </x:c>
      <x:c r="M10" s="12" t="str">
        <x:v>pro_agility</x:v>
      </x:c>
      <x:c r="N10" s="12" t="str">
        <x:v>pro_agility|Below Norm</x:v>
      </x:c>
    </x:row>
    <x:row r="11">
      <x:c r="A11" s="12" t="str">
        <x:v>M04</x:v>
      </x:c>
      <x:c r="B11" s="12" t="str">
        <x:v>Countermovement Depth</x:v>
      </x:c>
      <x:c r="C11" s="12" t="str">
        <x:v>HIGHER</x:v>
      </x:c>
      <x:c r="D11" s="12" t="str">
        <x:v>Above Norm</x:v>
      </x:c>
      <x:c r="E11" s="12" t="str">
        <x:v>Athlete value is meaningfully higher than the normative value.</x:v>
      </x:c>
      <x:c r="F11" s="12" t="str">
        <x:v>Maintain effective countermovement strategy</x:v>
      </x:c>
      <x:c r="G11" s="12" t="str">
        <x:v>Movement efficiency; eccentric control; jump consistency; depth-to-output relationship</x:v>
      </x:c>
      <x:c r="H11" s="12" t="str">
        <x:v>Maintain the athlete’s preferred countermovement strategy while ensuring the additional depth contributes to force and impulse rather than excessive movement time.</x:v>
      </x:c>
      <x:c r="I11" s="12" t="str">
        <x:v>RVX Jump Performance Advanced</x:v>
      </x:c>
      <x:c r="J11" s="12" t="str">
        <x:v>RVX Eccentric Strength Microdose</x:v>
      </x:c>
      <x:c r="K11" s="12" t="str">
        <x:v>Use the depth you can control, then reverse quickly and aggressively.</x:v>
      </x:c>
      <x:c r="L11" s="12" t="str">
        <x:v>Retest every 6–8 weeks while monitoring jump height and contraction time.</x:v>
      </x:c>
      <x:c r="M11" s="12" t="str">
        <x:v>cmj_depth</x:v>
      </x:c>
      <x:c r="N11" s="12" t="str">
        <x:v>cmj_depth|Above Norm</x:v>
      </x:c>
    </x:row>
    <x:row r="12">
      <x:c r="A12" s="12" t="str">
        <x:v>M04</x:v>
      </x:c>
      <x:c r="B12" s="12" t="str">
        <x:v>Countermovement Depth</x:v>
      </x:c>
      <x:c r="C12" s="12" t="str">
        <x:v>HIGHER</x:v>
      </x:c>
      <x:c r="D12" s="12" t="str">
        <x:v>Equal to Norm</x:v>
      </x:c>
      <x:c r="E12" s="12" t="str">
        <x:v>Athlete value is within the equal band around the normative value.</x:v>
      </x:c>
      <x:c r="F12" s="12" t="str">
        <x:v>Optimize countermovement strategy</x:v>
      </x:c>
      <x:c r="G12" s="12" t="str">
        <x:v>Eccentric control; trunk position; reversal timing; mobility</x:v>
      </x:c>
      <x:c r="H12" s="12" t="str">
        <x:v>Use controlled countermovement drills and landing-to-jump progressions. Determine whether additional or reduced depth improves the athlete’s overall jump output.</x:v>
      </x:c>
      <x:c r="I12" s="12" t="str">
        <x:v>RVX Jump Mechanics</x:v>
      </x:c>
      <x:c r="J12" s="12" t="str">
        <x:v>RVX Eccentric Control</x:v>
      </x:c>
      <x:c r="K12" s="12" t="str">
        <x:v>Sit into the movement under control and reverse without losing posture.</x:v>
      </x:c>
      <x:c r="L12" s="12" t="str">
        <x:v>Retest after 4–6 weeks with jump height and impulse reviewed together.</x:v>
      </x:c>
      <x:c r="M12" s="12" t="str">
        <x:v>cmj_depth</x:v>
      </x:c>
      <x:c r="N12" s="12" t="str">
        <x:v>cmj_depth|Equal to Norm</x:v>
      </x:c>
    </x:row>
    <x:row r="13">
      <x:c r="A13" s="12" t="str">
        <x:v>M04</x:v>
      </x:c>
      <x:c r="B13" s="12" t="str">
        <x:v>Countermovement Depth</x:v>
      </x:c>
      <x:c r="C13" s="12" t="str">
        <x:v>HIGHER</x:v>
      </x:c>
      <x:c r="D13" s="12" t="str">
        <x:v>Below Norm</x:v>
      </x:c>
      <x:c r="E13" s="12" t="str">
        <x:v>Athlete value is meaningfully lower than the normative value.</x:v>
      </x:c>
      <x:c r="F13" s="12" t="str">
        <x:v>Develop usable countermovement range</x:v>
      </x:c>
      <x:c r="G13" s="12" t="str">
        <x:v>Ankle mobility; hip mobility; eccentric strength; confidence; coordination</x:v>
      </x:c>
      <x:c r="H13" s="12" t="str">
        <x:v>Improve controlled eccentric range and movement confidence. Use tempo squats, snap-downs and progressive countermovement jump practice without forcing artificial depth.</x:v>
      </x:c>
      <x:c r="I13" s="12" t="str">
        <x:v>RVX Jump Foundations</x:v>
      </x:c>
      <x:c r="J13" s="12" t="str">
        <x:v>RVX Mobility and Eccentric Control</x:v>
      </x:c>
      <x:c r="K13" s="12" t="str">
        <x:v>Create controlled depth first; speed up the reversal only when position is stable.</x:v>
      </x:c>
      <x:c r="L13" s="12" t="str">
        <x:v>Retest after 4 weeks; confirm low depth is not an athlete-specific efficient strategy.</x:v>
      </x:c>
      <x:c r="M13" s="12" t="str">
        <x:v>cmj_depth</x:v>
      </x:c>
      <x:c r="N13" s="12" t="str">
        <x:v>cmj_depth|Below Norm</x:v>
      </x:c>
    </x:row>
    <x:row r="14">
      <x:c r="A14" s="12" t="str">
        <x:v>M05</x:v>
      </x:c>
      <x:c r="B14" s="12" t="str">
        <x:v>Peak Force</x:v>
      </x:c>
      <x:c r="C14" s="12" t="str">
        <x:v>HIGHER</x:v>
      </x:c>
      <x:c r="D14" s="12" t="str">
        <x:v>Above Norm</x:v>
      </x:c>
      <x:c r="E14" s="12" t="str">
        <x:v>Athlete value is meaningfully higher than the normative value.</x:v>
      </x:c>
      <x:c r="F14" s="12" t="str">
        <x:v>Maintain maximal force qualities</x:v>
      </x:c>
      <x:c r="G14" s="12" t="str">
        <x:v>Force application speed; asymmetry; fatigue management; sport transfer</x:v>
      </x:c>
      <x:c r="H14" s="12" t="str">
        <x:v>Maintain maximal force with low-volume strength exposure while shifting selected work toward power and sport-specific application. Monitor asymmetry and fatigue.</x:v>
      </x:c>
      <x:c r="I14" s="12" t="str">
        <x:v>RVX Advanced Strength-Power</x:v>
      </x:c>
      <x:c r="J14" s="12" t="str">
        <x:v>RVX Force Maintenance Microdose</x:v>
      </x:c>
      <x:c r="K14" s="12" t="str">
        <x:v>Produce high force without losing position or movement speed.</x:v>
      </x:c>
      <x:c r="L14" s="12" t="str">
        <x:v>Retest every 6–8 weeks or following a strength-power phase.</x:v>
      </x:c>
      <x:c r="M14" s="12" t="str">
        <x:v>peak_force</x:v>
      </x:c>
      <x:c r="N14" s="12" t="str">
        <x:v>peak_force|Above Norm</x:v>
      </x:c>
    </x:row>
    <x:row r="15">
      <x:c r="A15" s="12" t="str">
        <x:v>M05</x:v>
      </x:c>
      <x:c r="B15" s="12" t="str">
        <x:v>Peak Force</x:v>
      </x:c>
      <x:c r="C15" s="12" t="str">
        <x:v>HIGHER</x:v>
      </x:c>
      <x:c r="D15" s="12" t="str">
        <x:v>Equal to Norm</x:v>
      </x:c>
      <x:c r="E15" s="12" t="str">
        <x:v>Athlete value is within the equal band around the normative value.</x:v>
      </x:c>
      <x:c r="F15" s="12" t="str">
        <x:v>Increase force capacity</x:v>
      </x:c>
      <x:c r="G15" s="12" t="str">
        <x:v>Relative strength; bracing; lower-body strength; isometric force</x:v>
      </x:c>
      <x:c r="H15" s="12" t="str">
        <x:v>Use progressive lower-body strength training with compound lifts, isometrics and unilateral work. Maintain technical quality and appropriate loading progression.</x:v>
      </x:c>
      <x:c r="I15" s="12" t="str">
        <x:v>RVX Strength Development</x:v>
      </x:c>
      <x:c r="J15" s="12" t="str">
        <x:v>RVX Isometric Force Builder</x:v>
      </x:c>
      <x:c r="K15" s="12" t="str">
        <x:v>Create full-body tension and push through the floor with intent.</x:v>
      </x:c>
      <x:c r="L15" s="12" t="str">
        <x:v>Retest after 4–6 weeks.</x:v>
      </x:c>
      <x:c r="M15" s="12" t="str">
        <x:v>peak_force</x:v>
      </x:c>
      <x:c r="N15" s="12" t="str">
        <x:v>peak_force|Equal to Norm</x:v>
      </x:c>
    </x:row>
    <x:row r="16">
      <x:c r="A16" s="12" t="str">
        <x:v>M05</x:v>
      </x:c>
      <x:c r="B16" s="12" t="str">
        <x:v>Peak Force</x:v>
      </x:c>
      <x:c r="C16" s="12" t="str">
        <x:v>HIGHER</x:v>
      </x:c>
      <x:c r="D16" s="12" t="str">
        <x:v>Below Norm</x:v>
      </x:c>
      <x:c r="E16" s="12" t="str">
        <x:v>Athlete value is meaningfully lower than the normative value.</x:v>
      </x:c>
      <x:c r="F16" s="12" t="str">
        <x:v>Build foundational force production</x:v>
      </x:c>
      <x:c r="G16" s="12" t="str">
        <x:v>Relative strength; technique; tendon capacity; trunk stability; unilateral strength</x:v>
      </x:c>
      <x:c r="H16" s="12" t="str">
        <x:v>Prioritize foundational strength and positional competency. Use progressive resistance, isometrics and unilateral patterns before advanced power methods.</x:v>
      </x:c>
      <x:c r="I16" s="12" t="str">
        <x:v>RVX Strength Foundations</x:v>
      </x:c>
      <x:c r="J16" s="12" t="str">
        <x:v>RVX Lower-Body Capacity</x:v>
      </x:c>
      <x:c r="K16" s="12" t="str">
        <x:v>Own the position first, then increase force with consistent intent.</x:v>
      </x:c>
      <x:c r="L16" s="12" t="str">
        <x:v>Retest after 4–6 weeks; review body-mass-relative force when possible.</x:v>
      </x:c>
      <x:c r="M16" s="12" t="str">
        <x:v>peak_force</x:v>
      </x:c>
      <x:c r="N16" s="12" t="str">
        <x:v>peak_force|Below Norm</x:v>
      </x:c>
    </x:row>
    <x:row r="17">
      <x:c r="A17" s="12" t="str">
        <x:v>M06</x:v>
      </x:c>
      <x:c r="B17" s="12" t="str">
        <x:v>Impulse-Momentum</x:v>
      </x:c>
      <x:c r="C17" s="12" t="str">
        <x:v>HIGHER</x:v>
      </x:c>
      <x:c r="D17" s="12" t="str">
        <x:v>Above Norm</x:v>
      </x:c>
      <x:c r="E17" s="12" t="str">
        <x:v>Athlete value is meaningfully higher than the normative value.</x:v>
      </x:c>
      <x:c r="F17" s="12" t="str">
        <x:v>Maintain total force-time output</x:v>
      </x:c>
      <x:c r="G17" s="12" t="str">
        <x:v>Rate of force development; movement time; power transfer; fatigue resistance</x:v>
      </x:c>
      <x:c r="H17" s="12" t="str">
        <x:v>Maintain impulse with strength-power microdosing and varied jump or sprint exposures. Ensure high impulse is achieved efficiently rather than through excessive movement time.</x:v>
      </x:c>
      <x:c r="I17" s="12" t="str">
        <x:v>RVX Advanced Power Development</x:v>
      </x:c>
      <x:c r="J17" s="12" t="str">
        <x:v>RVX Elastic Power Microdose</x:v>
      </x:c>
      <x:c r="K17" s="12" t="str">
        <x:v>Build force quickly and keep applying it through the full movement.</x:v>
      </x:c>
      <x:c r="L17" s="12" t="str">
        <x:v>Retest every 6–8 weeks while reviewing contraction time and jump outcome.</x:v>
      </x:c>
      <x:c r="M17" s="12" t="str">
        <x:v>impulse</x:v>
      </x:c>
      <x:c r="N17" s="12" t="str">
        <x:v>impulse|Above Norm</x:v>
      </x:c>
    </x:row>
    <x:row r="18">
      <x:c r="A18" s="12" t="str">
        <x:v>M06</x:v>
      </x:c>
      <x:c r="B18" s="12" t="str">
        <x:v>Impulse-Momentum</x:v>
      </x:c>
      <x:c r="C18" s="12" t="str">
        <x:v>HIGHER</x:v>
      </x:c>
      <x:c r="D18" s="12" t="str">
        <x:v>Equal to Norm</x:v>
      </x:c>
      <x:c r="E18" s="12" t="str">
        <x:v>Athlete value is within the equal band around the normative value.</x:v>
      </x:c>
      <x:c r="F18" s="12" t="str">
        <x:v>Improve force applied over time</x:v>
      </x:c>
      <x:c r="G18" s="12" t="str">
        <x:v>Strength; countermovement strategy; intent; coordination; power</x:v>
      </x:c>
      <x:c r="H18" s="12" t="str">
        <x:v>Use loaded jumps, isometrics and strength-power exercises that improve the athlete’s ability to produce and sustain force through the propulsion phase.</x:v>
      </x:c>
      <x:c r="I18" s="12" t="str">
        <x:v>RVX Power Development</x:v>
      </x:c>
      <x:c r="J18" s="12" t="str">
        <x:v>RVX Strength-Speed</x:v>
      </x:c>
      <x:c r="K18" s="12" t="str">
        <x:v>Apply force early and continue driving through take-off.</x:v>
      </x:c>
      <x:c r="L18" s="12" t="str">
        <x:v>Retest after 4–6 weeks.</x:v>
      </x:c>
      <x:c r="M18" s="12" t="str">
        <x:v>impulse</x:v>
      </x:c>
      <x:c r="N18" s="12" t="str">
        <x:v>impulse|Equal to Norm</x:v>
      </x:c>
    </x:row>
    <x:row r="19">
      <x:c r="A19" s="12" t="str">
        <x:v>M06</x:v>
      </x:c>
      <x:c r="B19" s="12" t="str">
        <x:v>Impulse-Momentum</x:v>
      </x:c>
      <x:c r="C19" s="12" t="str">
        <x:v>HIGHER</x:v>
      </x:c>
      <x:c r="D19" s="12" t="str">
        <x:v>Below Norm</x:v>
      </x:c>
      <x:c r="E19" s="12" t="str">
        <x:v>Athlete value is meaningfully lower than the normative value.</x:v>
      </x:c>
      <x:c r="F19" s="12" t="str">
        <x:v>Develop force-time capacity</x:v>
      </x:c>
      <x:c r="G19" s="12" t="str">
        <x:v>Maximal strength; eccentric control; concentric force; movement coordination</x:v>
      </x:c>
      <x:c r="H19" s="12" t="str">
        <x:v>Build foundational force production before progressing to advanced plyometrics. Pair strength work with controlled jumps and explosive intent at appropriate loads.</x:v>
      </x:c>
      <x:c r="I19" s="12" t="str">
        <x:v>RVX Power Foundations</x:v>
      </x:c>
      <x:c r="J19" s="12" t="str">
        <x:v>RVX Strength Foundations</x:v>
      </x:c>
      <x:c r="K19" s="12" t="str">
        <x:v>Control the loading phase, then drive through the entire push with intent.</x:v>
      </x:c>
      <x:c r="L19" s="12" t="str">
        <x:v>Retest after 4 weeks and review peak force, depth and movement time together.</x:v>
      </x:c>
      <x:c r="M19" s="12" t="str">
        <x:v>impulse</x:v>
      </x:c>
      <x:c r="N19" s="12" t="str">
        <x:v>impulse|Below Norm</x:v>
      </x:c>
    </x:row>
  </x:sheetData>
  <x:pageMargins left="0.7" right="0.7" top="0.75" bottom="0.75" header="0.3" footer="0.3"/>
  <x:tableParts count="1">
    <x:tablePart xmlns:r="http://schemas.openxmlformats.org/officeDocument/2006/relationships" r:id="Rc9b4b68102a8498d"/>
  </x:tableParts>
</x:worksheet>
</file>

<file path=xl/worksheets/sheet10.xml><?xml version="1.0" encoding="utf-8"?>
<x:worksheet xmlns:x="http://schemas.openxmlformats.org/spreadsheetml/2006/main">
  <x:sheetFormatPr defaultRowHeight="15"/>
  <x:sheetData>
    <x:row r="1">
      <x:c r="A1" s="11" t="str">
        <x:v>RVX NORMATIVE STATUS LOGIC</x:v>
      </x:c>
      <x:c r="B1" s="11"/>
      <x:c r="C1" s="11"/>
      <x:c r="D1" s="11"/>
      <x:c r="E1" s="11"/>
      <x:c r="F1" s="11"/>
    </x:row>
    <x:row r="2">
      <x:c r="A2" s="12"/>
      <x:c r="B2" s="12"/>
      <x:c r="C2" s="12"/>
      <x:c r="D2" s="12"/>
      <x:c r="E2" s="12"/>
      <x:c r="F2" s="12"/>
    </x:row>
    <x:row r="3">
      <x:c r="A3" s="12" t="str">
        <x:v>Direction</x:v>
      </x:c>
      <x:c r="B3" s="12" t="str">
        <x:v>Status</x:v>
      </x:c>
      <x:c r="C3" s="12" t="str">
        <x:v>Default Band</x:v>
      </x:c>
      <x:c r="D3" s="12" t="str">
        <x:v>Interpretation</x:v>
      </x:c>
      <x:c r="E3" s="12" t="str">
        <x:v>Example Formula Logic</x:v>
      </x:c>
      <x:c r="F3" s="12" t="str">
        <x:v>Dashboard Colour</x:v>
      </x:c>
    </x:row>
    <x:row r="4">
      <x:c r="A4" s="12" t="str">
        <x:v>LOWER</x:v>
      </x:c>
      <x:c r="B4" s="12" t="str">
        <x:v>Above Norm</x:v>
      </x:c>
      <x:c r="C4" s="12" t="str">
        <x:v>Athlete ≤ Norm × 0.95</x:v>
      </x:c>
      <x:c r="D4" s="12" t="str">
        <x:v>Meaningfully faster than norm</x:v>
      </x:c>
      <x:c r="E4" s="12" t="str">
        <x:v>IF Athlete &lt;= Norm × 0.95, then Above Norm</x:v>
      </x:c>
      <x:c r="F4" s="12" t="str">
        <x:v>Green</x:v>
      </x:c>
    </x:row>
    <x:row r="5">
      <x:c r="A5" s="12" t="str">
        <x:v>LOWER</x:v>
      </x:c>
      <x:c r="B5" s="12" t="str">
        <x:v>Equal to Norm</x:v>
      </x:c>
      <x:c r="C5" s="12" t="str">
        <x:v>Norm × 0.95 &lt; Athlete &lt; Norm × 1.05</x:v>
      </x:c>
      <x:c r="D5" s="12" t="str">
        <x:v>Within ±5% of norm</x:v>
      </x:c>
      <x:c r="E5" s="12" t="str">
        <x:v>IF absolute difference is within 5%, then Equal to Norm</x:v>
      </x:c>
      <x:c r="F5" s="12" t="str">
        <x:v>Amber</x:v>
      </x:c>
    </x:row>
    <x:row r="6">
      <x:c r="A6" s="12" t="str">
        <x:v>LOWER</x:v>
      </x:c>
      <x:c r="B6" s="12" t="str">
        <x:v>Below Norm</x:v>
      </x:c>
      <x:c r="C6" s="12" t="str">
        <x:v>Athlete ≥ Norm × 1.05</x:v>
      </x:c>
      <x:c r="D6" s="12" t="str">
        <x:v>Meaningfully slower than norm</x:v>
      </x:c>
      <x:c r="E6" s="12" t="str">
        <x:v>IF Athlete &gt;= Norm × 1.05, then Below Norm</x:v>
      </x:c>
      <x:c r="F6" s="12" t="str">
        <x:v>Red</x:v>
      </x:c>
    </x:row>
    <x:row r="7">
      <x:c r="A7" s="12" t="str">
        <x:v>HIGHER</x:v>
      </x:c>
      <x:c r="B7" s="12" t="str">
        <x:v>Above Norm</x:v>
      </x:c>
      <x:c r="C7" s="12" t="str">
        <x:v>Athlete ≥ Norm × 1.05</x:v>
      </x:c>
      <x:c r="D7" s="12" t="str">
        <x:v>Meaningfully higher than norm</x:v>
      </x:c>
      <x:c r="E7" s="12" t="str">
        <x:v>IF Athlete &gt;= Norm × 1.05, then Above Norm</x:v>
      </x:c>
      <x:c r="F7" s="12" t="str">
        <x:v>Green</x:v>
      </x:c>
    </x:row>
    <x:row r="8">
      <x:c r="A8" s="12" t="str">
        <x:v>HIGHER</x:v>
      </x:c>
      <x:c r="B8" s="12" t="str">
        <x:v>Equal to Norm</x:v>
      </x:c>
      <x:c r="C8" s="12" t="str">
        <x:v>Norm × 0.95 &lt; Athlete &lt; Norm × 1.05</x:v>
      </x:c>
      <x:c r="D8" s="12" t="str">
        <x:v>Within ±5% of norm</x:v>
      </x:c>
      <x:c r="E8" s="12" t="str">
        <x:v>IF absolute difference is within 5%, then Equal to Norm</x:v>
      </x:c>
      <x:c r="F8" s="12" t="str">
        <x:v>Amber</x:v>
      </x:c>
    </x:row>
    <x:row r="9">
      <x:c r="A9" s="12" t="str">
        <x:v>HIGHER</x:v>
      </x:c>
      <x:c r="B9" s="12" t="str">
        <x:v>Below Norm</x:v>
      </x:c>
      <x:c r="C9" s="12" t="str">
        <x:v>Athlete ≤ Norm × 0.95</x:v>
      </x:c>
      <x:c r="D9" s="12" t="str">
        <x:v>Meaningfully lower than norm</x:v>
      </x:c>
      <x:c r="E9" s="12" t="str">
        <x:v>IF Athlete &lt;= Norm × 0.95, then Below Norm</x:v>
      </x:c>
      <x:c r="F9" s="12" t="str">
        <x:v>Red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s="11" t="str">
        <x:v>Program Name</x:v>
      </x:c>
      <x:c r="B1" s="11" t="str">
        <x:v>Program Category</x:v>
      </x:c>
      <x:c r="C1" s="11" t="str">
        <x:v>Primary Use</x:v>
      </x:c>
      <x:c r="D1" s="11" t="str">
        <x:v>Suitable Norm Status</x:v>
      </x:c>
      <x:c r="E1" s="11" t="str">
        <x:v>Suggested Duration</x:v>
      </x:c>
      <x:c r="F1" s="11" t="str">
        <x:v>Suggested Frequency</x:v>
      </x:c>
      <x:c r="G1" s="11" t="str">
        <x:v>Coach Notes</x:v>
      </x:c>
    </x:row>
    <x:row r="2">
      <x:c r="A2" s="12" t="str">
        <x:v>RVX Acceleration Foundations</x:v>
      </x:c>
      <x:c r="B2" s="12" t="str">
        <x:v>Speed</x:v>
      </x:c>
      <x:c r="C2" s="12" t="str">
        <x:v>Fundamental starting mechanics and 0–10 m acceleration</x:v>
      </x:c>
      <x:c r="D2" s="12" t="str">
        <x:v>Below Norm</x:v>
      </x:c>
      <x:c r="E2" s="12" t="str">
        <x:v>4–6 weeks</x:v>
      </x:c>
      <x:c r="F2" s="12" t="str">
        <x:v>2 sessions/week</x:v>
      </x:c>
      <x:c r="G2" s="12" t="str">
        <x:v>Use full recovery and low sprint volume.</x:v>
      </x:c>
    </x:row>
    <x:row r="3">
      <x:c r="A3" s="12" t="str">
        <x:v>RVX Acceleration Development</x:v>
      </x:c>
      <x:c r="B3" s="12" t="str">
        <x:v>Speed</x:v>
      </x:c>
      <x:c r="C3" s="12" t="str">
        <x:v>Improve force application and acceleration continuation</x:v>
      </x:c>
      <x:c r="D3" s="12" t="str">
        <x:v>Equal to Norm</x:v>
      </x:c>
      <x:c r="E3" s="12" t="str">
        <x:v>4–6 weeks</x:v>
      </x:c>
      <x:c r="F3" s="12" t="str">
        <x:v>2 sessions/week</x:v>
      </x:c>
      <x:c r="G3" s="12" t="str">
        <x:v>Progress start variation and light resisted sprinting.</x:v>
      </x:c>
    </x:row>
    <x:row r="4">
      <x:c r="A4" s="12" t="str">
        <x:v>RVX Advanced Acceleration</x:v>
      </x:c>
      <x:c r="B4" s="12" t="str">
        <x:v>Speed</x:v>
      </x:c>
      <x:c r="C4" s="12" t="str">
        <x:v>Maintain and refine high-level acceleration</x:v>
      </x:c>
      <x:c r="D4" s="12" t="str">
        <x:v>Above Norm</x:v>
      </x:c>
      <x:c r="E4" s="12" t="str">
        <x:v>4–6 weeks</x:v>
      </x:c>
      <x:c r="F4" s="12" t="str">
        <x:v>1–2 sessions/week</x:v>
      </x:c>
      <x:c r="G4" s="12" t="str">
        <x:v>Use high quality and low volume.</x:v>
      </x:c>
    </x:row>
    <x:row r="5">
      <x:c r="A5" s="12" t="str">
        <x:v>RVX Sprint Mechanics</x:v>
      </x:c>
      <x:c r="B5" s="12" t="str">
        <x:v>Speed</x:v>
      </x:c>
      <x:c r="C5" s="12" t="str">
        <x:v>Posture, projection, rhythm and technical consistency</x:v>
      </x:c>
      <x:c r="D5" s="12" t="str">
        <x:v>Below or Equal</x:v>
      </x:c>
      <x:c r="E5" s="12" t="str">
        <x:v>4 weeks</x:v>
      </x:c>
      <x:c r="F5" s="12" t="str">
        <x:v>2 micro-sessions/week</x:v>
      </x:c>
      <x:c r="G5" s="12" t="str">
        <x:v>Can be paired with strength training days.</x:v>
      </x:c>
    </x:row>
    <x:row r="6">
      <x:c r="A6" s="12" t="str">
        <x:v>RVX Change of Direction Foundations</x:v>
      </x:c>
      <x:c r="B6" s="12" t="str">
        <x:v>Agility</x:v>
      </x:c>
      <x:c r="C6" s="12" t="str">
        <x:v>Braking, planting and planned change of direction</x:v>
      </x:c>
      <x:c r="D6" s="12" t="str">
        <x:v>Below Norm</x:v>
      </x:c>
      <x:c r="E6" s="12" t="str">
        <x:v>4–6 weeks</x:v>
      </x:c>
      <x:c r="F6" s="12" t="str">
        <x:v>2 sessions/week</x:v>
      </x:c>
      <x:c r="G6" s="12" t="str">
        <x:v>Begin with controlled speed.</x:v>
      </x:c>
    </x:row>
    <x:row r="7">
      <x:c r="A7" s="12" t="str">
        <x:v>RVX Change of Direction Development</x:v>
      </x:c>
      <x:c r="B7" s="12" t="str">
        <x:v>Agility</x:v>
      </x:c>
      <x:c r="C7" s="12" t="str">
        <x:v>Improve braking and re-acceleration efficiency</x:v>
      </x:c>
      <x:c r="D7" s="12" t="str">
        <x:v>Equal to Norm</x:v>
      </x:c>
      <x:c r="E7" s="12" t="str">
        <x:v>4–6 weeks</x:v>
      </x:c>
      <x:c r="F7" s="12" t="str">
        <x:v>2 sessions/week</x:v>
      </x:c>
      <x:c r="G7" s="12" t="str">
        <x:v>Progress bilateral and multi-angle work.</x:v>
      </x:c>
    </x:row>
    <x:row r="8">
      <x:c r="A8" s="12" t="str">
        <x:v>RVX Advanced Change of Direction</x:v>
      </x:c>
      <x:c r="B8" s="12" t="str">
        <x:v>Agility</x:v>
      </x:c>
      <x:c r="C8" s="12" t="str">
        <x:v>Maintain high-level change-of-direction ability</x:v>
      </x:c>
      <x:c r="D8" s="12" t="str">
        <x:v>Above Norm</x:v>
      </x:c>
      <x:c r="E8" s="12" t="str">
        <x:v>4–6 weeks</x:v>
      </x:c>
      <x:c r="F8" s="12" t="str">
        <x:v>1–2 sessions/week</x:v>
      </x:c>
      <x:c r="G8" s="12" t="str">
        <x:v>Progress toward reactive demands.</x:v>
      </x:c>
    </x:row>
    <x:row r="9">
      <x:c r="A9" s="12" t="str">
        <x:v>RVX Reactive Agility</x:v>
      </x:c>
      <x:c r="B9" s="12" t="str">
        <x:v>Agility</x:v>
      </x:c>
      <x:c r="C9" s="12" t="str">
        <x:v>Perception, decision-making and reactive movement</x:v>
      </x:c>
      <x:c r="D9" s="12" t="str">
        <x:v>Above Norm</x:v>
      </x:c>
      <x:c r="E9" s="12" t="str">
        <x:v>4–6 weeks</x:v>
      </x:c>
      <x:c r="F9" s="12" t="str">
        <x:v>1–2 sessions/week</x:v>
      </x:c>
      <x:c r="G9" s="12" t="str">
        <x:v>Use sport-relevant cues.</x:v>
      </x:c>
    </x:row>
    <x:row r="10">
      <x:c r="A10" s="12" t="str">
        <x:v>RVX Jump Foundations</x:v>
      </x:c>
      <x:c r="B10" s="12" t="str">
        <x:v>Power</x:v>
      </x:c>
      <x:c r="C10" s="12" t="str">
        <x:v>Controlled countermovement, landing and jump competency</x:v>
      </x:c>
      <x:c r="D10" s="12" t="str">
        <x:v>Below Norm</x:v>
      </x:c>
      <x:c r="E10" s="12" t="str">
        <x:v>4–6 weeks</x:v>
      </x:c>
      <x:c r="F10" s="12" t="str">
        <x:v>2 sessions/week</x:v>
      </x:c>
      <x:c r="G10" s="12" t="str">
        <x:v>Prioritize technical consistency.</x:v>
      </x:c>
    </x:row>
    <x:row r="11">
      <x:c r="A11" s="12" t="str">
        <x:v>RVX Jump Mechanics</x:v>
      </x:c>
      <x:c r="B11" s="12" t="str">
        <x:v>Power</x:v>
      </x:c>
      <x:c r="C11" s="12" t="str">
        <x:v>Optimize countermovement depth and reversal strategy</x:v>
      </x:c>
      <x:c r="D11" s="12" t="str">
        <x:v>Equal to Norm</x:v>
      </x:c>
      <x:c r="E11" s="12" t="str">
        <x:v>4–6 weeks</x:v>
      </x:c>
      <x:c r="F11" s="12" t="str">
        <x:v>2 sessions/week</x:v>
      </x:c>
      <x:c r="G11" s="12" t="str">
        <x:v>Review depth, time and jump output together.</x:v>
      </x:c>
    </x:row>
    <x:row r="12">
      <x:c r="A12" s="12" t="str">
        <x:v>RVX Jump Performance Advanced</x:v>
      </x:c>
      <x:c r="B12" s="12" t="str">
        <x:v>Power</x:v>
      </x:c>
      <x:c r="C12" s="12" t="str">
        <x:v>Maintain and refine advanced jump strategy</x:v>
      </x:c>
      <x:c r="D12" s="12" t="str">
        <x:v>Above Norm</x:v>
      </x:c>
      <x:c r="E12" s="12" t="str">
        <x:v>4–6 weeks</x:v>
      </x:c>
      <x:c r="F12" s="12" t="str">
        <x:v>1–2 sessions/week</x:v>
      </x:c>
      <x:c r="G12" s="12" t="str">
        <x:v>Monitor fatigue and movement time.</x:v>
      </x:c>
    </x:row>
    <x:row r="13">
      <x:c r="A13" s="12" t="str">
        <x:v>RVX Strength Foundations</x:v>
      </x:c>
      <x:c r="B13" s="12" t="str">
        <x:v>Strength</x:v>
      </x:c>
      <x:c r="C13" s="12" t="str">
        <x:v>Build general force capacity and movement competency</x:v>
      </x:c>
      <x:c r="D13" s="12" t="str">
        <x:v>Below Norm</x:v>
      </x:c>
      <x:c r="E13" s="12" t="str">
        <x:v>6–8 weeks</x:v>
      </x:c>
      <x:c r="F13" s="12" t="str">
        <x:v>2–3 sessions/week</x:v>
      </x:c>
      <x:c r="G13" s="12" t="str">
        <x:v>Progress loading conservatively.</x:v>
      </x:c>
    </x:row>
    <x:row r="14">
      <x:c r="A14" s="12" t="str">
        <x:v>RVX Strength Development</x:v>
      </x:c>
      <x:c r="B14" s="12" t="str">
        <x:v>Strength</x:v>
      </x:c>
      <x:c r="C14" s="12" t="str">
        <x:v>Increase maximal and relative strength</x:v>
      </x:c>
      <x:c r="D14" s="12" t="str">
        <x:v>Equal to Norm</x:v>
      </x:c>
      <x:c r="E14" s="12" t="str">
        <x:v>6–8 weeks</x:v>
      </x:c>
      <x:c r="F14" s="12" t="str">
        <x:v>2–3 sessions/week</x:v>
      </x:c>
      <x:c r="G14" s="12" t="str">
        <x:v>Use progressive overload and technical standards.</x:v>
      </x:c>
    </x:row>
    <x:row r="15">
      <x:c r="A15" s="12" t="str">
        <x:v>RVX Advanced Strength-Power</x:v>
      </x:c>
      <x:c r="B15" s="12" t="str">
        <x:v>Strength/Power</x:v>
      </x:c>
      <x:c r="C15" s="12" t="str">
        <x:v>Maintain strength while improving transfer to power</x:v>
      </x:c>
      <x:c r="D15" s="12" t="str">
        <x:v>Above Norm</x:v>
      </x:c>
      <x:c r="E15" s="12" t="str">
        <x:v>4–6 weeks</x:v>
      </x:c>
      <x:c r="F15" s="12" t="str">
        <x:v>2 sessions/week</x:v>
      </x:c>
      <x:c r="G15" s="12" t="str">
        <x:v>Reduce unnecessary volume.</x:v>
      </x:c>
    </x:row>
    <x:row r="16">
      <x:c r="A16" s="12" t="str">
        <x:v>RVX Power Foundations</x:v>
      </x:c>
      <x:c r="B16" s="12" t="str">
        <x:v>Power</x:v>
      </x:c>
      <x:c r="C16" s="12" t="str">
        <x:v>Build force-time capacity through controlled explosive work</x:v>
      </x:c>
      <x:c r="D16" s="12" t="str">
        <x:v>Below Norm</x:v>
      </x:c>
      <x:c r="E16" s="12" t="str">
        <x:v>4–6 weeks</x:v>
      </x:c>
      <x:c r="F16" s="12" t="str">
        <x:v>2 sessions/week</x:v>
      </x:c>
      <x:c r="G16" s="12" t="str">
        <x:v>Pair with foundational strength.</x:v>
      </x:c>
    </x:row>
    <x:row r="17">
      <x:c r="A17" s="12" t="str">
        <x:v>RVX Power Development</x:v>
      </x:c>
      <x:c r="B17" s="12" t="str">
        <x:v>Power</x:v>
      </x:c>
      <x:c r="C17" s="12" t="str">
        <x:v>Improve impulse and strength-speed expression</x:v>
      </x:c>
      <x:c r="D17" s="12" t="str">
        <x:v>Equal to Norm</x:v>
      </x:c>
      <x:c r="E17" s="12" t="str">
        <x:v>4–6 weeks</x:v>
      </x:c>
      <x:c r="F17" s="12" t="str">
        <x:v>2 sessions/week</x:v>
      </x:c>
      <x:c r="G17" s="12" t="str">
        <x:v>Use loaded jumps and isometrics.</x:v>
      </x:c>
    </x:row>
    <x:row r="18">
      <x:c r="A18" s="12" t="str">
        <x:v>RVX Advanced Power Development</x:v>
      </x:c>
      <x:c r="B18" s="12" t="str">
        <x:v>Power</x:v>
      </x:c>
      <x:c r="C18" s="12" t="str">
        <x:v>Maintain and enhance high-level impulse and power</x:v>
      </x:c>
      <x:c r="D18" s="12" t="str">
        <x:v>Above Norm</x:v>
      </x:c>
      <x:c r="E18" s="12" t="str">
        <x:v>4–6 weeks</x:v>
      </x:c>
      <x:c r="F18" s="12" t="str">
        <x:v>1–2 sessions/week</x:v>
      </x:c>
      <x:c r="G18" s="12" t="str">
        <x:v>Use individualized loading and intent.</x:v>
      </x:c>
    </x:row>
    <x:row r="19">
      <x:c r="A19" s="12" t="str">
        <x:v>RVX Relative Strength Builder</x:v>
      </x:c>
      <x:c r="B19" s="12" t="str">
        <x:v>Strength</x:v>
      </x:c>
      <x:c r="C19" s="12" t="str">
        <x:v>Improve force relative to body mass</x:v>
      </x:c>
      <x:c r="D19" s="12" t="str">
        <x:v>Below or Equal</x:v>
      </x:c>
      <x:c r="E19" s="12" t="str">
        <x:v>6 weeks</x:v>
      </x:c>
      <x:c r="F19" s="12" t="str">
        <x:v>2–3 sessions/week</x:v>
      </x:c>
      <x:c r="G19" s="12" t="str">
        <x:v>Track body mass and relative outputs.</x:v>
      </x:c>
    </x:row>
    <x:row r="20">
      <x:c r="A20" s="12" t="str">
        <x:v>RVX Isometric Force Builder</x:v>
      </x:c>
      <x:c r="B20" s="12" t="str">
        <x:v>Strength</x:v>
      </x:c>
      <x:c r="C20" s="12" t="str">
        <x:v>Improve positional force and maximal isometric output</x:v>
      </x:c>
      <x:c r="D20" s="12" t="str">
        <x:v>Below or Equal</x:v>
      </x:c>
      <x:c r="E20" s="12" t="str">
        <x:v>4–6 weeks</x:v>
      </x:c>
      <x:c r="F20" s="12" t="str">
        <x:v>2 sessions/week</x:v>
      </x:c>
      <x:c r="G20" s="12" t="str">
        <x:v>Use consistent joint angles and effort.</x:v>
      </x:c>
    </x:row>
    <x:row r="21">
      <x:c r="A21" s="12" t="str">
        <x:v>RVX Eccentric Control</x:v>
      </x:c>
      <x:c r="B21" s="12" t="str">
        <x:v>Strength/Movement</x:v>
      </x:c>
      <x:c r="C21" s="12" t="str">
        <x:v>Improve braking, countermovement control and tissue capacity</x:v>
      </x:c>
      <x:c r="D21" s="12" t="str">
        <x:v>Below or Equal</x:v>
      </x:c>
      <x:c r="E21" s="12" t="str">
        <x:v>4–6 weeks</x:v>
      </x:c>
      <x:c r="F21" s="12" t="str">
        <x:v>2 sessions/week</x:v>
      </x:c>
      <x:c r="G21" s="12" t="str">
        <x:v>Progress tempo and deceleration demands.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sheetData>
    <x:row r="1">
      <x:c r="A1" s="11" t="str">
        <x:v>HOW TO USE THE RECOMMENDATION MATRIX IN THE DASHBOARD</x:v>
      </x:c>
      <x:c r="B1" s="11"/>
    </x:row>
    <x:row r="2">
      <x:c r="A2" s="12"/>
      <x:c r="B2" s="12"/>
    </x:row>
    <x:row r="3">
      <x:c r="A3" s="12" t="str">
        <x:v>Step</x:v>
      </x:c>
      <x:c r="B3" s="12" t="str">
        <x:v>Dashboard Logic</x:v>
      </x:c>
    </x:row>
    <x:row r="4">
      <x:c r="A4" s="12" t="str">
        <x:v>1</x:v>
      </x:c>
      <x:c r="B4" s="12" t="str">
        <x:v>Identify the selected athlete, metric and matched normative value.</x:v>
      </x:c>
    </x:row>
    <x:row r="5">
      <x:c r="A5" s="12" t="str">
        <x:v>2</x:v>
      </x:c>
      <x:c r="B5" s="12" t="str">
        <x:v>Read the metric Direction from the Metrics sheet: LOWER or HIGHER.</x:v>
      </x:c>
    </x:row>
    <x:row r="6">
      <x:c r="A6" s="12" t="str">
        <x:v>3</x:v>
      </x:c>
      <x:c r="B6" s="12" t="str">
        <x:v>Calculate the athlete's percentage difference from the normative value.</x:v>
      </x:c>
    </x:row>
    <x:row r="7">
      <x:c r="A7" s="12" t="str">
        <x:v>4</x:v>
      </x:c>
      <x:c r="B7" s="12" t="str">
        <x:v>Assign Above Norm, Equal to Norm or Below Norm using the Status Logic sheet.</x:v>
      </x:c>
    </x:row>
    <x:row r="8">
      <x:c r="A8" s="12" t="str">
        <x:v>5</x:v>
      </x:c>
      <x:c r="B8" s="12" t="str">
        <x:v>Match Metric ID + Norm Status in the Recommendation Matrix.</x:v>
      </x:c>
    </x:row>
    <x:row r="9">
      <x:c r="A9" s="12" t="str">
        <x:v>6</x:v>
      </x:c>
      <x:c r="B9" s="12" t="str">
        <x:v>Display Primary Area of Focus, Coach Recommendation and RVX App Program.</x:v>
      </x:c>
    </x:row>
    <x:row r="10">
      <x:c r="A10" s="12" t="str">
        <x:v>7</x:v>
      </x:c>
      <x:c r="B10" s="12" t="str">
        <x:v>Allow the coach to override or edit the recommendation before saving.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18" hidden="0" customWidth="1"/>
    <x:col min="5" max="5" width="18" hidden="0" customWidth="1"/>
    <x:col min="6" max="6" width="15" hidden="0" customWidth="1"/>
    <x:col min="7" max="7" width="20" hidden="0" customWidth="1"/>
    <x:col min="8" max="8" width="18" hidden="0" customWidth="1"/>
    <x:col min="9" max="9" width="16" hidden="0" customWidth="1"/>
    <x:col min="10" max="10" width="65" hidden="0" customWidth="1"/>
    <x:col min="11" max="11" width="18" hidden="0" customWidth="1"/>
    <x:col min="12" max="12" width="25" hidden="0" customWidth="1"/>
    <x:col min="13" max="13" width="12" hidden="0" customWidth="1"/>
    <x:col min="14" max="14" width="10" hidden="0" customWidth="1"/>
  </x:cols>
  <x:sheetData>
    <x:row r="1">
      <x:c r="A1" s="14" t="str">
        <x:v>Athlete IDs</x:v>
      </x:c>
      <x:c r="B1" s="14" t="str">
        <x:v>Sex</x:v>
      </x:c>
      <x:c r="C1" s="14" t="str">
        <x:v>Sport</x:v>
      </x:c>
      <x:c r="D1" s="14" t="str">
        <x:v>Position</x:v>
      </x:c>
      <x:c r="E1" s="14" t="str">
        <x:v>Hand Dominance</x:v>
      </x:c>
      <x:c r="F1" s="14" t="str">
        <x:v>Session Labels</x:v>
      </x:c>
      <x:c r="G1" s="14" t="str">
        <x:v>Locations</x:v>
      </x:c>
      <x:c r="H1" s="14" t="str">
        <x:v>Metric Keys</x:v>
      </x:c>
      <x:c r="I1" s="14" t="str">
        <x:v>Norm Status</x:v>
      </x:c>
      <x:c r="J1" s="14" t="str">
        <x:v>Recommendation Overrides</x:v>
      </x:c>
      <x:c r="K1" s="14" t="str">
        <x:v>Metric Key</x:v>
      </x:c>
      <x:c r="L1" s="14" t="str">
        <x:v>Metric Name</x:v>
      </x:c>
      <x:c r="M1" s="14" t="str">
        <x:v>Direction</x:v>
      </x:c>
      <x:c r="N1" s="14" t="str">
        <x:v>Unit</x:v>
      </x:c>
    </x:row>
    <x:row r="2">
      <x:c r="A2" t="str">
        <x:v>RVX-00001</x:v>
      </x:c>
      <x:c r="B2" t="str">
        <x:v>Female</x:v>
      </x:c>
      <x:c r="C2" t="str">
        <x:v>Hockey</x:v>
      </x:c>
      <x:c r="D2" t="str">
        <x:v>Forward</x:v>
      </x:c>
      <x:c r="E2" t="str">
        <x:v>Left</x:v>
      </x:c>
      <x:c r="F2" t="str">
        <x:v>Session 1</x:v>
      </x:c>
      <x:c r="G2" t="str">
        <x:v>Performance Lab</x:v>
      </x:c>
      <x:c r="H2" t="str">
        <x:v>sprint_5m</x:v>
      </x:c>
      <x:c r="I2" t="str">
        <x:v>Above Norm</x:v>
      </x:c>
      <x:c r="J2" t="str">
        <x:f>'Recommendation Matrix'!H2</x:f>
        <x:v>Maintain speed with low-volume, high-quality acceleration exposures. Avoid unnecessary volume that could reduce sprint quality. Progress through resisted and reactive starts while preserving mechanics.</x:v>
      </x:c>
      <x:c r="K2" t="str">
        <x:v>sprint_5m</x:v>
      </x:c>
      <x:c r="L2" t="str">
        <x:v>5m Sprint</x:v>
      </x:c>
      <x:c r="M2" t="str">
        <x:v>lower</x:v>
      </x:c>
      <x:c r="N2" t="str">
        <x:v>sec</x:v>
      </x:c>
    </x:row>
    <x:row r="3">
      <x:c r="A3" t="str">
        <x:v>RVX-00002</x:v>
      </x:c>
      <x:c r="B3" t="str">
        <x:v>Male</x:v>
      </x:c>
      <x:c r="C3" t="str">
        <x:v>Soccer</x:v>
      </x:c>
      <x:c r="D3" t="str">
        <x:v>Defence</x:v>
      </x:c>
      <x:c r="E3" t="str">
        <x:v>Right</x:v>
      </x:c>
      <x:c r="F3" t="str">
        <x:v>Session 2</x:v>
      </x:c>
      <x:c r="G3" t="str">
        <x:v>On-Ice</x:v>
      </x:c>
      <x:c r="H3" t="str">
        <x:v>sprint_10m</x:v>
      </x:c>
      <x:c r="I3" t="str">
        <x:v>Equal to Norm</x:v>
      </x:c>
      <x:c r="J3" t="str">
        <x:f>'Recommendation Matrix'!H3</x:f>
        <x:v>Use a focused acceleration-development block emphasizing starting position, projection and force application. Keep repetitions short with full recovery.</x:v>
      </x:c>
      <x:c r="K3" t="str">
        <x:v>sprint_10m</x:v>
      </x:c>
      <x:c r="L3" t="str">
        <x:v>10m Sprint</x:v>
      </x:c>
      <x:c r="M3" t="str">
        <x:v>lower</x:v>
      </x:c>
      <x:c r="N3" t="str">
        <x:v>sec</x:v>
      </x:c>
    </x:row>
    <x:row r="4">
      <x:c r="A4" t="str">
        <x:v>RVX-00003</x:v>
      </x:c>
      <x:c r="B4" t="str">
        <x:v>Non-binary</x:v>
      </x:c>
      <x:c r="C4" t="str">
        <x:v>Basketball</x:v>
      </x:c>
      <x:c r="D4" t="str">
        <x:v>Centre</x:v>
      </x:c>
      <x:c r="E4" t="str">
        <x:v>Ambidextrous</x:v>
      </x:c>
      <x:c r="F4" t="str">
        <x:v>Session 3</x:v>
      </x:c>
      <x:c r="G4" t="str">
        <x:v>Field</x:v>
      </x:c>
      <x:c r="H4" t="str">
        <x:v>pro_agility</x:v>
      </x:c>
      <x:c r="I4" t="str">
        <x:v>Below Norm</x:v>
      </x:c>
      <x:c r="J4" t="str">
        <x:f>'Recommendation Matrix'!H4</x:f>
        <x:v>Prioritize acceleration fundamentals and lower-body force capacity. Use resisted marches, wall drills, short sled accelerations and controlled 5 m sprint exposures.</x:v>
      </x:c>
      <x:c r="K4" t="str">
        <x:v>pro_agility</x:v>
      </x:c>
      <x:c r="L4" t="str">
        <x:v>5-10-5 Pro Agility</x:v>
      </x:c>
      <x:c r="M4" t="str">
        <x:v>lower</x:v>
      </x:c>
      <x:c r="N4" t="str">
        <x:v>sec</x:v>
      </x:c>
    </x:row>
    <x:row r="5">
      <x:c r="A5" t="str">
        <x:v>RVX-00004</x:v>
      </x:c>
      <x:c r="B5" t="str">
        <x:v>Prefer not to say</x:v>
      </x:c>
      <x:c r="C5" t="str">
        <x:v>Football</x:v>
      </x:c>
      <x:c r="D5" t="str">
        <x:v>Goalie</x:v>
      </x:c>
      <x:c r="F5" t="str">
        <x:v>Session 4</x:v>
      </x:c>
      <x:c r="G5" t="str">
        <x:v>Gym</x:v>
      </x:c>
      <x:c r="H5" t="str">
        <x:v>cmj_depth</x:v>
      </x:c>
      <x:c r="J5" t="str">
        <x:f>'Recommendation Matrix'!H5</x:f>
        <x:v>Maintain one to two weekly high-quality acceleration exposures. Add varied starts and light resistance while monitoring consistency across trials.</x:v>
      </x:c>
      <x:c r="K5" t="str">
        <x:v>cmj_depth</x:v>
      </x:c>
      <x:c r="L5" t="str">
        <x:v>Countermovement Depth</x:v>
      </x:c>
      <x:c r="M5" t="str">
        <x:v>higher</x:v>
      </x:c>
      <x:c r="N5" t="str">
        <x:v>cm</x:v>
      </x:c>
    </x:row>
    <x:row r="6">
      <x:c r="A6" t="str">
        <x:v>RVX-00005</x:v>
      </x:c>
      <x:c r="C6" t="str">
        <x:v>Baseball</x:v>
      </x:c>
      <x:c r="D6" t="str">
        <x:v>Fullback</x:v>
      </x:c>
      <x:c r="F6" t="str">
        <x:v>Session 5</x:v>
      </x:c>
      <x:c r="G6" t="str">
        <x:v>Other</x:v>
      </x:c>
      <x:c r="H6" t="str">
        <x:v>peak_force</x:v>
      </x:c>
      <x:c r="J6" t="str">
        <x:f>'Recommendation Matrix'!H6</x:f>
        <x:v>Build acceleration from 0–10 m using split starts, falling starts and progressive resisted sprints. Emphasize full recovery and technical consistency.</x:v>
      </x:c>
      <x:c r="K6" t="str">
        <x:v>peak_force</x:v>
      </x:c>
      <x:c r="L6" t="str">
        <x:v>Peak Force</x:v>
      </x:c>
      <x:c r="M6" t="str">
        <x:v>higher</x:v>
      </x:c>
      <x:c r="N6" t="str">
        <x:v>N</x:v>
      </x:c>
    </x:row>
    <x:row r="7">
      <x:c r="A7" t="str">
        <x:v>RVX-00006</x:v>
      </x:c>
      <x:c r="C7" t="str">
        <x:v>Volleyball</x:v>
      </x:c>
      <x:c r="D7" t="str">
        <x:v>Midfielder</x:v>
      </x:c>
      <x:c r="F7" t="str">
        <x:v>Session 6</x:v>
      </x:c>
      <x:c r="H7" t="str">
        <x:v>impulse</x:v>
      </x:c>
      <x:c r="J7" t="str">
        <x:f>'Recommendation Matrix'!H7</x:f>
        <x:v>Use a foundational acceleration block paired with strength development. Limit sprint distances initially and improve the quality of each step before adding volume.</x:v>
      </x:c>
      <x:c r="K7" t="str">
        <x:v>impulse</x:v>
      </x:c>
      <x:c r="L7" t="str">
        <x:v>Impulse-Momentum</x:v>
      </x:c>
      <x:c r="M7" t="str">
        <x:v>higher</x:v>
      </x:c>
      <x:c r="N7" t="str">
        <x:v>Ns</x:v>
      </x:c>
    </x:row>
    <x:row r="8">
      <x:c r="A8" t="str">
        <x:v>RVX-00007</x:v>
      </x:c>
      <x:c r="C8" t="str">
        <x:v>Other</x:v>
      </x:c>
      <x:c r="D8" t="str">
        <x:v>Wing</x:v>
      </x:c>
      <x:c r="F8" t="str">
        <x:v>Session 7</x:v>
      </x:c>
      <x:c r="J8" t="str">
        <x:f>'Recommendation Matrix'!H8</x:f>
        <x:v>Maintain planned change-of-direction work and progress toward reactive agility. Use low-volume, high-quality exposures with multiple starting and turning strategies.</x:v>
      </x:c>
    </x:row>
    <x:row r="9">
      <x:c r="A9" t="str">
        <x:v>RVX-00008</x:v>
      </x:c>
      <x:c r="D9" t="str">
        <x:v>Guard</x:v>
      </x:c>
      <x:c r="F9" t="str">
        <x:v>Session 8</x:v>
      </x:c>
      <x:c r="J9" t="str">
        <x:f>'Recommendation Matrix'!H9</x:f>
        <x:v>Use a structured change-of-direction block emphasizing braking positions, plant-foot control and efficient re-acceleration on both sides.</x:v>
      </x:c>
    </x:row>
    <x:row r="10">
      <x:c r="A10" t="str">
        <x:v>RVX-00009</x:v>
      </x:c>
      <x:c r="D10" t="str">
        <x:v>Other</x:v>
      </x:c>
      <x:c r="J10" t="str">
        <x:f>'Recommendation Matrix'!H10</x:f>
        <x:v>Begin with controlled deceleration and planned directional drills. Pair with unilateral strength and lateral force development before increasing reactive complexity.</x:v>
      </x:c>
    </x:row>
    <x:row r="11">
      <x:c r="A11" t="str">
        <x:v>RVX-00010</x:v>
      </x:c>
      <x:c r="J11" t="str">
        <x:f>'Recommendation Matrix'!H11</x:f>
        <x:v>Maintain the athlete’s preferred countermovement strategy while ensuring the additional depth contributes to force and impulse rather than excessive movement time.</x:v>
      </x:c>
    </x:row>
    <x:row r="12">
      <x:c r="A12" t="str">
        <x:v>RVX-00011</x:v>
      </x:c>
      <x:c r="J12" t="str">
        <x:f>'Recommendation Matrix'!H12</x:f>
        <x:v>Use controlled countermovement drills and landing-to-jump progressions. Determine whether additional or reduced depth improves the athlete’s overall jump output.</x:v>
      </x:c>
    </x:row>
    <x:row r="13">
      <x:c r="A13" t="str">
        <x:v>RVX-00012</x:v>
      </x:c>
      <x:c r="J13" t="str">
        <x:f>'Recommendation Matrix'!H13</x:f>
        <x:v>Improve controlled eccentric range and movement confidence. Use tempo squats, snap-downs and progressive countermovement jump practice without forcing artificial depth.</x:v>
      </x:c>
    </x:row>
    <x:row r="14">
      <x:c r="A14" t="str">
        <x:v>RVX-00013</x:v>
      </x:c>
      <x:c r="J14" t="str">
        <x:f>'Recommendation Matrix'!H14</x:f>
        <x:v>Maintain maximal force with low-volume strength exposure while shifting selected work toward power and sport-specific application. Monitor asymmetry and fatigue.</x:v>
      </x:c>
    </x:row>
    <x:row r="15">
      <x:c r="A15" t="str">
        <x:v>RVX-00014</x:v>
      </x:c>
      <x:c r="J15" t="str">
        <x:f>'Recommendation Matrix'!H15</x:f>
        <x:v>Use progressive lower-body strength training with compound lifts, isometrics and unilateral work. Maintain technical quality and appropriate loading progression.</x:v>
      </x:c>
    </x:row>
    <x:row r="16">
      <x:c r="A16" t="str">
        <x:v>RVX-00015</x:v>
      </x:c>
      <x:c r="J16" t="str">
        <x:f>'Recommendation Matrix'!H16</x:f>
        <x:v>Prioritize foundational strength and positional competency. Use progressive resistance, isometrics and unilateral patterns before advanced power methods.</x:v>
      </x:c>
    </x:row>
    <x:row r="17">
      <x:c r="A17" t="str">
        <x:v>RVX-00016</x:v>
      </x:c>
      <x:c r="J17" t="str">
        <x:f>'Recommendation Matrix'!H17</x:f>
        <x:v>Maintain impulse with strength-power microdosing and varied jump or sprint exposures. Ensure high impulse is achieved efficiently rather than through excessive movement time.</x:v>
      </x:c>
    </x:row>
    <x:row r="18">
      <x:c r="A18" t="str">
        <x:v>RVX-00017</x:v>
      </x:c>
      <x:c r="J18" t="str">
        <x:f>'Recommendation Matrix'!H18</x:f>
        <x:v>Use loaded jumps, isometrics and strength-power exercises that improve the athlete’s ability to produce and sustain force through the propulsion phase.</x:v>
      </x:c>
    </x:row>
    <x:row r="19">
      <x:c r="A19" t="str">
        <x:v>RVX-00018</x:v>
      </x:c>
      <x:c r="J19" t="str">
        <x:f>'Recommendation Matrix'!H19</x:f>
        <x:v>Build foundational force production before progressing to advanced plyometrics. Pair strength work with controlled jumps and explosive intent at appropriate loads.</x:v>
      </x:c>
    </x:row>
    <x:row r="20">
      <x:c r="A20" t="str">
        <x:v>RVX-00019</x:v>
      </x:c>
    </x:row>
    <x:row r="21">
      <x:c r="A21" t="str">
        <x:v>RVX-00020</x:v>
      </x:c>
    </x:row>
    <x:row r="22">
      <x:c r="A22" t="str">
        <x:v>RVX-00021</x:v>
      </x:c>
    </x:row>
    <x:row r="23">
      <x:c r="A23" t="str">
        <x:v>RVX-00022</x:v>
      </x:c>
    </x:row>
    <x:row r="24">
      <x:c r="A24" t="str">
        <x:v>RVX-00023</x:v>
      </x:c>
    </x:row>
    <x:row r="25">
      <x:c r="A25" t="str">
        <x:v>RVX-00024</x:v>
      </x:c>
    </x:row>
    <x:row r="26">
      <x:c r="A26" t="str">
        <x:v>RVX-00025</x:v>
      </x:c>
    </x:row>
    <x:row r="27">
      <x:c r="A27" t="str">
        <x:v>RVX-00026</x:v>
      </x:c>
    </x:row>
    <x:row r="28">
      <x:c r="A28" t="str">
        <x:v>RVX-00027</x:v>
      </x:c>
    </x:row>
    <x:row r="29">
      <x:c r="A29" t="str">
        <x:v>RVX-00028</x:v>
      </x:c>
    </x:row>
    <x:row r="30">
      <x:c r="A30" t="str">
        <x:v>RVX-00029</x:v>
      </x:c>
    </x:row>
    <x:row r="31">
      <x:c r="A31" t="str">
        <x:v>RVX-00030</x:v>
      </x:c>
    </x:row>
    <x:row r="32">
      <x:c r="A32" t="str">
        <x:v>RVX-00031</x:v>
      </x:c>
    </x:row>
    <x:row r="33">
      <x:c r="A33" t="str">
        <x:v>RVX-00032</x:v>
      </x:c>
    </x:row>
    <x:row r="34">
      <x:c r="A34" t="str">
        <x:v>RVX-00033</x:v>
      </x:c>
    </x:row>
    <x:row r="35">
      <x:c r="A35" t="str">
        <x:v>RVX-00034</x:v>
      </x:c>
    </x:row>
    <x:row r="36">
      <x:c r="A36" t="str">
        <x:v>RVX-00035</x:v>
      </x:c>
    </x:row>
    <x:row r="37">
      <x:c r="A37" t="str">
        <x:v>RVX-00036</x:v>
      </x:c>
    </x:row>
    <x:row r="38">
      <x:c r="A38" t="str">
        <x:v>RVX-00037</x:v>
      </x:c>
    </x:row>
    <x:row r="39">
      <x:c r="A39" t="str">
        <x:v>RVX-00038</x:v>
      </x:c>
    </x:row>
    <x:row r="40">
      <x:c r="A40" t="str">
        <x:v>RVX-00039</x:v>
      </x:c>
    </x:row>
    <x:row r="41">
      <x:c r="A41" t="str">
        <x:v>RVX-00040</x:v>
      </x:c>
    </x:row>
    <x:row r="42">
      <x:c r="A42" t="str">
        <x:v>RVX-00041</x:v>
      </x:c>
    </x:row>
    <x:row r="43">
      <x:c r="A43" t="str">
        <x:v>RVX-00042</x:v>
      </x:c>
    </x:row>
    <x:row r="44">
      <x:c r="A44" t="str">
        <x:v>RVX-00043</x:v>
      </x:c>
    </x:row>
    <x:row r="45">
      <x:c r="A45" t="str">
        <x:v>RVX-00044</x:v>
      </x:c>
    </x:row>
    <x:row r="46">
      <x:c r="A46" t="str">
        <x:v>RVX-00045</x:v>
      </x:c>
    </x:row>
    <x:row r="47">
      <x:c r="A47" t="str">
        <x:v>RVX-00046</x:v>
      </x:c>
    </x:row>
    <x:row r="48">
      <x:c r="A48" t="str">
        <x:v>RVX-00047</x:v>
      </x:c>
    </x:row>
    <x:row r="49">
      <x:c r="A49" t="str">
        <x:v>RVX-00048</x:v>
      </x:c>
    </x:row>
    <x:row r="50">
      <x:c r="A50" t="str">
        <x:v>RVX-00049</x:v>
      </x:c>
    </x:row>
    <x:row r="51">
      <x:c r="A51" t="str">
        <x:v>RVX-00050</x:v>
      </x:c>
    </x:row>
    <x:row r="52">
      <x:c r="A52"/>
    </x:row>
    <x:row r="53">
      <x:c r="A53"/>
    </x:row>
    <x:row r="54">
      <x:c r="A54"/>
    </x:row>
    <x:row r="55">
      <x:c r="A55"/>
    </x:row>
    <x:row r="56">
      <x:c r="A56"/>
    </x:row>
    <x:row r="57">
      <x:c r="A57"/>
    </x:row>
    <x:row r="58">
      <x:c r="A58"/>
    </x:row>
    <x:row r="59">
      <x:c r="A59"/>
    </x:row>
    <x:row r="60">
      <x:c r="A60"/>
    </x:row>
    <x:row r="61">
      <x:c r="A61"/>
    </x:row>
    <x:row r="62">
      <x:c r="A62"/>
    </x:row>
    <x:row r="63">
      <x:c r="A63"/>
    </x:row>
    <x:row r="64">
      <x:c r="A64"/>
    </x:row>
    <x:row r="65">
      <x:c r="A65"/>
    </x:row>
    <x:row r="66">
      <x:c r="A66"/>
    </x:row>
    <x:row r="67">
      <x:c r="A67"/>
    </x:row>
    <x:row r="68">
      <x:c r="A68"/>
    </x:row>
    <x:row r="69">
      <x:c r="A69"/>
    </x:row>
    <x:row r="70">
      <x:c r="A70"/>
    </x:row>
    <x:row r="71">
      <x:c r="A71"/>
    </x:row>
    <x:row r="72">
      <x:c r="A72"/>
    </x:row>
    <x:row r="73">
      <x:c r="A73"/>
    </x:row>
    <x:row r="74">
      <x:c r="A74"/>
    </x:row>
    <x:row r="75">
      <x:c r="A75"/>
    </x:row>
    <x:row r="76">
      <x:c r="A76"/>
    </x:row>
    <x:row r="77">
      <x:c r="A77"/>
    </x:row>
    <x:row r="78">
      <x:c r="A78"/>
    </x:row>
    <x:row r="79">
      <x:c r="A79"/>
    </x:row>
    <x:row r="80">
      <x:c r="A80"/>
    </x:row>
    <x:row r="81">
      <x:c r="A81"/>
    </x:row>
    <x:row r="82">
      <x:c r="A82"/>
    </x:row>
    <x:row r="83">
      <x:c r="A83"/>
    </x:row>
    <x:row r="84">
      <x:c r="A84"/>
    </x:row>
    <x:row r="85">
      <x:c r="A85"/>
    </x:row>
    <x:row r="86">
      <x:c r="A86"/>
    </x:row>
    <x:row r="87">
      <x:c r="A87"/>
    </x:row>
    <x:row r="88">
      <x:c r="A88"/>
    </x:row>
    <x:row r="89">
      <x:c r="A89"/>
    </x:row>
    <x:row r="90">
      <x:c r="A90"/>
    </x:row>
    <x:row r="91">
      <x:c r="A91"/>
    </x:row>
    <x:row r="92">
      <x:c r="A92"/>
    </x:row>
    <x:row r="93">
      <x:c r="A93"/>
    </x:row>
    <x:row r="94">
      <x:c r="A94"/>
    </x:row>
    <x:row r="95">
      <x:c r="A95"/>
    </x:row>
    <x:row r="96">
      <x:c r="A96"/>
    </x:row>
    <x:row r="97">
      <x:c r="A97"/>
    </x:row>
    <x:row r="98">
      <x:c r="A98"/>
    </x:row>
    <x:row r="99">
      <x:c r="A99"/>
    </x:row>
    <x:row r="100">
      <x:c r="A100"/>
    </x:row>
    <x:row r="101">
      <x:c r="A101"/>
    </x:row>
    <x:row r="102">
      <x:c r="A102"/>
    </x:row>
    <x:row r="103">
      <x:c r="A103"/>
    </x:row>
    <x:row r="104">
      <x:c r="A104"/>
    </x:row>
    <x:row r="105">
      <x:c r="A105"/>
    </x:row>
    <x:row r="106">
      <x:c r="A106"/>
    </x:row>
    <x:row r="107">
      <x:c r="A107"/>
    </x:row>
    <x:row r="108">
      <x:c r="A108"/>
    </x:row>
    <x:row r="109">
      <x:c r="A109"/>
    </x:row>
    <x:row r="110">
      <x:c r="A110"/>
    </x:row>
    <x:row r="111">
      <x:c r="A111"/>
    </x:row>
    <x:row r="112">
      <x:c r="A112"/>
    </x:row>
    <x:row r="113">
      <x:c r="A113"/>
    </x:row>
    <x:row r="114">
      <x:c r="A114"/>
    </x:row>
    <x:row r="115">
      <x:c r="A115"/>
    </x:row>
    <x:row r="116">
      <x:c r="A116"/>
    </x:row>
    <x:row r="117">
      <x:c r="A117"/>
    </x:row>
    <x:row r="118">
      <x:c r="A118"/>
    </x:row>
    <x:row r="119">
      <x:c r="A119"/>
    </x:row>
    <x:row r="120">
      <x:c r="A120"/>
    </x:row>
    <x:row r="121">
      <x:c r="A121"/>
    </x:row>
    <x:row r="122">
      <x:c r="A122"/>
    </x:row>
    <x:row r="123">
      <x:c r="A123"/>
    </x:row>
    <x:row r="124">
      <x:c r="A124"/>
    </x:row>
    <x:row r="125">
      <x:c r="A125"/>
    </x:row>
    <x:row r="126">
      <x:c r="A126"/>
    </x:row>
    <x:row r="127">
      <x:c r="A127"/>
    </x:row>
    <x:row r="128">
      <x:c r="A128"/>
    </x:row>
    <x:row r="129">
      <x:c r="A129"/>
    </x:row>
    <x:row r="130">
      <x:c r="A130"/>
    </x:row>
    <x:row r="131">
      <x:c r="A131"/>
    </x:row>
    <x:row r="132">
      <x:c r="A132"/>
    </x:row>
    <x:row r="133">
      <x:c r="A133"/>
    </x:row>
    <x:row r="134">
      <x:c r="A134"/>
    </x:row>
    <x:row r="135">
      <x:c r="A135"/>
    </x:row>
    <x:row r="136">
      <x:c r="A136"/>
    </x:row>
    <x:row r="137">
      <x:c r="A137"/>
    </x:row>
    <x:row r="138">
      <x:c r="A138"/>
    </x:row>
    <x:row r="139">
      <x:c r="A139"/>
    </x:row>
    <x:row r="140">
      <x:c r="A140"/>
    </x:row>
    <x:row r="141">
      <x:c r="A141"/>
    </x:row>
    <x:row r="142">
      <x:c r="A142"/>
    </x:row>
    <x:row r="143">
      <x:c r="A143"/>
    </x:row>
    <x:row r="144">
      <x:c r="A144"/>
    </x:row>
    <x:row r="145">
      <x:c r="A145"/>
    </x:row>
    <x:row r="146">
      <x:c r="A146"/>
    </x:row>
    <x:row r="147">
      <x:c r="A147"/>
    </x:row>
    <x:row r="148">
      <x:c r="A148"/>
    </x:row>
    <x:row r="149">
      <x:c r="A149"/>
    </x:row>
    <x:row r="150">
      <x:c r="A150"/>
    </x:row>
    <x:row r="151">
      <x:c r="A151"/>
    </x:row>
    <x:row r="152">
      <x:c r="A152"/>
    </x:row>
    <x:row r="153">
      <x:c r="A153"/>
    </x:row>
    <x:row r="154">
      <x:c r="A154"/>
    </x:row>
    <x:row r="155">
      <x:c r="A155"/>
    </x:row>
    <x:row r="156">
      <x:c r="A156"/>
    </x:row>
    <x:row r="157">
      <x:c r="A157"/>
    </x:row>
    <x:row r="158">
      <x:c r="A158"/>
    </x:row>
    <x:row r="159">
      <x:c r="A159"/>
    </x:row>
    <x:row r="160">
      <x:c r="A160"/>
    </x:row>
    <x:row r="161">
      <x:c r="A161"/>
    </x:row>
    <x:row r="162">
      <x:c r="A162"/>
    </x:row>
    <x:row r="163">
      <x:c r="A163"/>
    </x:row>
    <x:row r="164">
      <x:c r="A164"/>
    </x:row>
    <x:row r="165">
      <x:c r="A165"/>
    </x:row>
    <x:row r="166">
      <x:c r="A166"/>
    </x:row>
    <x:row r="167">
      <x:c r="A167"/>
    </x:row>
    <x:row r="168">
      <x:c r="A168"/>
    </x:row>
    <x:row r="169">
      <x:c r="A169"/>
    </x:row>
    <x:row r="170">
      <x:c r="A170"/>
    </x:row>
    <x:row r="171">
      <x:c r="A171"/>
    </x:row>
    <x:row r="172">
      <x:c r="A172"/>
    </x:row>
    <x:row r="173">
      <x:c r="A173"/>
    </x:row>
    <x:row r="174">
      <x:c r="A174"/>
    </x:row>
    <x:row r="175">
      <x:c r="A175"/>
    </x:row>
    <x:row r="176">
      <x:c r="A176"/>
    </x:row>
    <x:row r="177">
      <x:c r="A177"/>
    </x:row>
    <x:row r="178">
      <x:c r="A178"/>
    </x:row>
    <x:row r="179">
      <x:c r="A179"/>
    </x:row>
    <x:row r="180">
      <x:c r="A180"/>
    </x:row>
    <x:row r="181">
      <x:c r="A181"/>
    </x:row>
    <x:row r="182">
      <x:c r="A182"/>
    </x:row>
    <x:row r="183">
      <x:c r="A183"/>
    </x:row>
    <x:row r="184">
      <x:c r="A184"/>
    </x:row>
    <x:row r="185">
      <x:c r="A185"/>
    </x:row>
    <x:row r="186">
      <x:c r="A186"/>
    </x:row>
    <x:row r="187">
      <x:c r="A187"/>
    </x:row>
    <x:row r="188">
      <x:c r="A188"/>
    </x:row>
    <x:row r="189">
      <x:c r="A189"/>
    </x:row>
    <x:row r="190">
      <x:c r="A190"/>
    </x:row>
    <x:row r="191">
      <x:c r="A191"/>
    </x:row>
    <x:row r="192">
      <x:c r="A192"/>
    </x:row>
    <x:row r="193">
      <x:c r="A193"/>
    </x:row>
    <x:row r="194">
      <x:c r="A194"/>
    </x:row>
    <x:row r="195">
      <x:c r="A195"/>
    </x:row>
    <x:row r="196">
      <x:c r="A196"/>
    </x:row>
    <x:row r="197">
      <x:c r="A197"/>
    </x:row>
    <x:row r="198">
      <x:c r="A198"/>
    </x:row>
    <x:row r="199">
      <x:c r="A199"/>
    </x:row>
    <x:row r="200">
      <x:c r="A200"/>
    </x:row>
    <x:row r="201">
      <x:c r="A20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1" hidden="0" customWidth="1"/>
    <x:col min="4" max="4" width="18" hidden="0" customWidth="1"/>
    <x:col min="5" max="5" width="25" hidden="0" customWidth="1"/>
    <x:col min="6" max="6" width="11" hidden="0" customWidth="1"/>
    <x:col min="7" max="7" width="14" hidden="0" customWidth="1"/>
    <x:col min="8" max="8" width="12" hidden="0" customWidth="1"/>
    <x:col min="9" max="9" width="14" hidden="0" customWidth="1"/>
    <x:col min="10" max="10" width="13" hidden="0" customWidth="1"/>
    <x:col min="11" max="11" width="15" hidden="0" customWidth="1"/>
    <x:col min="12" max="12" width="29" hidden="0" customWidth="1"/>
    <x:col min="13" max="13" width="40" hidden="0" customWidth="1"/>
    <x:col min="14" max="14" width="60" hidden="0" customWidth="1"/>
    <x:col min="15" max="15" width="30" hidden="0" customWidth="1"/>
    <x:col min="16" max="16" width="30" hidden="0" customWidth="1"/>
    <x:col min="17" max="17" width="42" hidden="0" customWidth="1"/>
    <x:col min="18" max="18" width="38" hidden="0" customWidth="1"/>
    <x:col min="19" max="19" width="15" hidden="0" customWidth="1"/>
    <x:col min="20" max="20" width="29" hidden="0" customWidth="1"/>
    <x:col min="21" max="21" width="60" hidden="0" customWidth="1"/>
    <x:col min="22" max="22" width="30" hidden="0" customWidth="1"/>
    <x:col min="23" max="23" width="15" hidden="0" customWidth="1"/>
    <x:col min="24" max="24" width="31" hidden="0" customWidth="1"/>
    <x:col min="25" max="25" width="62" hidden="0" customWidth="1"/>
    <x:col min="26" max="26" width="32" hidden="0" customWidth="1"/>
    <x:col min="27" max="27" width="42" hidden="0" customWidth="1"/>
  </x:cols>
  <x:sheetData>
    <x:row r="1" ht="42" customHeight="1">
      <x:c r="A1" s="11" t="str">
        <x:v>Athlete ID</x:v>
      </x:c>
      <x:c r="B1" s="11" t="str">
        <x:v>Sport</x:v>
      </x:c>
      <x:c r="C1" s="11" t="str">
        <x:v>Sex</x:v>
      </x:c>
      <x:c r="D1" s="11" t="str">
        <x:v>Metric Key</x:v>
      </x:c>
      <x:c r="E1" s="11" t="str">
        <x:v>Metric Name</x:v>
      </x:c>
      <x:c r="F1" s="11" t="str">
        <x:v>Direction</x:v>
      </x:c>
      <x:c r="G1" s="11" t="str">
        <x:v>Latest Test Date</x:v>
      </x:c>
      <x:c r="H1" s="11" t="str">
        <x:v>Latest Value</x:v>
      </x:c>
      <x:c r="I1" s="11" t="str">
        <x:v>Normative Mean</x:v>
      </x:c>
      <x:c r="J1" s="11" t="str">
        <x:v>Difference %</x:v>
      </x:c>
      <x:c r="K1" s="11" t="str">
        <x:v>Norm Status</x:v>
      </x:c>
      <x:c r="L1" s="11" t="str">
        <x:v>Primary Area of Focus</x:v>
      </x:c>
      <x:c r="M1" s="11" t="str">
        <x:v>Secondary Areas of Focus</x:v>
      </x:c>
      <x:c r="N1" s="11" t="str">
        <x:v>Auto Coach Recommendation</x:v>
      </x:c>
      <x:c r="O1" s="11" t="str">
        <x:v>Primary RVX App Program</x:v>
      </x:c>
      <x:c r="P1" s="11" t="str">
        <x:v>Secondary RVX App Program</x:v>
      </x:c>
      <x:c r="Q1" s="11" t="str">
        <x:v>Coaching Cue</x:v>
      </x:c>
      <x:c r="R1" s="11" t="str">
        <x:v>Retest Guidance</x:v>
      </x:c>
      <x:c r="S1" s="11" t="str">
        <x:v>Override Status</x:v>
      </x:c>
      <x:c r="T1" s="11" t="str">
        <x:v>Override Focus</x:v>
      </x:c>
      <x:c r="U1" s="11" t="str">
        <x:v>Override Recommendation</x:v>
      </x:c>
      <x:c r="V1" s="11" t="str">
        <x:v>Override App Program</x:v>
      </x:c>
      <x:c r="W1" s="11" t="str">
        <x:v>Final Status</x:v>
      </x:c>
      <x:c r="X1" s="11" t="str">
        <x:v>Final Area of Focus</x:v>
      </x:c>
      <x:c r="Y1" s="11" t="str">
        <x:v>Final Coach Recommendation</x:v>
      </x:c>
      <x:c r="Z1" s="11" t="str">
        <x:v>Final RVX App Program</x:v>
      </x:c>
      <x:c r="AA1" s="11" t="str">
        <x:v>Coach Notes</x:v>
      </x:c>
    </x:row>
    <x:row r="2">
      <x:c r="A2" s="12" t="str">
        <x:v>RVX-00001</x:v>
      </x:c>
      <x:c r="B2" s="12" t="str">
        <x:f>IFERROR(VLOOKUP($A2,Athlete_Profile!$A$2:$L$51,6,FALSE),"")</x:f>
        <x:v>Hockey</x:v>
      </x:c>
      <x:c r="C2" s="12" t="str">
        <x:f>IFERROR(VLOOKUP($A2,Athlete_Profile!$A$2:$L$51,5,FALSE),"")</x:f>
        <x:v>Female</x:v>
      </x:c>
      <x:c r="D2" s="12" t="str">
        <x:v>sprint_5m</x:v>
      </x:c>
      <x:c r="E2" s="12" t="str">
        <x:f>IFERROR(VLOOKUP($D2,Dropdown_Lists!$K$2:$N$7,2,FALSE),"")</x:f>
        <x:v>5m Sprint</x:v>
      </x:c>
      <x:c r="F2" s="12" t="str">
        <x:f>IFERROR(VLOOKUP($D2,Dropdown_Lists!$K$2:$N$7,3,FALSE),"")</x:f>
        <x:v>lower</x:v>
      </x:c>
      <x:c r="G2" s="17" t="n">
        <x:f>IFERROR(LOOKUP(2,1/((Performance_Metrics!$A$2:$A$3000=$A2)*(Performance_Metrics!$D$2:$D$3000=$D2)),Performance_Metrics!$C$2:$C$3000),"")</x:f>
        <x:v>46230</x:v>
      </x:c>
      <x:c r="H2" s="12" t="n">
        <x:f>IFERROR(LOOKUP(2,1/((Performance_Metrics!$A$2:$A$3000=$A2)*(Performance_Metrics!$D$2:$D$3000=$D2)),Performance_Metrics!$G$2:$G$3000),"")</x:f>
        <x:v>0.96</x:v>
      </x:c>
      <x:c r="I2" s="12" t="n">
        <x:f>IFERROR(SUMIFS(Normative_Data!$G$2:$G$1000,Normative_Data!$A$2:$A$1000,$B2,Normative_Data!$B$2:$B$1000,$C2,Normative_Data!$E$2:$E$1000,$D2),"")</x:f>
        <x:v>1.12</x:v>
      </x:c>
      <x:c r="J2" s="18" t="n">
        <x:f>IF(OR($H2="",$I2=""),"",($H2-$I2)/$I2)</x:f>
        <x:v>-0.14285714285714296</x:v>
      </x:c>
      <x:c r="K2" s="12" t="str">
        <x:f>IF(OR($H2="",$I2="",$F2=""),"",IF(ABS($J2)&lt;=0.05,"Equal to Norm",IF($F2="lower",IF($H2&lt;$I2,"Above Norm","Below Norm"),IF($H2&gt;$I2,"Above Norm","Below Norm"))))</x:f>
        <x:v>Above Norm</x:v>
      </x:c>
      <x:c r="L2" s="12" t="str">
        <x:f>IFERROR(VLOOKUP($D2&amp;"|"&amp;$K2,Recommendation_Lookup!$A$2:$H$19,2,FALSE),"")</x:f>
        <x:v>Maintain first-step explosiveness</x:v>
      </x:c>
      <x:c r="M2" s="12" t="str">
        <x:f>IFERROR(VLOOKUP($D2&amp;"|"&amp;$K2,Recommendation_Lookup!$A$2:$H$19,3,FALSE),"")</x:f>
        <x:v>Start consistency; projection angle; horizontal force; reaction quality</x:v>
      </x:c>
      <x:c r="N2" s="12" t="str">
        <x:f>IFERROR(VLOOKUP($D2&amp;"|"&amp;$K2,Recommendation_Lookup!$A$2:$H$19,4,FALSE),"")</x:f>
        <x:v>Maintain speed with low-volume, high-quality acceleration exposures. Avoid unnecessary volume that could reduce sprint quality. Progress through resisted and reactive starts while preserving mechanics.</x:v>
      </x:c>
      <x:c r="O2" s="12" t="str">
        <x:f>IFERROR(VLOOKUP($D2&amp;"|"&amp;$K2,Recommendation_Lookup!$A$2:$H$19,5,FALSE),"")</x:f>
        <x:v>RVX Advanced Acceleration</x:v>
      </x:c>
      <x:c r="P2" s="12" t="str">
        <x:f>IFERROR(VLOOKUP($D2&amp;"|"&amp;$K2,Recommendation_Lookup!$A$2:$H$19,6,FALSE),"")</x:f>
        <x:v>RVX Explosive Starts Microdose</x:v>
      </x:c>
      <x:c r="Q2" s="12" t="str">
        <x:f>IFERROR(VLOOKUP($D2&amp;"|"&amp;$K2,Recommendation_Lookup!$A$2:$H$19,7,FALSE),"")</x:f>
        <x:v>Project forward, push the ground back, and win the first three steps.</x:v>
      </x:c>
      <x:c r="R2" s="12" t="str">
        <x:f>IFERROR(VLOOKUP($D2&amp;"|"&amp;$K2,Recommendation_Lookup!$A$2:$H$19,8,FALSE),"")</x:f>
        <x:v>Retest every 6–8 weeks or after a dedicated acceleration block.</x:v>
      </x:c>
      <x:c r="S2" s="12"/>
      <x:c r="T2" s="12"/>
      <x:c r="U2" s="12"/>
      <x:c r="V2" s="12"/>
      <x:c r="W2" s="12" t="str">
        <x:f>IF($S2&lt;&gt;"",$S2,$K2)</x:f>
        <x:v>Above Norm</x:v>
      </x:c>
      <x:c r="X2" s="12" t="str">
        <x:f>IF($T2&lt;&gt;"",$T2,$L2)</x:f>
        <x:v>Maintain first-step explosiveness</x:v>
      </x:c>
      <x:c r="Y2" s="12" t="str">
        <x:f>IF($U2&lt;&gt;"",$U2,$N2)</x:f>
        <x:v>Maintain speed with low-volume, high-quality acceleration exposures. Avoid unnecessary volume that could reduce sprint quality. Progress through resisted and reactive starts while preserving mechanics.</x:v>
      </x:c>
      <x:c r="Z2" s="12" t="str">
        <x:f>IF($V2&lt;&gt;"",$V2,$O2)</x:f>
        <x:v>RVX Advanced Acceleration</x:v>
      </x:c>
      <x:c r="AA2" s="12"/>
    </x:row>
    <x:row r="3">
      <x:c r="A3" s="12" t="str">
        <x:v>RVX-00001</x:v>
      </x:c>
      <x:c r="B3" s="12" t="str">
        <x:f>IFERROR(VLOOKUP($A3,Athlete_Profile!$A$2:$L$51,6,FALSE),"")</x:f>
        <x:v>Hockey</x:v>
      </x:c>
      <x:c r="C3" s="12" t="str">
        <x:f>IFERROR(VLOOKUP($A3,Athlete_Profile!$A$2:$L$51,5,FALSE),"")</x:f>
        <x:v>Female</x:v>
      </x:c>
      <x:c r="D3" s="12" t="str">
        <x:v>sprint_10m</x:v>
      </x:c>
      <x:c r="E3" s="12" t="str">
        <x:f>IFERROR(VLOOKUP($D3,Dropdown_Lists!$K$2:$N$7,2,FALSE),"")</x:f>
        <x:v>10m Sprint</x:v>
      </x:c>
      <x:c r="F3" s="12" t="str">
        <x:f>IFERROR(VLOOKUP($D3,Dropdown_Lists!$K$2:$N$7,3,FALSE),"")</x:f>
        <x:v>lower</x:v>
      </x:c>
      <x:c r="G3" s="17" t="n">
        <x:f>IFERROR(LOOKUP(2,1/((Performance_Metrics!$A$2:$A$3000=$A3)*(Performance_Metrics!$D$2:$D$3000=$D3)),Performance_Metrics!$C$2:$C$3000),"")</x:f>
        <x:v>46230</x:v>
      </x:c>
      <x:c r="H3" s="12" t="n">
        <x:f>IFERROR(LOOKUP(2,1/((Performance_Metrics!$A$2:$A$3000=$A3)*(Performance_Metrics!$D$2:$D$3000=$D3)),Performance_Metrics!$G$2:$G$3000),"")</x:f>
        <x:v>1.6</x:v>
      </x:c>
      <x:c r="I3" s="12" t="n">
        <x:f>IFERROR(SUMIFS(Normative_Data!$G$2:$G$1000,Normative_Data!$A$2:$A$1000,$B3,Normative_Data!$B$2:$B$1000,$C3,Normative_Data!$E$2:$E$1000,$D3),"")</x:f>
        <x:v>1.88</x:v>
      </x:c>
      <x:c r="J3" s="18" t="n">
        <x:f>IF(OR($H3="",$I3=""),"",($H3-$I3)/$I3)</x:f>
        <x:v>-0.14893617021276587</x:v>
      </x:c>
      <x:c r="K3" s="12" t="str">
        <x:f>IF(OR($H3="",$I3="",$F3=""),"",IF(ABS($J3)&lt;=0.05,"Equal to Norm",IF($F3="lower",IF($H3&lt;$I3,"Above Norm","Below Norm"),IF($H3&gt;$I3,"Above Norm","Below Norm"))))</x:f>
        <x:v>Above Norm</x:v>
      </x:c>
      <x:c r="L3" s="12" t="str">
        <x:f>IFERROR(VLOOKUP($D3&amp;"|"&amp;$K3,Recommendation_Lookup!$A$2:$H$19,2,FALSE),"")</x:f>
        <x:v>Maintain acceleration through 10 m</x:v>
      </x:c>
      <x:c r="M3" s="12" t="str">
        <x:f>IFERROR(VLOOKUP($D3&amp;"|"&amp;$K3,Recommendation_Lookup!$A$2:$H$19,3,FALSE),"")</x:f>
        <x:v>Transition mechanics; stride rhythm; stiffness; repeatability</x:v>
      </x:c>
      <x:c r="N3" s="12" t="str">
        <x:f>IFERROR(VLOOKUP($D3&amp;"|"&amp;$K3,Recommendation_Lookup!$A$2:$H$19,4,FALSE),"")</x:f>
        <x:v>Maintain one to two weekly high-quality acceleration exposures. Add varied starts and light resistance while monitoring consistency across trials.</x:v>
      </x:c>
      <x:c r="O3" s="12" t="str">
        <x:f>IFERROR(VLOOKUP($D3&amp;"|"&amp;$K3,Recommendation_Lookup!$A$2:$H$19,5,FALSE),"")</x:f>
        <x:v>RVX Advanced Acceleration</x:v>
      </x:c>
      <x:c r="P3" s="12" t="str">
        <x:f>IFERROR(VLOOKUP($D3&amp;"|"&amp;$K3,Recommendation_Lookup!$A$2:$H$19,6,FALSE),"")</x:f>
        <x:v>RVX Speed Maintenance Microdose</x:v>
      </x:c>
      <x:c r="Q3" s="12" t="str">
        <x:f>IFERROR(VLOOKUP($D3&amp;"|"&amp;$K3,Recommendation_Lookup!$A$2:$H$19,7,FALSE),"")</x:f>
        <x:v>Stay patient through acceleration and keep pushing behind the body.</x:v>
      </x:c>
      <x:c r="R3" s="12" t="str">
        <x:f>IFERROR(VLOOKUP($D3&amp;"|"&amp;$K3,Recommendation_Lookup!$A$2:$H$19,8,FALSE),"")</x:f>
        <x:v>Retest every 6–8 weeks or after a speed block.</x:v>
      </x:c>
      <x:c r="S3" s="12"/>
      <x:c r="T3" s="12"/>
      <x:c r="U3" s="12"/>
      <x:c r="V3" s="12"/>
      <x:c r="W3" s="12" t="str">
        <x:f>IF($S3&lt;&gt;"",$S3,$K3)</x:f>
        <x:v>Above Norm</x:v>
      </x:c>
      <x:c r="X3" s="12" t="str">
        <x:f>IF($T3&lt;&gt;"",$T3,$L3)</x:f>
        <x:v>Maintain acceleration through 10 m</x:v>
      </x:c>
      <x:c r="Y3" s="12" t="str">
        <x:f>IF($U3&lt;&gt;"",$U3,$N3)</x:f>
        <x:v>Maintain one to two weekly high-quality acceleration exposures. Add varied starts and light resistance while monitoring consistency across trials.</x:v>
      </x:c>
      <x:c r="Z3" s="12" t="str">
        <x:f>IF($V3&lt;&gt;"",$V3,$O3)</x:f>
        <x:v>RVX Advanced Acceleration</x:v>
      </x:c>
      <x:c r="AA3" s="12"/>
    </x:row>
    <x:row r="4">
      <x:c r="A4" s="12" t="str">
        <x:v>RVX-00001</x:v>
      </x:c>
      <x:c r="B4" s="12" t="str">
        <x:f>IFERROR(VLOOKUP($A4,Athlete_Profile!$A$2:$L$51,6,FALSE),"")</x:f>
        <x:v>Hockey</x:v>
      </x:c>
      <x:c r="C4" s="12" t="str">
        <x:f>IFERROR(VLOOKUP($A4,Athlete_Profile!$A$2:$L$51,5,FALSE),"")</x:f>
        <x:v>Female</x:v>
      </x:c>
      <x:c r="D4" s="12" t="str">
        <x:v>pro_agility</x:v>
      </x:c>
      <x:c r="E4" s="12" t="str">
        <x:f>IFERROR(VLOOKUP($D4,Dropdown_Lists!$K$2:$N$7,2,FALSE),"")</x:f>
        <x:v>5-10-5 Pro Agility</x:v>
      </x:c>
      <x:c r="F4" s="12" t="str">
        <x:f>IFERROR(VLOOKUP($D4,Dropdown_Lists!$K$2:$N$7,3,FALSE),"")</x:f>
        <x:v>lower</x:v>
      </x:c>
      <x:c r="G4" s="17" t="n">
        <x:f>IFERROR(LOOKUP(2,1/((Performance_Metrics!$A$2:$A$3000=$A4)*(Performance_Metrics!$D$2:$D$3000=$D4)),Performance_Metrics!$C$2:$C$3000),"")</x:f>
        <x:v>46230</x:v>
      </x:c>
      <x:c r="H4" s="12" t="n">
        <x:f>IFERROR(LOOKUP(2,1/((Performance_Metrics!$A$2:$A$3000=$A4)*(Performance_Metrics!$D$2:$D$3000=$D4)),Performance_Metrics!$G$2:$G$3000),"")</x:f>
        <x:v>4.07</x:v>
      </x:c>
      <x:c r="I4" s="12" t="n">
        <x:f>IFERROR(SUMIFS(Normative_Data!$G$2:$G$1000,Normative_Data!$A$2:$A$1000,$B4,Normative_Data!$B$2:$B$1000,$C4,Normative_Data!$E$2:$E$1000,$D4),"")</x:f>
        <x:v>4.82</x:v>
      </x:c>
      <x:c r="J4" s="18" t="n">
        <x:f>IF(OR($H4="",$I4=""),"",($H4-$I4)/$I4)</x:f>
        <x:v>-0.15560165975103735</x:v>
      </x:c>
      <x:c r="K4" s="12" t="str">
        <x:f>IF(OR($H4="",$I4="",$F4=""),"",IF(ABS($J4)&lt;=0.05,"Equal to Norm",IF($F4="lower",IF($H4&lt;$I4,"Above Norm","Below Norm"),IF($H4&gt;$I4,"Above Norm","Below Norm"))))</x:f>
        <x:v>Above Norm</x:v>
      </x:c>
      <x:c r="L4" s="12" t="str">
        <x:f>IFERROR(VLOOKUP($D4&amp;"|"&amp;$K4,Recommendation_Lookup!$A$2:$H$19,2,FALSE),"")</x:f>
        <x:v>Maintain change-of-direction performance</x:v>
      </x:c>
      <x:c r="M4" s="12" t="str">
        <x:f>IFERROR(VLOOKUP($D4&amp;"|"&amp;$K4,Recommendation_Lookup!$A$2:$H$19,3,FALSE),"")</x:f>
        <x:v>Reactive decision-making; braking tolerance; bilateral symmetry; movement variability</x:v>
      </x:c>
      <x:c r="N4" s="12" t="str">
        <x:f>IFERROR(VLOOKUP($D4&amp;"|"&amp;$K4,Recommendation_Lookup!$A$2:$H$19,4,FALSE),"")</x:f>
        <x:v>Maintain planned change-of-direction work and progress toward reactive agility. Use low-volume, high-quality exposures with multiple starting and turning strategies.</x:v>
      </x:c>
      <x:c r="O4" s="12" t="str">
        <x:f>IFERROR(VLOOKUP($D4&amp;"|"&amp;$K4,Recommendation_Lookup!$A$2:$H$19,5,FALSE),"")</x:f>
        <x:v>RVX Advanced Change of Direction</x:v>
      </x:c>
      <x:c r="P4" s="12" t="str">
        <x:f>IFERROR(VLOOKUP($D4&amp;"|"&amp;$K4,Recommendation_Lookup!$A$2:$H$19,6,FALSE),"")</x:f>
        <x:v>RVX Reactive Agility</x:v>
      </x:c>
      <x:c r="Q4" s="12" t="str">
        <x:f>IFERROR(VLOOKUP($D4&amp;"|"&amp;$K4,Recommendation_Lookup!$A$2:$H$19,7,FALSE),"")</x:f>
        <x:v>Brake under control, own the plant and accelerate out immediately.</x:v>
      </x:c>
      <x:c r="R4" s="12" t="str">
        <x:f>IFERROR(VLOOKUP($D4&amp;"|"&amp;$K4,Recommendation_Lookup!$A$2:$H$19,8,FALSE),"")</x:f>
        <x:v>Retest every 6–8 weeks with left and right trial review.</x:v>
      </x:c>
      <x:c r="S4" s="12"/>
      <x:c r="T4" s="12"/>
      <x:c r="U4" s="12"/>
      <x:c r="V4" s="12"/>
      <x:c r="W4" s="12" t="str">
        <x:f>IF($S4&lt;&gt;"",$S4,$K4)</x:f>
        <x:v>Above Norm</x:v>
      </x:c>
      <x:c r="X4" s="12" t="str">
        <x:f>IF($T4&lt;&gt;"",$T4,$L4)</x:f>
        <x:v>Maintain change-of-direction performance</x:v>
      </x:c>
      <x:c r="Y4" s="12" t="str">
        <x:f>IF($U4&lt;&gt;"",$U4,$N4)</x:f>
        <x:v>Maintain planned change-of-direction work and progress toward reactive agility. Use low-volume, high-quality exposures with multiple starting and turning strategies.</x:v>
      </x:c>
      <x:c r="Z4" s="12" t="str">
        <x:f>IF($V4&lt;&gt;"",$V4,$O4)</x:f>
        <x:v>RVX Advanced Change of Direction</x:v>
      </x:c>
      <x:c r="AA4" s="12"/>
    </x:row>
    <x:row r="5">
      <x:c r="A5" s="12" t="str">
        <x:v>RVX-00001</x:v>
      </x:c>
      <x:c r="B5" s="12" t="str">
        <x:f>IFERROR(VLOOKUP($A5,Athlete_Profile!$A$2:$L$51,6,FALSE),"")</x:f>
        <x:v>Hockey</x:v>
      </x:c>
      <x:c r="C5" s="12" t="str">
        <x:f>IFERROR(VLOOKUP($A5,Athlete_Profile!$A$2:$L$51,5,FALSE),"")</x:f>
        <x:v>Female</x:v>
      </x:c>
      <x:c r="D5" s="12" t="str">
        <x:v>cmj_depth</x:v>
      </x:c>
      <x:c r="E5" s="12" t="str">
        <x:f>IFERROR(VLOOKUP($D5,Dropdown_Lists!$K$2:$N$7,2,FALSE),"")</x:f>
        <x:v>Countermovement Depth</x:v>
      </x:c>
      <x:c r="F5" s="12" t="str">
        <x:f>IFERROR(VLOOKUP($D5,Dropdown_Lists!$K$2:$N$7,3,FALSE),"")</x:f>
        <x:v>higher</x:v>
      </x:c>
      <x:c r="G5" s="17" t="n">
        <x:f>IFERROR(LOOKUP(2,1/((Performance_Metrics!$A$2:$A$3000=$A5)*(Performance_Metrics!$D$2:$D$3000=$D5)),Performance_Metrics!$C$2:$C$3000),"")</x:f>
        <x:v>46230</x:v>
      </x:c>
      <x:c r="H5" s="12" t="n">
        <x:f>IFERROR(LOOKUP(2,1/((Performance_Metrics!$A$2:$A$3000=$A5)*(Performance_Metrics!$D$2:$D$3000=$D5)),Performance_Metrics!$G$2:$G$3000),"")</x:f>
        <x:v>35.1</x:v>
      </x:c>
      <x:c r="I5" s="12" t="n">
        <x:f>IFERROR(SUMIFS(Normative_Data!$G$2:$G$1000,Normative_Data!$A$2:$A$1000,$B5,Normative_Data!$B$2:$B$1000,$C5,Normative_Data!$E$2:$E$1000,$D5),"")</x:f>
        <x:v>30</x:v>
      </x:c>
      <x:c r="J5" s="18" t="n">
        <x:f>IF(OR($H5="",$I5=""),"",($H5-$I5)/$I5)</x:f>
        <x:v>0.17000000000000004</x:v>
      </x:c>
      <x:c r="K5" s="12" t="str">
        <x:f>IF(OR($H5="",$I5="",$F5=""),"",IF(ABS($J5)&lt;=0.05,"Equal to Norm",IF($F5="lower",IF($H5&lt;$I5,"Above Norm","Below Norm"),IF($H5&gt;$I5,"Above Norm","Below Norm"))))</x:f>
        <x:v>Above Norm</x:v>
      </x:c>
      <x:c r="L5" s="12" t="str">
        <x:f>IFERROR(VLOOKUP($D5&amp;"|"&amp;$K5,Recommendation_Lookup!$A$2:$H$19,2,FALSE),"")</x:f>
        <x:v>Maintain effective countermovement strategy</x:v>
      </x:c>
      <x:c r="M5" s="12" t="str">
        <x:f>IFERROR(VLOOKUP($D5&amp;"|"&amp;$K5,Recommendation_Lookup!$A$2:$H$19,3,FALSE),"")</x:f>
        <x:v>Movement efficiency; eccentric control; jump consistency; depth-to-output relationship</x:v>
      </x:c>
      <x:c r="N5" s="12" t="str">
        <x:f>IFERROR(VLOOKUP($D5&amp;"|"&amp;$K5,Recommendation_Lookup!$A$2:$H$19,4,FALSE),"")</x:f>
        <x:v>Maintain the athlete’s preferred countermovement strategy while ensuring the additional depth contributes to force and impulse rather than excessive movement time.</x:v>
      </x:c>
      <x:c r="O5" s="12" t="str">
        <x:f>IFERROR(VLOOKUP($D5&amp;"|"&amp;$K5,Recommendation_Lookup!$A$2:$H$19,5,FALSE),"")</x:f>
        <x:v>RVX Jump Performance Advanced</x:v>
      </x:c>
      <x:c r="P5" s="12" t="str">
        <x:f>IFERROR(VLOOKUP($D5&amp;"|"&amp;$K5,Recommendation_Lookup!$A$2:$H$19,6,FALSE),"")</x:f>
        <x:v>RVX Eccentric Strength Microdose</x:v>
      </x:c>
      <x:c r="Q5" s="12" t="str">
        <x:f>IFERROR(VLOOKUP($D5&amp;"|"&amp;$K5,Recommendation_Lookup!$A$2:$H$19,7,FALSE),"")</x:f>
        <x:v>Use the depth you can control, then reverse quickly and aggressively.</x:v>
      </x:c>
      <x:c r="R5" s="12" t="str">
        <x:f>IFERROR(VLOOKUP($D5&amp;"|"&amp;$K5,Recommendation_Lookup!$A$2:$H$19,8,FALSE),"")</x:f>
        <x:v>Retest every 6–8 weeks while monitoring jump height and contraction time.</x:v>
      </x:c>
      <x:c r="S5" s="12"/>
      <x:c r="T5" s="12"/>
      <x:c r="U5" s="12"/>
      <x:c r="V5" s="12"/>
      <x:c r="W5" s="12" t="str">
        <x:f>IF($S5&lt;&gt;"",$S5,$K5)</x:f>
        <x:v>Above Norm</x:v>
      </x:c>
      <x:c r="X5" s="12" t="str">
        <x:f>IF($T5&lt;&gt;"",$T5,$L5)</x:f>
        <x:v>Maintain effective countermovement strategy</x:v>
      </x:c>
      <x:c r="Y5" s="12" t="str">
        <x:f>IF($U5&lt;&gt;"",$U5,$N5)</x:f>
        <x:v>Maintain the athlete’s preferred countermovement strategy while ensuring the additional depth contributes to force and impulse rather than excessive movement time.</x:v>
      </x:c>
      <x:c r="Z5" s="12" t="str">
        <x:f>IF($V5&lt;&gt;"",$V5,$O5)</x:f>
        <x:v>RVX Jump Performance Advanced</x:v>
      </x:c>
      <x:c r="AA5" s="12"/>
    </x:row>
    <x:row r="6">
      <x:c r="A6" s="12" t="str">
        <x:v>RVX-00001</x:v>
      </x:c>
      <x:c r="B6" s="12" t="str">
        <x:f>IFERROR(VLOOKUP($A6,Athlete_Profile!$A$2:$L$51,6,FALSE),"")</x:f>
        <x:v>Hockey</x:v>
      </x:c>
      <x:c r="C6" s="12" t="str">
        <x:f>IFERROR(VLOOKUP($A6,Athlete_Profile!$A$2:$L$51,5,FALSE),"")</x:f>
        <x:v>Female</x:v>
      </x:c>
      <x:c r="D6" s="12" t="str">
        <x:v>peak_force</x:v>
      </x:c>
      <x:c r="E6" s="12" t="str">
        <x:f>IFERROR(VLOOKUP($D6,Dropdown_Lists!$K$2:$N$7,2,FALSE),"")</x:f>
        <x:v>Peak Force</x:v>
      </x:c>
      <x:c r="F6" s="12" t="str">
        <x:f>IFERROR(VLOOKUP($D6,Dropdown_Lists!$K$2:$N$7,3,FALSE),"")</x:f>
        <x:v>higher</x:v>
      </x:c>
      <x:c r="G6" s="17" t="n">
        <x:f>IFERROR(LOOKUP(2,1/((Performance_Metrics!$A$2:$A$3000=$A6)*(Performance_Metrics!$D$2:$D$3000=$D6)),Performance_Metrics!$C$2:$C$3000),"")</x:f>
        <x:v>46230</x:v>
      </x:c>
      <x:c r="H6" s="12" t="n">
        <x:f>IFERROR(LOOKUP(2,1/((Performance_Metrics!$A$2:$A$3000=$A6)*(Performance_Metrics!$D$2:$D$3000=$D6)),Performance_Metrics!$G$2:$G$3000),"")</x:f>
        <x:v>2060</x:v>
      </x:c>
      <x:c r="I6" s="12" t="n">
        <x:f>IFERROR(SUMIFS(Normative_Data!$G$2:$G$1000,Normative_Data!$A$2:$A$1000,$B6,Normative_Data!$B$2:$B$1000,$C6,Normative_Data!$E$2:$E$1000,$D6),"")</x:f>
        <x:v>1750</x:v>
      </x:c>
      <x:c r="J6" s="18" t="n">
        <x:f>IF(OR($H6="",$I6=""),"",($H6-$I6)/$I6)</x:f>
        <x:v>0.17714285714285713</x:v>
      </x:c>
      <x:c r="K6" s="12" t="str">
        <x:f>IF(OR($H6="",$I6="",$F6=""),"",IF(ABS($J6)&lt;=0.05,"Equal to Norm",IF($F6="lower",IF($H6&lt;$I6,"Above Norm","Below Norm"),IF($H6&gt;$I6,"Above Norm","Below Norm"))))</x:f>
        <x:v>Above Norm</x:v>
      </x:c>
      <x:c r="L6" s="12" t="str">
        <x:f>IFERROR(VLOOKUP($D6&amp;"|"&amp;$K6,Recommendation_Lookup!$A$2:$H$19,2,FALSE),"")</x:f>
        <x:v>Maintain maximal force qualities</x:v>
      </x:c>
      <x:c r="M6" s="12" t="str">
        <x:f>IFERROR(VLOOKUP($D6&amp;"|"&amp;$K6,Recommendation_Lookup!$A$2:$H$19,3,FALSE),"")</x:f>
        <x:v>Force application speed; asymmetry; fatigue management; sport transfer</x:v>
      </x:c>
      <x:c r="N6" s="12" t="str">
        <x:f>IFERROR(VLOOKUP($D6&amp;"|"&amp;$K6,Recommendation_Lookup!$A$2:$H$19,4,FALSE),"")</x:f>
        <x:v>Maintain maximal force with low-volume strength exposure while shifting selected work toward power and sport-specific application. Monitor asymmetry and fatigue.</x:v>
      </x:c>
      <x:c r="O6" s="12" t="str">
        <x:f>IFERROR(VLOOKUP($D6&amp;"|"&amp;$K6,Recommendation_Lookup!$A$2:$H$19,5,FALSE),"")</x:f>
        <x:v>RVX Advanced Strength-Power</x:v>
      </x:c>
      <x:c r="P6" s="12" t="str">
        <x:f>IFERROR(VLOOKUP($D6&amp;"|"&amp;$K6,Recommendation_Lookup!$A$2:$H$19,6,FALSE),"")</x:f>
        <x:v>RVX Force Maintenance Microdose</x:v>
      </x:c>
      <x:c r="Q6" s="12" t="str">
        <x:f>IFERROR(VLOOKUP($D6&amp;"|"&amp;$K6,Recommendation_Lookup!$A$2:$H$19,7,FALSE),"")</x:f>
        <x:v>Produce high force without losing position or movement speed.</x:v>
      </x:c>
      <x:c r="R6" s="12" t="str">
        <x:f>IFERROR(VLOOKUP($D6&amp;"|"&amp;$K6,Recommendation_Lookup!$A$2:$H$19,8,FALSE),"")</x:f>
        <x:v>Retest every 6–8 weeks or following a strength-power phase.</x:v>
      </x:c>
      <x:c r="S6" s="12"/>
      <x:c r="T6" s="12"/>
      <x:c r="U6" s="12"/>
      <x:c r="V6" s="12"/>
      <x:c r="W6" s="12" t="str">
        <x:f>IF($S6&lt;&gt;"",$S6,$K6)</x:f>
        <x:v>Above Norm</x:v>
      </x:c>
      <x:c r="X6" s="12" t="str">
        <x:f>IF($T6&lt;&gt;"",$T6,$L6)</x:f>
        <x:v>Maintain maximal force qualities</x:v>
      </x:c>
      <x:c r="Y6" s="12" t="str">
        <x:f>IF($U6&lt;&gt;"",$U6,$N6)</x:f>
        <x:v>Maintain maximal force with low-volume strength exposure while shifting selected work toward power and sport-specific application. Monitor asymmetry and fatigue.</x:v>
      </x:c>
      <x:c r="Z6" s="12" t="str">
        <x:f>IF($V6&lt;&gt;"",$V6,$O6)</x:f>
        <x:v>RVX Advanced Strength-Power</x:v>
      </x:c>
      <x:c r="AA6" s="12"/>
    </x:row>
    <x:row r="7">
      <x:c r="A7" s="12" t="str">
        <x:v>RVX-00001</x:v>
      </x:c>
      <x:c r="B7" s="12" t="str">
        <x:f>IFERROR(VLOOKUP($A7,Athlete_Profile!$A$2:$L$51,6,FALSE),"")</x:f>
        <x:v>Hockey</x:v>
      </x:c>
      <x:c r="C7" s="12" t="str">
        <x:f>IFERROR(VLOOKUP($A7,Athlete_Profile!$A$2:$L$51,5,FALSE),"")</x:f>
        <x:v>Female</x:v>
      </x:c>
      <x:c r="D7" s="12" t="str">
        <x:v>impulse</x:v>
      </x:c>
      <x:c r="E7" s="12" t="str">
        <x:f>IFERROR(VLOOKUP($D7,Dropdown_Lists!$K$2:$N$7,2,FALSE),"")</x:f>
        <x:v>Impulse-Momentum</x:v>
      </x:c>
      <x:c r="F7" s="12" t="str">
        <x:f>IFERROR(VLOOKUP($D7,Dropdown_Lists!$K$2:$N$7,3,FALSE),"")</x:f>
        <x:v>higher</x:v>
      </x:c>
      <x:c r="G7" s="17" t="n">
        <x:f>IFERROR(LOOKUP(2,1/((Performance_Metrics!$A$2:$A$3000=$A7)*(Performance_Metrics!$D$2:$D$3000=$D7)),Performance_Metrics!$C$2:$C$3000),"")</x:f>
        <x:v>46230</x:v>
      </x:c>
      <x:c r="H7" s="12" t="n">
        <x:f>IFERROR(LOOKUP(2,1/((Performance_Metrics!$A$2:$A$3000=$A7)*(Performance_Metrics!$D$2:$D$3000=$D7)),Performance_Metrics!$G$2:$G$3000),"")</x:f>
        <x:v>246.8</x:v>
      </x:c>
      <x:c r="I7" s="12" t="n">
        <x:f>IFERROR(SUMIFS(Normative_Data!$G$2:$G$1000,Normative_Data!$A$2:$A$1000,$B7,Normative_Data!$B$2:$B$1000,$C7,Normative_Data!$E$2:$E$1000,$D7),"")</x:f>
        <x:v>215</x:v>
      </x:c>
      <x:c r="J7" s="18" t="n">
        <x:f>IF(OR($H7="",$I7=""),"",($H7-$I7)/$I7)</x:f>
        <x:v>0.1479069767441861</x:v>
      </x:c>
      <x:c r="K7" s="12" t="str">
        <x:f>IF(OR($H7="",$I7="",$F7=""),"",IF(ABS($J7)&lt;=0.05,"Equal to Norm",IF($F7="lower",IF($H7&lt;$I7,"Above Norm","Below Norm"),IF($H7&gt;$I7,"Above Norm","Below Norm"))))</x:f>
        <x:v>Above Norm</x:v>
      </x:c>
      <x:c r="L7" s="12" t="str">
        <x:f>IFERROR(VLOOKUP($D7&amp;"|"&amp;$K7,Recommendation_Lookup!$A$2:$H$19,2,FALSE),"")</x:f>
        <x:v>Maintain total force-time output</x:v>
      </x:c>
      <x:c r="M7" s="12" t="str">
        <x:f>IFERROR(VLOOKUP($D7&amp;"|"&amp;$K7,Recommendation_Lookup!$A$2:$H$19,3,FALSE),"")</x:f>
        <x:v>Rate of force development; movement time; power transfer; fatigue resistance</x:v>
      </x:c>
      <x:c r="N7" s="12" t="str">
        <x:f>IFERROR(VLOOKUP($D7&amp;"|"&amp;$K7,Recommendation_Lookup!$A$2:$H$19,4,FALSE),"")</x:f>
        <x:v>Maintain impulse with strength-power microdosing and varied jump or sprint exposures. Ensure high impulse is achieved efficiently rather than through excessive movement time.</x:v>
      </x:c>
      <x:c r="O7" s="12" t="str">
        <x:f>IFERROR(VLOOKUP($D7&amp;"|"&amp;$K7,Recommendation_Lookup!$A$2:$H$19,5,FALSE),"")</x:f>
        <x:v>RVX Advanced Power Development</x:v>
      </x:c>
      <x:c r="P7" s="12" t="str">
        <x:f>IFERROR(VLOOKUP($D7&amp;"|"&amp;$K7,Recommendation_Lookup!$A$2:$H$19,6,FALSE),"")</x:f>
        <x:v>RVX Elastic Power Microdose</x:v>
      </x:c>
      <x:c r="Q7" s="12" t="str">
        <x:f>IFERROR(VLOOKUP($D7&amp;"|"&amp;$K7,Recommendation_Lookup!$A$2:$H$19,7,FALSE),"")</x:f>
        <x:v>Build force quickly and keep applying it through the full movement.</x:v>
      </x:c>
      <x:c r="R7" s="12" t="str">
        <x:f>IFERROR(VLOOKUP($D7&amp;"|"&amp;$K7,Recommendation_Lookup!$A$2:$H$19,8,FALSE),"")</x:f>
        <x:v>Retest every 6–8 weeks while reviewing contraction time and jump outcome.</x:v>
      </x:c>
      <x:c r="S7" s="12"/>
      <x:c r="T7" s="12"/>
      <x:c r="U7" s="12"/>
      <x:c r="V7" s="12"/>
      <x:c r="W7" s="12" t="str">
        <x:f>IF($S7&lt;&gt;"",$S7,$K7)</x:f>
        <x:v>Above Norm</x:v>
      </x:c>
      <x:c r="X7" s="12" t="str">
        <x:f>IF($T7&lt;&gt;"",$T7,$L7)</x:f>
        <x:v>Maintain total force-time output</x:v>
      </x:c>
      <x:c r="Y7" s="12" t="str">
        <x:f>IF($U7&lt;&gt;"",$U7,$N7)</x:f>
        <x:v>Maintain impulse with strength-power microdosing and varied jump or sprint exposures. Ensure high impulse is achieved efficiently rather than through excessive movement time.</x:v>
      </x:c>
      <x:c r="Z7" s="12" t="str">
        <x:f>IF($V7&lt;&gt;"",$V7,$O7)</x:f>
        <x:v>RVX Advanced Power Development</x:v>
      </x:c>
      <x:c r="AA7" s="12"/>
    </x:row>
    <x:row r="8">
      <x:c r="A8" s="12" t="str">
        <x:v>RVX-00002</x:v>
      </x:c>
      <x:c r="B8" s="12" t="str">
        <x:f>IFERROR(VLOOKUP($A8,Athlete_Profile!$A$2:$L$51,6,FALSE),"")</x:f>
        <x:v>Hockey</x:v>
      </x:c>
      <x:c r="C8" s="12" t="str">
        <x:f>IFERROR(VLOOKUP($A8,Athlete_Profile!$A$2:$L$51,5,FALSE),"")</x:f>
        <x:v>Male</x:v>
      </x:c>
      <x:c r="D8" s="12" t="str">
        <x:v>sprint_5m</x:v>
      </x:c>
      <x:c r="E8" s="12" t="str">
        <x:f>IFERROR(VLOOKUP($D8,Dropdown_Lists!$K$2:$N$7,2,FALSE),"")</x:f>
        <x:v>5m Sprint</x:v>
      </x:c>
      <x:c r="F8" s="12" t="str">
        <x:f>IFERROR(VLOOKUP($D8,Dropdown_Lists!$K$2:$N$7,3,FALSE),"")</x:f>
        <x:v>lower</x:v>
      </x:c>
      <x:c r="G8" s="17" t="n">
        <x:f>IFERROR(LOOKUP(2,1/((Performance_Metrics!$A$2:$A$3000=$A8)*(Performance_Metrics!$D$2:$D$3000=$D8)),Performance_Metrics!$C$2:$C$3000),"")</x:f>
        <x:v>46230</x:v>
      </x:c>
      <x:c r="H8" s="12" t="n">
        <x:f>IFERROR(LOOKUP(2,1/((Performance_Metrics!$A$2:$A$3000=$A8)*(Performance_Metrics!$D$2:$D$3000=$D8)),Performance_Metrics!$G$2:$G$3000),"")</x:f>
        <x:v>1</x:v>
      </x:c>
      <x:c r="I8" s="12" t="n">
        <x:f>IFERROR(SUMIFS(Normative_Data!$G$2:$G$1000,Normative_Data!$A$2:$A$1000,$B8,Normative_Data!$B$2:$B$1000,$C8,Normative_Data!$E$2:$E$1000,$D8),"")</x:f>
        <x:v>1.08</x:v>
      </x:c>
      <x:c r="J8" s="18" t="n">
        <x:f>IF(OR($H8="",$I8=""),"",($H8-$I8)/$I8)</x:f>
        <x:v>-0.07407407407407414</x:v>
      </x:c>
      <x:c r="K8" s="12" t="str">
        <x:f>IF(OR($H8="",$I8="",$F8=""),"",IF(ABS($J8)&lt;=0.05,"Equal to Norm",IF($F8="lower",IF($H8&lt;$I8,"Above Norm","Below Norm"),IF($H8&gt;$I8,"Above Norm","Below Norm"))))</x:f>
        <x:v>Above Norm</x:v>
      </x:c>
      <x:c r="L8" s="12" t="str">
        <x:f>IFERROR(VLOOKUP($D8&amp;"|"&amp;$K8,Recommendation_Lookup!$A$2:$H$19,2,FALSE),"")</x:f>
        <x:v>Maintain first-step explosiveness</x:v>
      </x:c>
      <x:c r="M8" s="12" t="str">
        <x:f>IFERROR(VLOOKUP($D8&amp;"|"&amp;$K8,Recommendation_Lookup!$A$2:$H$19,3,FALSE),"")</x:f>
        <x:v>Start consistency; projection angle; horizontal force; reaction quality</x:v>
      </x:c>
      <x:c r="N8" s="12" t="str">
        <x:f>IFERROR(VLOOKUP($D8&amp;"|"&amp;$K8,Recommendation_Lookup!$A$2:$H$19,4,FALSE),"")</x:f>
        <x:v>Maintain speed with low-volume, high-quality acceleration exposures. Avoid unnecessary volume that could reduce sprint quality. Progress through resisted and reactive starts while preserving mechanics.</x:v>
      </x:c>
      <x:c r="O8" s="12" t="str">
        <x:f>IFERROR(VLOOKUP($D8&amp;"|"&amp;$K8,Recommendation_Lookup!$A$2:$H$19,5,FALSE),"")</x:f>
        <x:v>RVX Advanced Acceleration</x:v>
      </x:c>
      <x:c r="P8" s="12" t="str">
        <x:f>IFERROR(VLOOKUP($D8&amp;"|"&amp;$K8,Recommendation_Lookup!$A$2:$H$19,6,FALSE),"")</x:f>
        <x:v>RVX Explosive Starts Microdose</x:v>
      </x:c>
      <x:c r="Q8" s="12" t="str">
        <x:f>IFERROR(VLOOKUP($D8&amp;"|"&amp;$K8,Recommendation_Lookup!$A$2:$H$19,7,FALSE),"")</x:f>
        <x:v>Project forward, push the ground back, and win the first three steps.</x:v>
      </x:c>
      <x:c r="R8" s="12" t="str">
        <x:f>IFERROR(VLOOKUP($D8&amp;"|"&amp;$K8,Recommendation_Lookup!$A$2:$H$19,8,FALSE),"")</x:f>
        <x:v>Retest every 6–8 weeks or after a dedicated acceleration block.</x:v>
      </x:c>
      <x:c r="S8" s="12"/>
      <x:c r="T8" s="12"/>
      <x:c r="U8" s="12"/>
      <x:c r="V8" s="12"/>
      <x:c r="W8" s="12" t="str">
        <x:f>IF($S8&lt;&gt;"",$S8,$K8)</x:f>
        <x:v>Above Norm</x:v>
      </x:c>
      <x:c r="X8" s="12" t="str">
        <x:f>IF($T8&lt;&gt;"",$T8,$L8)</x:f>
        <x:v>Maintain first-step explosiveness</x:v>
      </x:c>
      <x:c r="Y8" s="12" t="str">
        <x:f>IF($U8&lt;&gt;"",$U8,$N8)</x:f>
        <x:v>Maintain speed with low-volume, high-quality acceleration exposures. Avoid unnecessary volume that could reduce sprint quality. Progress through resisted and reactive starts while preserving mechanics.</x:v>
      </x:c>
      <x:c r="Z8" s="12" t="str">
        <x:f>IF($V8&lt;&gt;"",$V8,$O8)</x:f>
        <x:v>RVX Advanced Acceleration</x:v>
      </x:c>
      <x:c r="AA8" s="12"/>
    </x:row>
    <x:row r="9">
      <x:c r="A9" s="12" t="str">
        <x:v>RVX-00002</x:v>
      </x:c>
      <x:c r="B9" s="12" t="str">
        <x:f>IFERROR(VLOOKUP($A9,Athlete_Profile!$A$2:$L$51,6,FALSE),"")</x:f>
        <x:v>Hockey</x:v>
      </x:c>
      <x:c r="C9" s="12" t="str">
        <x:f>IFERROR(VLOOKUP($A9,Athlete_Profile!$A$2:$L$51,5,FALSE),"")</x:f>
        <x:v>Male</x:v>
      </x:c>
      <x:c r="D9" s="12" t="str">
        <x:v>sprint_10m</x:v>
      </x:c>
      <x:c r="E9" s="12" t="str">
        <x:f>IFERROR(VLOOKUP($D9,Dropdown_Lists!$K$2:$N$7,2,FALSE),"")</x:f>
        <x:v>10m Sprint</x:v>
      </x:c>
      <x:c r="F9" s="12" t="str">
        <x:f>IFERROR(VLOOKUP($D9,Dropdown_Lists!$K$2:$N$7,3,FALSE),"")</x:f>
        <x:v>lower</x:v>
      </x:c>
      <x:c r="G9" s="17" t="n">
        <x:f>IFERROR(LOOKUP(2,1/((Performance_Metrics!$A$2:$A$3000=$A9)*(Performance_Metrics!$D$2:$D$3000=$D9)),Performance_Metrics!$C$2:$C$3000),"")</x:f>
        <x:v>46230</x:v>
      </x:c>
      <x:c r="H9" s="12" t="n">
        <x:f>IFERROR(LOOKUP(2,1/((Performance_Metrics!$A$2:$A$3000=$A9)*(Performance_Metrics!$D$2:$D$3000=$D9)),Performance_Metrics!$G$2:$G$3000),"")</x:f>
        <x:v>1.68</x:v>
      </x:c>
      <x:c r="I9" s="12" t="n">
        <x:f>IFERROR(SUMIFS(Normative_Data!$G$2:$G$1000,Normative_Data!$A$2:$A$1000,$B9,Normative_Data!$B$2:$B$1000,$C9,Normative_Data!$E$2:$E$1000,$D9),"")</x:f>
        <x:v>1.8</x:v>
      </x:c>
      <x:c r="J9" s="18" t="n">
        <x:f>IF(OR($H9="",$I9=""),"",($H9-$I9)/$I9)</x:f>
        <x:v>-0.06666666666666672</x:v>
      </x:c>
      <x:c r="K9" s="12" t="str">
        <x:f>IF(OR($H9="",$I9="",$F9=""),"",IF(ABS($J9)&lt;=0.05,"Equal to Norm",IF($F9="lower",IF($H9&lt;$I9,"Above Norm","Below Norm"),IF($H9&gt;$I9,"Above Norm","Below Norm"))))</x:f>
        <x:v>Above Norm</x:v>
      </x:c>
      <x:c r="L9" s="12" t="str">
        <x:f>IFERROR(VLOOKUP($D9&amp;"|"&amp;$K9,Recommendation_Lookup!$A$2:$H$19,2,FALSE),"")</x:f>
        <x:v>Maintain acceleration through 10 m</x:v>
      </x:c>
      <x:c r="M9" s="12" t="str">
        <x:f>IFERROR(VLOOKUP($D9&amp;"|"&amp;$K9,Recommendation_Lookup!$A$2:$H$19,3,FALSE),"")</x:f>
        <x:v>Transition mechanics; stride rhythm; stiffness; repeatability</x:v>
      </x:c>
      <x:c r="N9" s="12" t="str">
        <x:f>IFERROR(VLOOKUP($D9&amp;"|"&amp;$K9,Recommendation_Lookup!$A$2:$H$19,4,FALSE),"")</x:f>
        <x:v>Maintain one to two weekly high-quality acceleration exposures. Add varied starts and light resistance while monitoring consistency across trials.</x:v>
      </x:c>
      <x:c r="O9" s="12" t="str">
        <x:f>IFERROR(VLOOKUP($D9&amp;"|"&amp;$K9,Recommendation_Lookup!$A$2:$H$19,5,FALSE),"")</x:f>
        <x:v>RVX Advanced Acceleration</x:v>
      </x:c>
      <x:c r="P9" s="12" t="str">
        <x:f>IFERROR(VLOOKUP($D9&amp;"|"&amp;$K9,Recommendation_Lookup!$A$2:$H$19,6,FALSE),"")</x:f>
        <x:v>RVX Speed Maintenance Microdose</x:v>
      </x:c>
      <x:c r="Q9" s="12" t="str">
        <x:f>IFERROR(VLOOKUP($D9&amp;"|"&amp;$K9,Recommendation_Lookup!$A$2:$H$19,7,FALSE),"")</x:f>
        <x:v>Stay patient through acceleration and keep pushing behind the body.</x:v>
      </x:c>
      <x:c r="R9" s="12" t="str">
        <x:f>IFERROR(VLOOKUP($D9&amp;"|"&amp;$K9,Recommendation_Lookup!$A$2:$H$19,8,FALSE),"")</x:f>
        <x:v>Retest every 6–8 weeks or after a speed block.</x:v>
      </x:c>
      <x:c r="S9" s="12"/>
      <x:c r="T9" s="12"/>
      <x:c r="U9" s="12"/>
      <x:c r="V9" s="12"/>
      <x:c r="W9" s="12" t="str">
        <x:f>IF($S9&lt;&gt;"",$S9,$K9)</x:f>
        <x:v>Above Norm</x:v>
      </x:c>
      <x:c r="X9" s="12" t="str">
        <x:f>IF($T9&lt;&gt;"",$T9,$L9)</x:f>
        <x:v>Maintain acceleration through 10 m</x:v>
      </x:c>
      <x:c r="Y9" s="12" t="str">
        <x:f>IF($U9&lt;&gt;"",$U9,$N9)</x:f>
        <x:v>Maintain one to two weekly high-quality acceleration exposures. Add varied starts and light resistance while monitoring consistency across trials.</x:v>
      </x:c>
      <x:c r="Z9" s="12" t="str">
        <x:f>IF($V9&lt;&gt;"",$V9,$O9)</x:f>
        <x:v>RVX Advanced Acceleration</x:v>
      </x:c>
      <x:c r="AA9" s="12"/>
    </x:row>
    <x:row r="10">
      <x:c r="A10" s="12" t="str">
        <x:v>RVX-00002</x:v>
      </x:c>
      <x:c r="B10" s="12" t="str">
        <x:f>IFERROR(VLOOKUP($A10,Athlete_Profile!$A$2:$L$51,6,FALSE),"")</x:f>
        <x:v>Hockey</x:v>
      </x:c>
      <x:c r="C10" s="12" t="str">
        <x:f>IFERROR(VLOOKUP($A10,Athlete_Profile!$A$2:$L$51,5,FALSE),"")</x:f>
        <x:v>Male</x:v>
      </x:c>
      <x:c r="D10" s="12" t="str">
        <x:v>pro_agility</x:v>
      </x:c>
      <x:c r="E10" s="12" t="str">
        <x:f>IFERROR(VLOOKUP($D10,Dropdown_Lists!$K$2:$N$7,2,FALSE),"")</x:f>
        <x:v>5-10-5 Pro Agility</x:v>
      </x:c>
      <x:c r="F10" s="12" t="str">
        <x:f>IFERROR(VLOOKUP($D10,Dropdown_Lists!$K$2:$N$7,3,FALSE),"")</x:f>
        <x:v>lower</x:v>
      </x:c>
      <x:c r="G10" s="17" t="n">
        <x:f>IFERROR(LOOKUP(2,1/((Performance_Metrics!$A$2:$A$3000=$A10)*(Performance_Metrics!$D$2:$D$3000=$D10)),Performance_Metrics!$C$2:$C$3000),"")</x:f>
        <x:v>46230</x:v>
      </x:c>
      <x:c r="H10" s="12" t="n">
        <x:f>IFERROR(LOOKUP(2,1/((Performance_Metrics!$A$2:$A$3000=$A10)*(Performance_Metrics!$D$2:$D$3000=$D10)),Performance_Metrics!$G$2:$G$3000),"")</x:f>
        <x:v>4.38</x:v>
      </x:c>
      <x:c r="I10" s="12" t="n">
        <x:f>IFERROR(SUMIFS(Normative_Data!$G$2:$G$1000,Normative_Data!$A$2:$A$1000,$B10,Normative_Data!$B$2:$B$1000,$C10,Normative_Data!$E$2:$E$1000,$D10),"")</x:f>
        <x:v>4.63</x:v>
      </x:c>
      <x:c r="J10" s="18" t="n">
        <x:f>IF(OR($H10="",$I10=""),"",($H10-$I10)/$I10)</x:f>
        <x:v>-0.05399568034557235</x:v>
      </x:c>
      <x:c r="K10" s="12" t="str">
        <x:f>IF(OR($H10="",$I10="",$F10=""),"",IF(ABS($J10)&lt;=0.05,"Equal to Norm",IF($F10="lower",IF($H10&lt;$I10,"Above Norm","Below Norm"),IF($H10&gt;$I10,"Above Norm","Below Norm"))))</x:f>
        <x:v>Above Norm</x:v>
      </x:c>
      <x:c r="L10" s="12" t="str">
        <x:f>IFERROR(VLOOKUP($D10&amp;"|"&amp;$K10,Recommendation_Lookup!$A$2:$H$19,2,FALSE),"")</x:f>
        <x:v>Maintain change-of-direction performance</x:v>
      </x:c>
      <x:c r="M10" s="12" t="str">
        <x:f>IFERROR(VLOOKUP($D10&amp;"|"&amp;$K10,Recommendation_Lookup!$A$2:$H$19,3,FALSE),"")</x:f>
        <x:v>Reactive decision-making; braking tolerance; bilateral symmetry; movement variability</x:v>
      </x:c>
      <x:c r="N10" s="12" t="str">
        <x:f>IFERROR(VLOOKUP($D10&amp;"|"&amp;$K10,Recommendation_Lookup!$A$2:$H$19,4,FALSE),"")</x:f>
        <x:v>Maintain planned change-of-direction work and progress toward reactive agility. Use low-volume, high-quality exposures with multiple starting and turning strategies.</x:v>
      </x:c>
      <x:c r="O10" s="12" t="str">
        <x:f>IFERROR(VLOOKUP($D10&amp;"|"&amp;$K10,Recommendation_Lookup!$A$2:$H$19,5,FALSE),"")</x:f>
        <x:v>RVX Advanced Change of Direction</x:v>
      </x:c>
      <x:c r="P10" s="12" t="str">
        <x:f>IFERROR(VLOOKUP($D10&amp;"|"&amp;$K10,Recommendation_Lookup!$A$2:$H$19,6,FALSE),"")</x:f>
        <x:v>RVX Reactive Agility</x:v>
      </x:c>
      <x:c r="Q10" s="12" t="str">
        <x:f>IFERROR(VLOOKUP($D10&amp;"|"&amp;$K10,Recommendation_Lookup!$A$2:$H$19,7,FALSE),"")</x:f>
        <x:v>Brake under control, own the plant and accelerate out immediately.</x:v>
      </x:c>
      <x:c r="R10" s="12" t="str">
        <x:f>IFERROR(VLOOKUP($D10&amp;"|"&amp;$K10,Recommendation_Lookup!$A$2:$H$19,8,FALSE),"")</x:f>
        <x:v>Retest every 6–8 weeks with left and right trial review.</x:v>
      </x:c>
      <x:c r="S10" s="12"/>
      <x:c r="T10" s="12"/>
      <x:c r="U10" s="12"/>
      <x:c r="V10" s="12"/>
      <x:c r="W10" s="12" t="str">
        <x:f>IF($S10&lt;&gt;"",$S10,$K10)</x:f>
        <x:v>Above Norm</x:v>
      </x:c>
      <x:c r="X10" s="12" t="str">
        <x:f>IF($T10&lt;&gt;"",$T10,$L10)</x:f>
        <x:v>Maintain change-of-direction performance</x:v>
      </x:c>
      <x:c r="Y10" s="12" t="str">
        <x:f>IF($U10&lt;&gt;"",$U10,$N10)</x:f>
        <x:v>Maintain planned change-of-direction work and progress toward reactive agility. Use low-volume, high-quality exposures with multiple starting and turning strategies.</x:v>
      </x:c>
      <x:c r="Z10" s="12" t="str">
        <x:f>IF($V10&lt;&gt;"",$V10,$O10)</x:f>
        <x:v>RVX Advanced Change of Direction</x:v>
      </x:c>
      <x:c r="AA10" s="12"/>
    </x:row>
    <x:row r="11">
      <x:c r="A11" s="12" t="str">
        <x:v>RVX-00002</x:v>
      </x:c>
      <x:c r="B11" s="12" t="str">
        <x:f>IFERROR(VLOOKUP($A11,Athlete_Profile!$A$2:$L$51,6,FALSE),"")</x:f>
        <x:v>Hockey</x:v>
      </x:c>
      <x:c r="C11" s="12" t="str">
        <x:f>IFERROR(VLOOKUP($A11,Athlete_Profile!$A$2:$L$51,5,FALSE),"")</x:f>
        <x:v>Male</x:v>
      </x:c>
      <x:c r="D11" s="12" t="str">
        <x:v>cmj_depth</x:v>
      </x:c>
      <x:c r="E11" s="12" t="str">
        <x:f>IFERROR(VLOOKUP($D11,Dropdown_Lists!$K$2:$N$7,2,FALSE),"")</x:f>
        <x:v>Countermovement Depth</x:v>
      </x:c>
      <x:c r="F11" s="12" t="str">
        <x:f>IFERROR(VLOOKUP($D11,Dropdown_Lists!$K$2:$N$7,3,FALSE),"")</x:f>
        <x:v>higher</x:v>
      </x:c>
      <x:c r="G11" s="17" t="n">
        <x:f>IFERROR(LOOKUP(2,1/((Performance_Metrics!$A$2:$A$3000=$A11)*(Performance_Metrics!$D$2:$D$3000=$D11)),Performance_Metrics!$C$2:$C$3000),"")</x:f>
        <x:v>46230</x:v>
      </x:c>
      <x:c r="H11" s="12" t="n">
        <x:f>IFERROR(LOOKUP(2,1/((Performance_Metrics!$A$2:$A$3000=$A11)*(Performance_Metrics!$D$2:$D$3000=$D11)),Performance_Metrics!$G$2:$G$3000),"")</x:f>
        <x:v>35.2</x:v>
      </x:c>
      <x:c r="I11" s="12" t="n">
        <x:f>IFERROR(SUMIFS(Normative_Data!$G$2:$G$1000,Normative_Data!$A$2:$A$1000,$B11,Normative_Data!$B$2:$B$1000,$C11,Normative_Data!$E$2:$E$1000,$D11),"")</x:f>
        <x:v>33</x:v>
      </x:c>
      <x:c r="J11" s="18" t="n">
        <x:f>IF(OR($H11="",$I11=""),"",($H11-$I11)/$I11)</x:f>
        <x:v>0.06666666666666675</x:v>
      </x:c>
      <x:c r="K11" s="12" t="str">
        <x:f>IF(OR($H11="",$I11="",$F11=""),"",IF(ABS($J11)&lt;=0.05,"Equal to Norm",IF($F11="lower",IF($H11&lt;$I11,"Above Norm","Below Norm"),IF($H11&gt;$I11,"Above Norm","Below Norm"))))</x:f>
        <x:v>Above Norm</x:v>
      </x:c>
      <x:c r="L11" s="12" t="str">
        <x:f>IFERROR(VLOOKUP($D11&amp;"|"&amp;$K11,Recommendation_Lookup!$A$2:$H$19,2,FALSE),"")</x:f>
        <x:v>Maintain effective countermovement strategy</x:v>
      </x:c>
      <x:c r="M11" s="12" t="str">
        <x:f>IFERROR(VLOOKUP($D11&amp;"|"&amp;$K11,Recommendation_Lookup!$A$2:$H$19,3,FALSE),"")</x:f>
        <x:v>Movement efficiency; eccentric control; jump consistency; depth-to-output relationship</x:v>
      </x:c>
      <x:c r="N11" s="12" t="str">
        <x:f>IFERROR(VLOOKUP($D11&amp;"|"&amp;$K11,Recommendation_Lookup!$A$2:$H$19,4,FALSE),"")</x:f>
        <x:v>Maintain the athlete’s preferred countermovement strategy while ensuring the additional depth contributes to force and impulse rather than excessive movement time.</x:v>
      </x:c>
      <x:c r="O11" s="12" t="str">
        <x:f>IFERROR(VLOOKUP($D11&amp;"|"&amp;$K11,Recommendation_Lookup!$A$2:$H$19,5,FALSE),"")</x:f>
        <x:v>RVX Jump Performance Advanced</x:v>
      </x:c>
      <x:c r="P11" s="12" t="str">
        <x:f>IFERROR(VLOOKUP($D11&amp;"|"&amp;$K11,Recommendation_Lookup!$A$2:$H$19,6,FALSE),"")</x:f>
        <x:v>RVX Eccentric Strength Microdose</x:v>
      </x:c>
      <x:c r="Q11" s="12" t="str">
        <x:f>IFERROR(VLOOKUP($D11&amp;"|"&amp;$K11,Recommendation_Lookup!$A$2:$H$19,7,FALSE),"")</x:f>
        <x:v>Use the depth you can control, then reverse quickly and aggressively.</x:v>
      </x:c>
      <x:c r="R11" s="12" t="str">
        <x:f>IFERROR(VLOOKUP($D11&amp;"|"&amp;$K11,Recommendation_Lookup!$A$2:$H$19,8,FALSE),"")</x:f>
        <x:v>Retest every 6–8 weeks while monitoring jump height and contraction time.</x:v>
      </x:c>
      <x:c r="S11" s="12"/>
      <x:c r="T11" s="12"/>
      <x:c r="U11" s="12"/>
      <x:c r="V11" s="12"/>
      <x:c r="W11" s="12" t="str">
        <x:f>IF($S11&lt;&gt;"",$S11,$K11)</x:f>
        <x:v>Above Norm</x:v>
      </x:c>
      <x:c r="X11" s="12" t="str">
        <x:f>IF($T11&lt;&gt;"",$T11,$L11)</x:f>
        <x:v>Maintain effective countermovement strategy</x:v>
      </x:c>
      <x:c r="Y11" s="12" t="str">
        <x:f>IF($U11&lt;&gt;"",$U11,$N11)</x:f>
        <x:v>Maintain the athlete’s preferred countermovement strategy while ensuring the additional depth contributes to force and impulse rather than excessive movement time.</x:v>
      </x:c>
      <x:c r="Z11" s="12" t="str">
        <x:f>IF($V11&lt;&gt;"",$V11,$O11)</x:f>
        <x:v>RVX Jump Performance Advanced</x:v>
      </x:c>
      <x:c r="AA11" s="12"/>
    </x:row>
    <x:row r="12">
      <x:c r="A12" s="12" t="str">
        <x:v>RVX-00002</x:v>
      </x:c>
      <x:c r="B12" s="12" t="str">
        <x:f>IFERROR(VLOOKUP($A12,Athlete_Profile!$A$2:$L$51,6,FALSE),"")</x:f>
        <x:v>Hockey</x:v>
      </x:c>
      <x:c r="C12" s="12" t="str">
        <x:f>IFERROR(VLOOKUP($A12,Athlete_Profile!$A$2:$L$51,5,FALSE),"")</x:f>
        <x:v>Male</x:v>
      </x:c>
      <x:c r="D12" s="12" t="str">
        <x:v>peak_force</x:v>
      </x:c>
      <x:c r="E12" s="12" t="str">
        <x:f>IFERROR(VLOOKUP($D12,Dropdown_Lists!$K$2:$N$7,2,FALSE),"")</x:f>
        <x:v>Peak Force</x:v>
      </x:c>
      <x:c r="F12" s="12" t="str">
        <x:f>IFERROR(VLOOKUP($D12,Dropdown_Lists!$K$2:$N$7,3,FALSE),"")</x:f>
        <x:v>higher</x:v>
      </x:c>
      <x:c r="G12" s="17" t="n">
        <x:f>IFERROR(LOOKUP(2,1/((Performance_Metrics!$A$2:$A$3000=$A12)*(Performance_Metrics!$D$2:$D$3000=$D12)),Performance_Metrics!$C$2:$C$3000),"")</x:f>
        <x:v>46230</x:v>
      </x:c>
      <x:c r="H12" s="12" t="n">
        <x:f>IFERROR(LOOKUP(2,1/((Performance_Metrics!$A$2:$A$3000=$A12)*(Performance_Metrics!$D$2:$D$3000=$D12)),Performance_Metrics!$G$2:$G$3000),"")</x:f>
        <x:v>2030</x:v>
      </x:c>
      <x:c r="I12" s="12" t="n">
        <x:f>IFERROR(SUMIFS(Normative_Data!$G$2:$G$1000,Normative_Data!$A$2:$A$1000,$B12,Normative_Data!$B$2:$B$1000,$C12,Normative_Data!$E$2:$E$1000,$D12),"")</x:f>
        <x:v>1925</x:v>
      </x:c>
      <x:c r="J12" s="18" t="n">
        <x:f>IF(OR($H12="",$I12=""),"",($H12-$I12)/$I12)</x:f>
        <x:v>0.05454545454545454</x:v>
      </x:c>
      <x:c r="K12" s="12" t="str">
        <x:f>IF(OR($H12="",$I12="",$F12=""),"",IF(ABS($J12)&lt;=0.05,"Equal to Norm",IF($F12="lower",IF($H12&lt;$I12,"Above Norm","Below Norm"),IF($H12&gt;$I12,"Above Norm","Below Norm"))))</x:f>
        <x:v>Above Norm</x:v>
      </x:c>
      <x:c r="L12" s="12" t="str">
        <x:f>IFERROR(VLOOKUP($D12&amp;"|"&amp;$K12,Recommendation_Lookup!$A$2:$H$19,2,FALSE),"")</x:f>
        <x:v>Maintain maximal force qualities</x:v>
      </x:c>
      <x:c r="M12" s="12" t="str">
        <x:f>IFERROR(VLOOKUP($D12&amp;"|"&amp;$K12,Recommendation_Lookup!$A$2:$H$19,3,FALSE),"")</x:f>
        <x:v>Force application speed; asymmetry; fatigue management; sport transfer</x:v>
      </x:c>
      <x:c r="N12" s="12" t="str">
        <x:f>IFERROR(VLOOKUP($D12&amp;"|"&amp;$K12,Recommendation_Lookup!$A$2:$H$19,4,FALSE),"")</x:f>
        <x:v>Maintain maximal force with low-volume strength exposure while shifting selected work toward power and sport-specific application. Monitor asymmetry and fatigue.</x:v>
      </x:c>
      <x:c r="O12" s="12" t="str">
        <x:f>IFERROR(VLOOKUP($D12&amp;"|"&amp;$K12,Recommendation_Lookup!$A$2:$H$19,5,FALSE),"")</x:f>
        <x:v>RVX Advanced Strength-Power</x:v>
      </x:c>
      <x:c r="P12" s="12" t="str">
        <x:f>IFERROR(VLOOKUP($D12&amp;"|"&amp;$K12,Recommendation_Lookup!$A$2:$H$19,6,FALSE),"")</x:f>
        <x:v>RVX Force Maintenance Microdose</x:v>
      </x:c>
      <x:c r="Q12" s="12" t="str">
        <x:f>IFERROR(VLOOKUP($D12&amp;"|"&amp;$K12,Recommendation_Lookup!$A$2:$H$19,7,FALSE),"")</x:f>
        <x:v>Produce high force without losing position or movement speed.</x:v>
      </x:c>
      <x:c r="R12" s="12" t="str">
        <x:f>IFERROR(VLOOKUP($D12&amp;"|"&amp;$K12,Recommendation_Lookup!$A$2:$H$19,8,FALSE),"")</x:f>
        <x:v>Retest every 6–8 weeks or following a strength-power phase.</x:v>
      </x:c>
      <x:c r="S12" s="12"/>
      <x:c r="T12" s="12"/>
      <x:c r="U12" s="12"/>
      <x:c r="V12" s="12"/>
      <x:c r="W12" s="12" t="str">
        <x:f>IF($S12&lt;&gt;"",$S12,$K12)</x:f>
        <x:v>Above Norm</x:v>
      </x:c>
      <x:c r="X12" s="12" t="str">
        <x:f>IF($T12&lt;&gt;"",$T12,$L12)</x:f>
        <x:v>Maintain maximal force qualities</x:v>
      </x:c>
      <x:c r="Y12" s="12" t="str">
        <x:f>IF($U12&lt;&gt;"",$U12,$N12)</x:f>
        <x:v>Maintain maximal force with low-volume strength exposure while shifting selected work toward power and sport-specific application. Monitor asymmetry and fatigue.</x:v>
      </x:c>
      <x:c r="Z12" s="12" t="str">
        <x:f>IF($V12&lt;&gt;"",$V12,$O12)</x:f>
        <x:v>RVX Advanced Strength-Power</x:v>
      </x:c>
      <x:c r="AA12" s="12"/>
    </x:row>
    <x:row r="13">
      <x:c r="A13" s="12" t="str">
        <x:v>RVX-00002</x:v>
      </x:c>
      <x:c r="B13" s="12" t="str">
        <x:f>IFERROR(VLOOKUP($A13,Athlete_Profile!$A$2:$L$51,6,FALSE),"")</x:f>
        <x:v>Hockey</x:v>
      </x:c>
      <x:c r="C13" s="12" t="str">
        <x:f>IFERROR(VLOOKUP($A13,Athlete_Profile!$A$2:$L$51,5,FALSE),"")</x:f>
        <x:v>Male</x:v>
      </x:c>
      <x:c r="D13" s="12" t="str">
        <x:v>impulse</x:v>
      </x:c>
      <x:c r="E13" s="12" t="str">
        <x:f>IFERROR(VLOOKUP($D13,Dropdown_Lists!$K$2:$N$7,2,FALSE),"")</x:f>
        <x:v>Impulse-Momentum</x:v>
      </x:c>
      <x:c r="F13" s="12" t="str">
        <x:f>IFERROR(VLOOKUP($D13,Dropdown_Lists!$K$2:$N$7,3,FALSE),"")</x:f>
        <x:v>higher</x:v>
      </x:c>
      <x:c r="G13" s="17" t="n">
        <x:f>IFERROR(LOOKUP(2,1/((Performance_Metrics!$A$2:$A$3000=$A13)*(Performance_Metrics!$D$2:$D$3000=$D13)),Performance_Metrics!$C$2:$C$3000),"")</x:f>
        <x:v>46230</x:v>
      </x:c>
      <x:c r="H13" s="12" t="n">
        <x:f>IFERROR(LOOKUP(2,1/((Performance_Metrics!$A$2:$A$3000=$A13)*(Performance_Metrics!$D$2:$D$3000=$D13)),Performance_Metrics!$G$2:$G$3000),"")</x:f>
        <x:v>250.9</x:v>
      </x:c>
      <x:c r="I13" s="12" t="n">
        <x:f>IFERROR(SUMIFS(Normative_Data!$G$2:$G$1000,Normative_Data!$A$2:$A$1000,$B13,Normative_Data!$B$2:$B$1000,$C13,Normative_Data!$E$2:$E$1000,$D13),"")</x:f>
        <x:v>236.5</x:v>
      </x:c>
      <x:c r="J13" s="18" t="n">
        <x:f>IF(OR($H13="",$I13=""),"",($H13-$I13)/$I13)</x:f>
        <x:v>0.060887949260042304</x:v>
      </x:c>
      <x:c r="K13" s="12" t="str">
        <x:f>IF(OR($H13="",$I13="",$F13=""),"",IF(ABS($J13)&lt;=0.05,"Equal to Norm",IF($F13="lower",IF($H13&lt;$I13,"Above Norm","Below Norm"),IF($H13&gt;$I13,"Above Norm","Below Norm"))))</x:f>
        <x:v>Above Norm</x:v>
      </x:c>
      <x:c r="L13" s="12" t="str">
        <x:f>IFERROR(VLOOKUP($D13&amp;"|"&amp;$K13,Recommendation_Lookup!$A$2:$H$19,2,FALSE),"")</x:f>
        <x:v>Maintain total force-time output</x:v>
      </x:c>
      <x:c r="M13" s="12" t="str">
        <x:f>IFERROR(VLOOKUP($D13&amp;"|"&amp;$K13,Recommendation_Lookup!$A$2:$H$19,3,FALSE),"")</x:f>
        <x:v>Rate of force development; movement time; power transfer; fatigue resistance</x:v>
      </x:c>
      <x:c r="N13" s="12" t="str">
        <x:f>IFERROR(VLOOKUP($D13&amp;"|"&amp;$K13,Recommendation_Lookup!$A$2:$H$19,4,FALSE),"")</x:f>
        <x:v>Maintain impulse with strength-power microdosing and varied jump or sprint exposures. Ensure high impulse is achieved efficiently rather than through excessive movement time.</x:v>
      </x:c>
      <x:c r="O13" s="12" t="str">
        <x:f>IFERROR(VLOOKUP($D13&amp;"|"&amp;$K13,Recommendation_Lookup!$A$2:$H$19,5,FALSE),"")</x:f>
        <x:v>RVX Advanced Power Development</x:v>
      </x:c>
      <x:c r="P13" s="12" t="str">
        <x:f>IFERROR(VLOOKUP($D13&amp;"|"&amp;$K13,Recommendation_Lookup!$A$2:$H$19,6,FALSE),"")</x:f>
        <x:v>RVX Elastic Power Microdose</x:v>
      </x:c>
      <x:c r="Q13" s="12" t="str">
        <x:f>IFERROR(VLOOKUP($D13&amp;"|"&amp;$K13,Recommendation_Lookup!$A$2:$H$19,7,FALSE),"")</x:f>
        <x:v>Build force quickly and keep applying it through the full movement.</x:v>
      </x:c>
      <x:c r="R13" s="12" t="str">
        <x:f>IFERROR(VLOOKUP($D13&amp;"|"&amp;$K13,Recommendation_Lookup!$A$2:$H$19,8,FALSE),"")</x:f>
        <x:v>Retest every 6–8 weeks while reviewing contraction time and jump outcome.</x:v>
      </x:c>
      <x:c r="S13" s="12"/>
      <x:c r="T13" s="12"/>
      <x:c r="U13" s="12"/>
      <x:c r="V13" s="12"/>
      <x:c r="W13" s="12" t="str">
        <x:f>IF($S13&lt;&gt;"",$S13,$K13)</x:f>
        <x:v>Above Norm</x:v>
      </x:c>
      <x:c r="X13" s="12" t="str">
        <x:f>IF($T13&lt;&gt;"",$T13,$L13)</x:f>
        <x:v>Maintain total force-time output</x:v>
      </x:c>
      <x:c r="Y13" s="12" t="str">
        <x:f>IF($U13&lt;&gt;"",$U13,$N13)</x:f>
        <x:v>Maintain impulse with strength-power microdosing and varied jump or sprint exposures. Ensure high impulse is achieved efficiently rather than through excessive movement time.</x:v>
      </x:c>
      <x:c r="Z13" s="12" t="str">
        <x:f>IF($V13&lt;&gt;"",$V13,$O13)</x:f>
        <x:v>RVX Advanced Power Development</x:v>
      </x:c>
      <x:c r="AA13" s="12"/>
    </x:row>
    <x:row r="14">
      <x:c r="A14" s="12" t="str">
        <x:v>RVX-00003</x:v>
      </x:c>
      <x:c r="B14" s="12" t="str">
        <x:f>IFERROR(VLOOKUP($A14,Athlete_Profile!$A$2:$L$51,6,FALSE),"")</x:f>
        <x:v>Hockey</x:v>
      </x:c>
      <x:c r="C14" s="12" t="str">
        <x:f>IFERROR(VLOOKUP($A14,Athlete_Profile!$A$2:$L$51,5,FALSE),"")</x:f>
        <x:v>Female</x:v>
      </x:c>
      <x:c r="D14" s="12" t="str">
        <x:v>sprint_5m</x:v>
      </x:c>
      <x:c r="E14" s="12" t="str">
        <x:f>IFERROR(VLOOKUP($D14,Dropdown_Lists!$K$2:$N$7,2,FALSE),"")</x:f>
        <x:v>5m Sprint</x:v>
      </x:c>
      <x:c r="F14" s="12" t="str">
        <x:f>IFERROR(VLOOKUP($D14,Dropdown_Lists!$K$2:$N$7,3,FALSE),"")</x:f>
        <x:v>lower</x:v>
      </x:c>
      <x:c r="G14" s="17" t="n">
        <x:f>IFERROR(LOOKUP(2,1/((Performance_Metrics!$A$2:$A$3000=$A14)*(Performance_Metrics!$D$2:$D$3000=$D14)),Performance_Metrics!$C$2:$C$3000),"")</x:f>
        <x:v>46230</x:v>
      </x:c>
      <x:c r="H14" s="12" t="n">
        <x:f>IFERROR(LOOKUP(2,1/((Performance_Metrics!$A$2:$A$3000=$A14)*(Performance_Metrics!$D$2:$D$3000=$D14)),Performance_Metrics!$G$2:$G$3000),"")</x:f>
        <x:v>1.15</x:v>
      </x:c>
      <x:c r="I14" s="12" t="n">
        <x:f>IFERROR(SUMIFS(Normative_Data!$G$2:$G$1000,Normative_Data!$A$2:$A$1000,$B14,Normative_Data!$B$2:$B$1000,$C14,Normative_Data!$E$2:$E$1000,$D14),"")</x:f>
        <x:v>1.12</x:v>
      </x:c>
      <x:c r="J14" s="18" t="n">
        <x:f>IF(OR($H14="",$I14=""),"",($H14-$I14)/$I14)</x:f>
        <x:v>0.026785714285714107</x:v>
      </x:c>
      <x:c r="K14" s="12" t="str">
        <x:f>IF(OR($H14="",$I14="",$F14=""),"",IF(ABS($J14)&lt;=0.05,"Equal to Norm",IF($F14="lower",IF($H14&lt;$I14,"Above Norm","Below Norm"),IF($H14&gt;$I14,"Above Norm","Below Norm"))))</x:f>
        <x:v>Equal to Norm</x:v>
      </x:c>
      <x:c r="L14" s="12" t="str">
        <x:f>IFERROR(VLOOKUP($D14&amp;"|"&amp;$K14,Recommendation_Lookup!$A$2:$H$19,2,FALSE),"")</x:f>
        <x:v>Improve acceleration efficiency</x:v>
      </x:c>
      <x:c r="M14" s="12" t="str">
        <x:f>IFERROR(VLOOKUP($D14&amp;"|"&amp;$K14,Recommendation_Lookup!$A$2:$H$19,3,FALSE),"")</x:f>
        <x:v>Starting posture; shin angle; first-step direction; arm action</x:v>
      </x:c>
      <x:c r="N14" s="12" t="str">
        <x:f>IFERROR(VLOOKUP($D14&amp;"|"&amp;$K14,Recommendation_Lookup!$A$2:$H$19,4,FALSE),"")</x:f>
        <x:v>Use a focused acceleration-development block emphasizing starting position, projection and force application. Keep repetitions short with full recovery.</x:v>
      </x:c>
      <x:c r="O14" s="12" t="str">
        <x:f>IFERROR(VLOOKUP($D14&amp;"|"&amp;$K14,Recommendation_Lookup!$A$2:$H$19,5,FALSE),"")</x:f>
        <x:v>RVX Acceleration Foundations</x:v>
      </x:c>
      <x:c r="P14" s="12" t="str">
        <x:f>IFERROR(VLOOKUP($D14&amp;"|"&amp;$K14,Recommendation_Lookup!$A$2:$H$19,6,FALSE),"")</x:f>
        <x:v>RVX Sprint Mechanics</x:v>
      </x:c>
      <x:c r="Q14" s="12" t="str">
        <x:f>IFERROR(VLOOKUP($D14&amp;"|"&amp;$K14,Recommendation_Lookup!$A$2:$H$19,7,FALSE),"")</x:f>
        <x:v>Push out, not up. Keep the first steps powerful and connected.</x:v>
      </x:c>
      <x:c r="R14" s="12" t="str">
        <x:f>IFERROR(VLOOKUP($D14&amp;"|"&amp;$K14,Recommendation_Lookup!$A$2:$H$19,8,FALSE),"")</x:f>
        <x:v>Retest after 4–6 weeks of focused acceleration work.</x:v>
      </x:c>
      <x:c r="S14" s="12"/>
      <x:c r="T14" s="12"/>
      <x:c r="U14" s="12"/>
      <x:c r="V14" s="12"/>
      <x:c r="W14" s="12" t="str">
        <x:f>IF($S14&lt;&gt;"",$S14,$K14)</x:f>
        <x:v>Equal to Norm</x:v>
      </x:c>
      <x:c r="X14" s="12" t="str">
        <x:f>IF($T14&lt;&gt;"",$T14,$L14)</x:f>
        <x:v>Improve acceleration efficiency</x:v>
      </x:c>
      <x:c r="Y14" s="12" t="str">
        <x:f>IF($U14&lt;&gt;"",$U14,$N14)</x:f>
        <x:v>Use a focused acceleration-development block emphasizing starting position, projection and force application. Keep repetitions short with full recovery.</x:v>
      </x:c>
      <x:c r="Z14" s="12" t="str">
        <x:f>IF($V14&lt;&gt;"",$V14,$O14)</x:f>
        <x:v>RVX Acceleration Foundations</x:v>
      </x:c>
      <x:c r="AA14" s="12"/>
    </x:row>
    <x:row r="15">
      <x:c r="A15" s="12" t="str">
        <x:v>RVX-00003</x:v>
      </x:c>
      <x:c r="B15" s="12" t="str">
        <x:f>IFERROR(VLOOKUP($A15,Athlete_Profile!$A$2:$L$51,6,FALSE),"")</x:f>
        <x:v>Hockey</x:v>
      </x:c>
      <x:c r="C15" s="12" t="str">
        <x:f>IFERROR(VLOOKUP($A15,Athlete_Profile!$A$2:$L$51,5,FALSE),"")</x:f>
        <x:v>Female</x:v>
      </x:c>
      <x:c r="D15" s="12" t="str">
        <x:v>sprint_10m</x:v>
      </x:c>
      <x:c r="E15" s="12" t="str">
        <x:f>IFERROR(VLOOKUP($D15,Dropdown_Lists!$K$2:$N$7,2,FALSE),"")</x:f>
        <x:v>10m Sprint</x:v>
      </x:c>
      <x:c r="F15" s="12" t="str">
        <x:f>IFERROR(VLOOKUP($D15,Dropdown_Lists!$K$2:$N$7,3,FALSE),"")</x:f>
        <x:v>lower</x:v>
      </x:c>
      <x:c r="G15" s="17" t="n">
        <x:f>IFERROR(LOOKUP(2,1/((Performance_Metrics!$A$2:$A$3000=$A15)*(Performance_Metrics!$D$2:$D$3000=$D15)),Performance_Metrics!$C$2:$C$3000),"")</x:f>
        <x:v>46230</x:v>
      </x:c>
      <x:c r="H15" s="12" t="n">
        <x:f>IFERROR(LOOKUP(2,1/((Performance_Metrics!$A$2:$A$3000=$A15)*(Performance_Metrics!$D$2:$D$3000=$D15)),Performance_Metrics!$G$2:$G$3000),"")</x:f>
        <x:v>2</x:v>
      </x:c>
      <x:c r="I15" s="12" t="n">
        <x:f>IFERROR(SUMIFS(Normative_Data!$G$2:$G$1000,Normative_Data!$A$2:$A$1000,$B15,Normative_Data!$B$2:$B$1000,$C15,Normative_Data!$E$2:$E$1000,$D15),"")</x:f>
        <x:v>1.88</x:v>
      </x:c>
      <x:c r="J15" s="18" t="n">
        <x:f>IF(OR($H15="",$I15=""),"",($H15-$I15)/$I15)</x:f>
        <x:v>0.06382978723404262</x:v>
      </x:c>
      <x:c r="K15" s="12" t="str">
        <x:f>IF(OR($H15="",$I15="",$F15=""),"",IF(ABS($J15)&lt;=0.05,"Equal to Norm",IF($F15="lower",IF($H15&lt;$I15,"Above Norm","Below Norm"),IF($H15&gt;$I15,"Above Norm","Below Norm"))))</x:f>
        <x:v>Below Norm</x:v>
      </x:c>
      <x:c r="L15" s="12" t="str">
        <x:f>IFERROR(VLOOKUP($D15&amp;"|"&amp;$K15,Recommendation_Lookup!$A$2:$H$19,2,FALSE),"")</x:f>
        <x:v>Develop 0–10 m speed</x:v>
      </x:c>
      <x:c r="M15" s="12" t="str">
        <x:f>IFERROR(VLOOKUP($D15&amp;"|"&amp;$K15,Recommendation_Lookup!$A$2:$H$19,3,FALSE),"")</x:f>
        <x:v>Relative strength; first-step mechanics; force application; acceleration endurance</x:v>
      </x:c>
      <x:c r="N15" s="12" t="str">
        <x:f>IFERROR(VLOOKUP($D15&amp;"|"&amp;$K15,Recommendation_Lookup!$A$2:$H$19,4,FALSE),"")</x:f>
        <x:v>Use a foundational acceleration block paired with strength development. Limit sprint distances initially and improve the quality of each step before adding volume.</x:v>
      </x:c>
      <x:c r="O15" s="12" t="str">
        <x:f>IFERROR(VLOOKUP($D15&amp;"|"&amp;$K15,Recommendation_Lookup!$A$2:$H$19,5,FALSE),"")</x:f>
        <x:v>RVX Acceleration Foundations</x:v>
      </x:c>
      <x:c r="P15" s="12" t="str">
        <x:f>IFERROR(VLOOKUP($D15&amp;"|"&amp;$K15,Recommendation_Lookup!$A$2:$H$19,6,FALSE),"")</x:f>
        <x:v>RVX Relative Strength Builder</x:v>
      </x:c>
      <x:c r="Q15" s="12" t="str">
        <x:f>IFERROR(VLOOKUP($D15&amp;"|"&amp;$K15,Recommendation_Lookup!$A$2:$H$19,7,FALSE),"")</x:f>
        <x:v>Push longer, maintain posture and create force in the correct direction.</x:v>
      </x:c>
      <x:c r="R15" s="12" t="str">
        <x:f>IFERROR(VLOOKUP($D15&amp;"|"&amp;$K15,Recommendation_Lookup!$A$2:$H$19,8,FALSE),"")</x:f>
        <x:v>Retest in 4 weeks and compare 5 m versus 10 m split changes.</x:v>
      </x:c>
      <x:c r="S15" s="12"/>
      <x:c r="T15" s="12"/>
      <x:c r="U15" s="12"/>
      <x:c r="V15" s="12"/>
      <x:c r="W15" s="12" t="str">
        <x:f>IF($S15&lt;&gt;"",$S15,$K15)</x:f>
        <x:v>Below Norm</x:v>
      </x:c>
      <x:c r="X15" s="12" t="str">
        <x:f>IF($T15&lt;&gt;"",$T15,$L15)</x:f>
        <x:v>Develop 0–10 m speed</x:v>
      </x:c>
      <x:c r="Y15" s="12" t="str">
        <x:f>IF($U15&lt;&gt;"",$U15,$N15)</x:f>
        <x:v>Use a foundational acceleration block paired with strength development. Limit sprint distances initially and improve the quality of each step before adding volume.</x:v>
      </x:c>
      <x:c r="Z15" s="12" t="str">
        <x:f>IF($V15&lt;&gt;"",$V15,$O15)</x:f>
        <x:v>RVX Acceleration Foundations</x:v>
      </x:c>
      <x:c r="AA15" s="12"/>
    </x:row>
    <x:row r="16">
      <x:c r="A16" s="12" t="str">
        <x:v>RVX-00003</x:v>
      </x:c>
      <x:c r="B16" s="12" t="str">
        <x:f>IFERROR(VLOOKUP($A16,Athlete_Profile!$A$2:$L$51,6,FALSE),"")</x:f>
        <x:v>Hockey</x:v>
      </x:c>
      <x:c r="C16" s="12" t="str">
        <x:f>IFERROR(VLOOKUP($A16,Athlete_Profile!$A$2:$L$51,5,FALSE),"")</x:f>
        <x:v>Female</x:v>
      </x:c>
      <x:c r="D16" s="12" t="str">
        <x:v>pro_agility</x:v>
      </x:c>
      <x:c r="E16" s="12" t="str">
        <x:f>IFERROR(VLOOKUP($D16,Dropdown_Lists!$K$2:$N$7,2,FALSE),"")</x:f>
        <x:v>5-10-5 Pro Agility</x:v>
      </x:c>
      <x:c r="F16" s="12" t="str">
        <x:f>IFERROR(VLOOKUP($D16,Dropdown_Lists!$K$2:$N$7,3,FALSE),"")</x:f>
        <x:v>lower</x:v>
      </x:c>
      <x:c r="G16" s="17" t="n">
        <x:f>IFERROR(LOOKUP(2,1/((Performance_Metrics!$A$2:$A$3000=$A16)*(Performance_Metrics!$D$2:$D$3000=$D16)),Performance_Metrics!$C$2:$C$3000),"")</x:f>
        <x:v>46230</x:v>
      </x:c>
      <x:c r="H16" s="12" t="n">
        <x:f>IFERROR(LOOKUP(2,1/((Performance_Metrics!$A$2:$A$3000=$A16)*(Performance_Metrics!$D$2:$D$3000=$D16)),Performance_Metrics!$G$2:$G$3000),"")</x:f>
        <x:v>5</x:v>
      </x:c>
      <x:c r="I16" s="12" t="n">
        <x:f>IFERROR(SUMIFS(Normative_Data!$G$2:$G$1000,Normative_Data!$A$2:$A$1000,$B16,Normative_Data!$B$2:$B$1000,$C16,Normative_Data!$E$2:$E$1000,$D16),"")</x:f>
        <x:v>4.82</x:v>
      </x:c>
      <x:c r="J16" s="18" t="n">
        <x:f>IF(OR($H16="",$I16=""),"",($H16-$I16)/$I16)</x:f>
        <x:v>0.0373443983402489</x:v>
      </x:c>
      <x:c r="K16" s="12" t="str">
        <x:f>IF(OR($H16="",$I16="",$F16=""),"",IF(ABS($J16)&lt;=0.05,"Equal to Norm",IF($F16="lower",IF($H16&lt;$I16,"Above Norm","Below Norm"),IF($H16&gt;$I16,"Above Norm","Below Norm"))))</x:f>
        <x:v>Equal to Norm</x:v>
      </x:c>
      <x:c r="L16" s="12" t="str">
        <x:f>IFERROR(VLOOKUP($D16&amp;"|"&amp;$K16,Recommendation_Lookup!$A$2:$H$19,2,FALSE),"")</x:f>
        <x:v>Improve braking and re-acceleration</x:v>
      </x:c>
      <x:c r="M16" s="12" t="str">
        <x:f>IFERROR(VLOOKUP($D16&amp;"|"&amp;$K16,Recommendation_Lookup!$A$2:$H$19,3,FALSE),"")</x:f>
        <x:v>Deceleration mechanics; foot placement; hip position; crossover efficiency</x:v>
      </x:c>
      <x:c r="N16" s="12" t="str">
        <x:f>IFERROR(VLOOKUP($D16&amp;"|"&amp;$K16,Recommendation_Lookup!$A$2:$H$19,4,FALSE),"")</x:f>
        <x:v>Use a structured change-of-direction block emphasizing braking positions, plant-foot control and efficient re-acceleration on both sides.</x:v>
      </x:c>
      <x:c r="O16" s="12" t="str">
        <x:f>IFERROR(VLOOKUP($D16&amp;"|"&amp;$K16,Recommendation_Lookup!$A$2:$H$19,5,FALSE),"")</x:f>
        <x:v>RVX Change of Direction Development</x:v>
      </x:c>
      <x:c r="P16" s="12" t="str">
        <x:f>IFERROR(VLOOKUP($D16&amp;"|"&amp;$K16,Recommendation_Lookup!$A$2:$H$19,6,FALSE),"")</x:f>
        <x:v>RVX Deceleration Mechanics</x:v>
      </x:c>
      <x:c r="Q16" s="12" t="str">
        <x:f>IFERROR(VLOOKUP($D16&amp;"|"&amp;$K16,Recommendation_Lookup!$A$2:$H$19,7,FALSE),"")</x:f>
        <x:v>Lower the centre of mass before the turn and push away from the plant.</x:v>
      </x:c>
      <x:c r="R16" s="12" t="str">
        <x:f>IFERROR(VLOOKUP($D16&amp;"|"&amp;$K16,Recommendation_Lookup!$A$2:$H$19,8,FALSE),"")</x:f>
        <x:v>Retest after 4–6 weeks and review directional splits if available.</x:v>
      </x:c>
      <x:c r="S16" s="12"/>
      <x:c r="T16" s="12"/>
      <x:c r="U16" s="12"/>
      <x:c r="V16" s="12"/>
      <x:c r="W16" s="12" t="str">
        <x:f>IF($S16&lt;&gt;"",$S16,$K16)</x:f>
        <x:v>Equal to Norm</x:v>
      </x:c>
      <x:c r="X16" s="12" t="str">
        <x:f>IF($T16&lt;&gt;"",$T16,$L16)</x:f>
        <x:v>Improve braking and re-acceleration</x:v>
      </x:c>
      <x:c r="Y16" s="12" t="str">
        <x:f>IF($U16&lt;&gt;"",$U16,$N16)</x:f>
        <x:v>Use a structured change-of-direction block emphasizing braking positions, plant-foot control and efficient re-acceleration on both sides.</x:v>
      </x:c>
      <x:c r="Z16" s="12" t="str">
        <x:f>IF($V16&lt;&gt;"",$V16,$O16)</x:f>
        <x:v>RVX Change of Direction Development</x:v>
      </x:c>
      <x:c r="AA16" s="12"/>
    </x:row>
    <x:row r="17">
      <x:c r="A17" s="12" t="str">
        <x:v>RVX-00003</x:v>
      </x:c>
      <x:c r="B17" s="12" t="str">
        <x:f>IFERROR(VLOOKUP($A17,Athlete_Profile!$A$2:$L$51,6,FALSE),"")</x:f>
        <x:v>Hockey</x:v>
      </x:c>
      <x:c r="C17" s="12" t="str">
        <x:f>IFERROR(VLOOKUP($A17,Athlete_Profile!$A$2:$L$51,5,FALSE),"")</x:f>
        <x:v>Female</x:v>
      </x:c>
      <x:c r="D17" s="12" t="str">
        <x:v>cmj_depth</x:v>
      </x:c>
      <x:c r="E17" s="12" t="str">
        <x:f>IFERROR(VLOOKUP($D17,Dropdown_Lists!$K$2:$N$7,2,FALSE),"")</x:f>
        <x:v>Countermovement Depth</x:v>
      </x:c>
      <x:c r="F17" s="12" t="str">
        <x:f>IFERROR(VLOOKUP($D17,Dropdown_Lists!$K$2:$N$7,3,FALSE),"")</x:f>
        <x:v>higher</x:v>
      </x:c>
      <x:c r="G17" s="17" t="n">
        <x:f>IFERROR(LOOKUP(2,1/((Performance_Metrics!$A$2:$A$3000=$A17)*(Performance_Metrics!$D$2:$D$3000=$D17)),Performance_Metrics!$C$2:$C$3000),"")</x:f>
        <x:v>46230</x:v>
      </x:c>
      <x:c r="H17" s="12" t="n">
        <x:f>IFERROR(LOOKUP(2,1/((Performance_Metrics!$A$2:$A$3000=$A17)*(Performance_Metrics!$D$2:$D$3000=$D17)),Performance_Metrics!$G$2:$G$3000),"")</x:f>
        <x:v>28</x:v>
      </x:c>
      <x:c r="I17" s="12" t="n">
        <x:f>IFERROR(SUMIFS(Normative_Data!$G$2:$G$1000,Normative_Data!$A$2:$A$1000,$B17,Normative_Data!$B$2:$B$1000,$C17,Normative_Data!$E$2:$E$1000,$D17),"")</x:f>
        <x:v>30</x:v>
      </x:c>
      <x:c r="J17" s="18" t="n">
        <x:f>IF(OR($H17="",$I17=""),"",($H17-$I17)/$I17)</x:f>
        <x:v>-0.06666666666666667</x:v>
      </x:c>
      <x:c r="K17" s="12" t="str">
        <x:f>IF(OR($H17="",$I17="",$F17=""),"",IF(ABS($J17)&lt;=0.05,"Equal to Norm",IF($F17="lower",IF($H17&lt;$I17,"Above Norm","Below Norm"),IF($H17&gt;$I17,"Above Norm","Below Norm"))))</x:f>
        <x:v>Below Norm</x:v>
      </x:c>
      <x:c r="L17" s="12" t="str">
        <x:f>IFERROR(VLOOKUP($D17&amp;"|"&amp;$K17,Recommendation_Lookup!$A$2:$H$19,2,FALSE),"")</x:f>
        <x:v>Develop usable countermovement range</x:v>
      </x:c>
      <x:c r="M17" s="12" t="str">
        <x:f>IFERROR(VLOOKUP($D17&amp;"|"&amp;$K17,Recommendation_Lookup!$A$2:$H$19,3,FALSE),"")</x:f>
        <x:v>Ankle mobility; hip mobility; eccentric strength; confidence; coordination</x:v>
      </x:c>
      <x:c r="N17" s="12" t="str">
        <x:f>IFERROR(VLOOKUP($D17&amp;"|"&amp;$K17,Recommendation_Lookup!$A$2:$H$19,4,FALSE),"")</x:f>
        <x:v>Improve controlled eccentric range and movement confidence. Use tempo squats, snap-downs and progressive countermovement jump practice without forcing artificial depth.</x:v>
      </x:c>
      <x:c r="O17" s="12" t="str">
        <x:f>IFERROR(VLOOKUP($D17&amp;"|"&amp;$K17,Recommendation_Lookup!$A$2:$H$19,5,FALSE),"")</x:f>
        <x:v>RVX Jump Foundations</x:v>
      </x:c>
      <x:c r="P17" s="12" t="str">
        <x:f>IFERROR(VLOOKUP($D17&amp;"|"&amp;$K17,Recommendation_Lookup!$A$2:$H$19,6,FALSE),"")</x:f>
        <x:v>RVX Mobility and Eccentric Control</x:v>
      </x:c>
      <x:c r="Q17" s="12" t="str">
        <x:f>IFERROR(VLOOKUP($D17&amp;"|"&amp;$K17,Recommendation_Lookup!$A$2:$H$19,7,FALSE),"")</x:f>
        <x:v>Create controlled depth first; speed up the reversal only when position is stable.</x:v>
      </x:c>
      <x:c r="R17" s="12" t="str">
        <x:f>IFERROR(VLOOKUP($D17&amp;"|"&amp;$K17,Recommendation_Lookup!$A$2:$H$19,8,FALSE),"")</x:f>
        <x:v>Retest after 4 weeks; confirm low depth is not an athlete-specific efficient strategy.</x:v>
      </x:c>
      <x:c r="S17" s="12"/>
      <x:c r="T17" s="12"/>
      <x:c r="U17" s="12"/>
      <x:c r="V17" s="12"/>
      <x:c r="W17" s="12" t="str">
        <x:f>IF($S17&lt;&gt;"",$S17,$K17)</x:f>
        <x:v>Below Norm</x:v>
      </x:c>
      <x:c r="X17" s="12" t="str">
        <x:f>IF($T17&lt;&gt;"",$T17,$L17)</x:f>
        <x:v>Develop usable countermovement range</x:v>
      </x:c>
      <x:c r="Y17" s="12" t="str">
        <x:f>IF($U17&lt;&gt;"",$U17,$N17)</x:f>
        <x:v>Improve controlled eccentric range and movement confidence. Use tempo squats, snap-downs and progressive countermovement jump practice without forcing artificial depth.</x:v>
      </x:c>
      <x:c r="Z17" s="12" t="str">
        <x:f>IF($V17&lt;&gt;"",$V17,$O17)</x:f>
        <x:v>RVX Jump Foundations</x:v>
      </x:c>
      <x:c r="AA17" s="12"/>
    </x:row>
    <x:row r="18">
      <x:c r="A18" s="12" t="str">
        <x:v>RVX-00003</x:v>
      </x:c>
      <x:c r="B18" s="12" t="str">
        <x:f>IFERROR(VLOOKUP($A18,Athlete_Profile!$A$2:$L$51,6,FALSE),"")</x:f>
        <x:v>Hockey</x:v>
      </x:c>
      <x:c r="C18" s="12" t="str">
        <x:f>IFERROR(VLOOKUP($A18,Athlete_Profile!$A$2:$L$51,5,FALSE),"")</x:f>
        <x:v>Female</x:v>
      </x:c>
      <x:c r="D18" s="12" t="str">
        <x:v>peak_force</x:v>
      </x:c>
      <x:c r="E18" s="12" t="str">
        <x:f>IFERROR(VLOOKUP($D18,Dropdown_Lists!$K$2:$N$7,2,FALSE),"")</x:f>
        <x:v>Peak Force</x:v>
      </x:c>
      <x:c r="F18" s="12" t="str">
        <x:f>IFERROR(VLOOKUP($D18,Dropdown_Lists!$K$2:$N$7,3,FALSE),"")</x:f>
        <x:v>higher</x:v>
      </x:c>
      <x:c r="G18" s="17" t="n">
        <x:f>IFERROR(LOOKUP(2,1/((Performance_Metrics!$A$2:$A$3000=$A18)*(Performance_Metrics!$D$2:$D$3000=$D18)),Performance_Metrics!$C$2:$C$3000),"")</x:f>
        <x:v>46230</x:v>
      </x:c>
      <x:c r="H18" s="12" t="n">
        <x:f>IFERROR(LOOKUP(2,1/((Performance_Metrics!$A$2:$A$3000=$A18)*(Performance_Metrics!$D$2:$D$3000=$D18)),Performance_Metrics!$G$2:$G$3000),"")</x:f>
        <x:v>1660</x:v>
      </x:c>
      <x:c r="I18" s="12" t="n">
        <x:f>IFERROR(SUMIFS(Normative_Data!$G$2:$G$1000,Normative_Data!$A$2:$A$1000,$B18,Normative_Data!$B$2:$B$1000,$C18,Normative_Data!$E$2:$E$1000,$D18),"")</x:f>
        <x:v>1750</x:v>
      </x:c>
      <x:c r="J18" s="18" t="n">
        <x:f>IF(OR($H18="",$I18=""),"",($H18-$I18)/$I18)</x:f>
        <x:v>-0.05142857142857143</x:v>
      </x:c>
      <x:c r="K18" s="12" t="str">
        <x:f>IF(OR($H18="",$I18="",$F18=""),"",IF(ABS($J18)&lt;=0.05,"Equal to Norm",IF($F18="lower",IF($H18&lt;$I18,"Above Norm","Below Norm"),IF($H18&gt;$I18,"Above Norm","Below Norm"))))</x:f>
        <x:v>Below Norm</x:v>
      </x:c>
      <x:c r="L18" s="12" t="str">
        <x:f>IFERROR(VLOOKUP($D18&amp;"|"&amp;$K18,Recommendation_Lookup!$A$2:$H$19,2,FALSE),"")</x:f>
        <x:v>Build foundational force production</x:v>
      </x:c>
      <x:c r="M18" s="12" t="str">
        <x:f>IFERROR(VLOOKUP($D18&amp;"|"&amp;$K18,Recommendation_Lookup!$A$2:$H$19,3,FALSE),"")</x:f>
        <x:v>Relative strength; technique; tendon capacity; trunk stability; unilateral strength</x:v>
      </x:c>
      <x:c r="N18" s="12" t="str">
        <x:f>IFERROR(VLOOKUP($D18&amp;"|"&amp;$K18,Recommendation_Lookup!$A$2:$H$19,4,FALSE),"")</x:f>
        <x:v>Prioritize foundational strength and positional competency. Use progressive resistance, isometrics and unilateral patterns before advanced power methods.</x:v>
      </x:c>
      <x:c r="O18" s="12" t="str">
        <x:f>IFERROR(VLOOKUP($D18&amp;"|"&amp;$K18,Recommendation_Lookup!$A$2:$H$19,5,FALSE),"")</x:f>
        <x:v>RVX Strength Foundations</x:v>
      </x:c>
      <x:c r="P18" s="12" t="str">
        <x:f>IFERROR(VLOOKUP($D18&amp;"|"&amp;$K18,Recommendation_Lookup!$A$2:$H$19,6,FALSE),"")</x:f>
        <x:v>RVX Lower-Body Capacity</x:v>
      </x:c>
      <x:c r="Q18" s="12" t="str">
        <x:f>IFERROR(VLOOKUP($D18&amp;"|"&amp;$K18,Recommendation_Lookup!$A$2:$H$19,7,FALSE),"")</x:f>
        <x:v>Own the position first, then increase force with consistent intent.</x:v>
      </x:c>
      <x:c r="R18" s="12" t="str">
        <x:f>IFERROR(VLOOKUP($D18&amp;"|"&amp;$K18,Recommendation_Lookup!$A$2:$H$19,8,FALSE),"")</x:f>
        <x:v>Retest after 4–6 weeks; review body-mass-relative force when possible.</x:v>
      </x:c>
      <x:c r="S18" s="12"/>
      <x:c r="T18" s="12"/>
      <x:c r="U18" s="12"/>
      <x:c r="V18" s="12"/>
      <x:c r="W18" s="12" t="str">
        <x:f>IF($S18&lt;&gt;"",$S18,$K18)</x:f>
        <x:v>Below Norm</x:v>
      </x:c>
      <x:c r="X18" s="12" t="str">
        <x:f>IF($T18&lt;&gt;"",$T18,$L18)</x:f>
        <x:v>Build foundational force production</x:v>
      </x:c>
      <x:c r="Y18" s="12" t="str">
        <x:f>IF($U18&lt;&gt;"",$U18,$N18)</x:f>
        <x:v>Prioritize foundational strength and positional competency. Use progressive resistance, isometrics and unilateral patterns before advanced power methods.</x:v>
      </x:c>
      <x:c r="Z18" s="12" t="str">
        <x:f>IF($V18&lt;&gt;"",$V18,$O18)</x:f>
        <x:v>RVX Strength Foundations</x:v>
      </x:c>
      <x:c r="AA18" s="12"/>
    </x:row>
    <x:row r="19">
      <x:c r="A19" s="12" t="str">
        <x:v>RVX-00003</x:v>
      </x:c>
      <x:c r="B19" s="12" t="str">
        <x:f>IFERROR(VLOOKUP($A19,Athlete_Profile!$A$2:$L$51,6,FALSE),"")</x:f>
        <x:v>Hockey</x:v>
      </x:c>
      <x:c r="C19" s="12" t="str">
        <x:f>IFERROR(VLOOKUP($A19,Athlete_Profile!$A$2:$L$51,5,FALSE),"")</x:f>
        <x:v>Female</x:v>
      </x:c>
      <x:c r="D19" s="12" t="str">
        <x:v>impulse</x:v>
      </x:c>
      <x:c r="E19" s="12" t="str">
        <x:f>IFERROR(VLOOKUP($D19,Dropdown_Lists!$K$2:$N$7,2,FALSE),"")</x:f>
        <x:v>Impulse-Momentum</x:v>
      </x:c>
      <x:c r="F19" s="12" t="str">
        <x:f>IFERROR(VLOOKUP($D19,Dropdown_Lists!$K$2:$N$7,3,FALSE),"")</x:f>
        <x:v>higher</x:v>
      </x:c>
      <x:c r="G19" s="17" t="n">
        <x:f>IFERROR(LOOKUP(2,1/((Performance_Metrics!$A$2:$A$3000=$A19)*(Performance_Metrics!$D$2:$D$3000=$D19)),Performance_Metrics!$C$2:$C$3000),"")</x:f>
        <x:v>46230</x:v>
      </x:c>
      <x:c r="H19" s="12" t="n">
        <x:f>IFERROR(LOOKUP(2,1/((Performance_Metrics!$A$2:$A$3000=$A19)*(Performance_Metrics!$D$2:$D$3000=$D19)),Performance_Metrics!$G$2:$G$3000),"")</x:f>
        <x:v>208.5</x:v>
      </x:c>
      <x:c r="I19" s="12" t="n">
        <x:f>IFERROR(SUMIFS(Normative_Data!$G$2:$G$1000,Normative_Data!$A$2:$A$1000,$B19,Normative_Data!$B$2:$B$1000,$C19,Normative_Data!$E$2:$E$1000,$D19),"")</x:f>
        <x:v>215</x:v>
      </x:c>
      <x:c r="J19" s="18" t="n">
        <x:f>IF(OR($H19="",$I19=""),"",($H19-$I19)/$I19)</x:f>
        <x:v>-0.030232558139534883</x:v>
      </x:c>
      <x:c r="K19" s="12" t="str">
        <x:f>IF(OR($H19="",$I19="",$F19=""),"",IF(ABS($J19)&lt;=0.05,"Equal to Norm",IF($F19="lower",IF($H19&lt;$I19,"Above Norm","Below Norm"),IF($H19&gt;$I19,"Above Norm","Below Norm"))))</x:f>
        <x:v>Equal to Norm</x:v>
      </x:c>
      <x:c r="L19" s="12" t="str">
        <x:f>IFERROR(VLOOKUP($D19&amp;"|"&amp;$K19,Recommendation_Lookup!$A$2:$H$19,2,FALSE),"")</x:f>
        <x:v>Improve force applied over time</x:v>
      </x:c>
      <x:c r="M19" s="12" t="str">
        <x:f>IFERROR(VLOOKUP($D19&amp;"|"&amp;$K19,Recommendation_Lookup!$A$2:$H$19,3,FALSE),"")</x:f>
        <x:v>Strength; countermovement strategy; intent; coordination; power</x:v>
      </x:c>
      <x:c r="N19" s="12" t="str">
        <x:f>IFERROR(VLOOKUP($D19&amp;"|"&amp;$K19,Recommendation_Lookup!$A$2:$H$19,4,FALSE),"")</x:f>
        <x:v>Use loaded jumps, isometrics and strength-power exercises that improve the athlete’s ability to produce and sustain force through the propulsion phase.</x:v>
      </x:c>
      <x:c r="O19" s="12" t="str">
        <x:f>IFERROR(VLOOKUP($D19&amp;"|"&amp;$K19,Recommendation_Lookup!$A$2:$H$19,5,FALSE),"")</x:f>
        <x:v>RVX Power Development</x:v>
      </x:c>
      <x:c r="P19" s="12" t="str">
        <x:f>IFERROR(VLOOKUP($D19&amp;"|"&amp;$K19,Recommendation_Lookup!$A$2:$H$19,6,FALSE),"")</x:f>
        <x:v>RVX Strength-Speed</x:v>
      </x:c>
      <x:c r="Q19" s="12" t="str">
        <x:f>IFERROR(VLOOKUP($D19&amp;"|"&amp;$K19,Recommendation_Lookup!$A$2:$H$19,7,FALSE),"")</x:f>
        <x:v>Apply force early and continue driving through take-off.</x:v>
      </x:c>
      <x:c r="R19" s="12" t="str">
        <x:f>IFERROR(VLOOKUP($D19&amp;"|"&amp;$K19,Recommendation_Lookup!$A$2:$H$19,8,FALSE),"")</x:f>
        <x:v>Retest after 4–6 weeks.</x:v>
      </x:c>
      <x:c r="S19" s="12"/>
      <x:c r="T19" s="12"/>
      <x:c r="U19" s="12"/>
      <x:c r="V19" s="12"/>
      <x:c r="W19" s="12" t="str">
        <x:f>IF($S19&lt;&gt;"",$S19,$K19)</x:f>
        <x:v>Equal to Norm</x:v>
      </x:c>
      <x:c r="X19" s="12" t="str">
        <x:f>IF($T19&lt;&gt;"",$T19,$L19)</x:f>
        <x:v>Improve force applied over time</x:v>
      </x:c>
      <x:c r="Y19" s="12" t="str">
        <x:f>IF($U19&lt;&gt;"",$U19,$N19)</x:f>
        <x:v>Use loaded jumps, isometrics and strength-power exercises that improve the athlete’s ability to produce and sustain force through the propulsion phase.</x:v>
      </x:c>
      <x:c r="Z19" s="12" t="str">
        <x:f>IF($V19&lt;&gt;"",$V19,$O19)</x:f>
        <x:v>RVX Power Development</x:v>
      </x:c>
      <x:c r="AA19" s="12"/>
    </x:row>
    <x:row r="20">
      <x:c r="A20" s="12" t="str">
        <x:v>RVX-00004</x:v>
      </x:c>
      <x:c r="B20" s="12" t="str">
        <x:f>IFERROR(VLOOKUP($A20,Athlete_Profile!$A$2:$L$51,6,FALSE),"")</x:f>
        <x:v>Hockey</x:v>
      </x:c>
      <x:c r="C20" s="12" t="str">
        <x:f>IFERROR(VLOOKUP($A20,Athlete_Profile!$A$2:$L$51,5,FALSE),"")</x:f>
        <x:v>Male</x:v>
      </x:c>
      <x:c r="D20" s="12" t="str">
        <x:v>sprint_5m</x:v>
      </x:c>
      <x:c r="E20" s="12" t="str">
        <x:f>IFERROR(VLOOKUP($D20,Dropdown_Lists!$K$2:$N$7,2,FALSE),"")</x:f>
        <x:v>5m Sprint</x:v>
      </x:c>
      <x:c r="F20" s="12" t="str">
        <x:f>IFERROR(VLOOKUP($D20,Dropdown_Lists!$K$2:$N$7,3,FALSE),"")</x:f>
        <x:v>lower</x:v>
      </x:c>
      <x:c r="G20" s="17" t="n">
        <x:f>IFERROR(LOOKUP(2,1/((Performance_Metrics!$A$2:$A$3000=$A20)*(Performance_Metrics!$D$2:$D$3000=$D20)),Performance_Metrics!$C$2:$C$3000),"")</x:f>
        <x:v>46230</x:v>
      </x:c>
      <x:c r="H20" s="12" t="n">
        <x:f>IFERROR(LOOKUP(2,1/((Performance_Metrics!$A$2:$A$3000=$A20)*(Performance_Metrics!$D$2:$D$3000=$D20)),Performance_Metrics!$G$2:$G$3000),"")</x:f>
        <x:v>0.9</x:v>
      </x:c>
      <x:c r="I20" s="12" t="n">
        <x:f>IFERROR(SUMIFS(Normative_Data!$G$2:$G$1000,Normative_Data!$A$2:$A$1000,$B20,Normative_Data!$B$2:$B$1000,$C20,Normative_Data!$E$2:$E$1000,$D20),"")</x:f>
        <x:v>1.08</x:v>
      </x:c>
      <x:c r="J20" s="18" t="n">
        <x:f>IF(OR($H20="",$I20=""),"",($H20-$I20)/$I20)</x:f>
        <x:v>-0.1666666666666667</x:v>
      </x:c>
      <x:c r="K20" s="12" t="str">
        <x:f>IF(OR($H20="",$I20="",$F20=""),"",IF(ABS($J20)&lt;=0.05,"Equal to Norm",IF($F20="lower",IF($H20&lt;$I20,"Above Norm","Below Norm"),IF($H20&gt;$I20,"Above Norm","Below Norm"))))</x:f>
        <x:v>Above Norm</x:v>
      </x:c>
      <x:c r="L20" s="12" t="str">
        <x:f>IFERROR(VLOOKUP($D20&amp;"|"&amp;$K20,Recommendation_Lookup!$A$2:$H$19,2,FALSE),"")</x:f>
        <x:v>Maintain first-step explosiveness</x:v>
      </x:c>
      <x:c r="M20" s="12" t="str">
        <x:f>IFERROR(VLOOKUP($D20&amp;"|"&amp;$K20,Recommendation_Lookup!$A$2:$H$19,3,FALSE),"")</x:f>
        <x:v>Start consistency; projection angle; horizontal force; reaction quality</x:v>
      </x:c>
      <x:c r="N20" s="12" t="str">
        <x:f>IFERROR(VLOOKUP($D20&amp;"|"&amp;$K20,Recommendation_Lookup!$A$2:$H$19,4,FALSE),"")</x:f>
        <x:v>Maintain speed with low-volume, high-quality acceleration exposures. Avoid unnecessary volume that could reduce sprint quality. Progress through resisted and reactive starts while preserving mechanics.</x:v>
      </x:c>
      <x:c r="O20" s="12" t="str">
        <x:f>IFERROR(VLOOKUP($D20&amp;"|"&amp;$K20,Recommendation_Lookup!$A$2:$H$19,5,FALSE),"")</x:f>
        <x:v>RVX Advanced Acceleration</x:v>
      </x:c>
      <x:c r="P20" s="12" t="str">
        <x:f>IFERROR(VLOOKUP($D20&amp;"|"&amp;$K20,Recommendation_Lookup!$A$2:$H$19,6,FALSE),"")</x:f>
        <x:v>RVX Explosive Starts Microdose</x:v>
      </x:c>
      <x:c r="Q20" s="12" t="str">
        <x:f>IFERROR(VLOOKUP($D20&amp;"|"&amp;$K20,Recommendation_Lookup!$A$2:$H$19,7,FALSE),"")</x:f>
        <x:v>Project forward, push the ground back, and win the first three steps.</x:v>
      </x:c>
      <x:c r="R20" s="12" t="str">
        <x:f>IFERROR(VLOOKUP($D20&amp;"|"&amp;$K20,Recommendation_Lookup!$A$2:$H$19,8,FALSE),"")</x:f>
        <x:v>Retest every 6–8 weeks or after a dedicated acceleration block.</x:v>
      </x:c>
      <x:c r="S20" s="12"/>
      <x:c r="T20" s="12"/>
      <x:c r="U20" s="12"/>
      <x:c r="V20" s="12"/>
      <x:c r="W20" s="12" t="str">
        <x:f>IF($S20&lt;&gt;"",$S20,$K20)</x:f>
        <x:v>Above Norm</x:v>
      </x:c>
      <x:c r="X20" s="12" t="str">
        <x:f>IF($T20&lt;&gt;"",$T20,$L20)</x:f>
        <x:v>Maintain first-step explosiveness</x:v>
      </x:c>
      <x:c r="Y20" s="12" t="str">
        <x:f>IF($U20&lt;&gt;"",$U20,$N20)</x:f>
        <x:v>Maintain speed with low-volume, high-quality acceleration exposures. Avoid unnecessary volume that could reduce sprint quality. Progress through resisted and reactive starts while preserving mechanics.</x:v>
      </x:c>
      <x:c r="Z20" s="12" t="str">
        <x:f>IF($V20&lt;&gt;"",$V20,$O20)</x:f>
        <x:v>RVX Advanced Acceleration</x:v>
      </x:c>
      <x:c r="AA20" s="12"/>
    </x:row>
    <x:row r="21">
      <x:c r="A21" s="12" t="str">
        <x:v>RVX-00004</x:v>
      </x:c>
      <x:c r="B21" s="12" t="str">
        <x:f>IFERROR(VLOOKUP($A21,Athlete_Profile!$A$2:$L$51,6,FALSE),"")</x:f>
        <x:v>Hockey</x:v>
      </x:c>
      <x:c r="C21" s="12" t="str">
        <x:f>IFERROR(VLOOKUP($A21,Athlete_Profile!$A$2:$L$51,5,FALSE),"")</x:f>
        <x:v>Male</x:v>
      </x:c>
      <x:c r="D21" s="12" t="str">
        <x:v>sprint_10m</x:v>
      </x:c>
      <x:c r="E21" s="12" t="str">
        <x:f>IFERROR(VLOOKUP($D21,Dropdown_Lists!$K$2:$N$7,2,FALSE),"")</x:f>
        <x:v>10m Sprint</x:v>
      </x:c>
      <x:c r="F21" s="12" t="str">
        <x:f>IFERROR(VLOOKUP($D21,Dropdown_Lists!$K$2:$N$7,3,FALSE),"")</x:f>
        <x:v>lower</x:v>
      </x:c>
      <x:c r="G21" s="17" t="n">
        <x:f>IFERROR(LOOKUP(2,1/((Performance_Metrics!$A$2:$A$3000=$A21)*(Performance_Metrics!$D$2:$D$3000=$D21)),Performance_Metrics!$C$2:$C$3000),"")</x:f>
        <x:v>46230</x:v>
      </x:c>
      <x:c r="H21" s="12" t="n">
        <x:f>IFERROR(LOOKUP(2,1/((Performance_Metrics!$A$2:$A$3000=$A21)*(Performance_Metrics!$D$2:$D$3000=$D21)),Performance_Metrics!$G$2:$G$3000),"")</x:f>
        <x:v>1.5</x:v>
      </x:c>
      <x:c r="I21" s="12" t="n">
        <x:f>IFERROR(SUMIFS(Normative_Data!$G$2:$G$1000,Normative_Data!$A$2:$A$1000,$B21,Normative_Data!$B$2:$B$1000,$C21,Normative_Data!$E$2:$E$1000,$D21),"")</x:f>
        <x:v>1.8</x:v>
      </x:c>
      <x:c r="J21" s="18" t="n">
        <x:f>IF(OR($H21="",$I21=""),"",($H21-$I21)/$I21)</x:f>
        <x:v>-0.16666666666666669</x:v>
      </x:c>
      <x:c r="K21" s="12" t="str">
        <x:f>IF(OR($H21="",$I21="",$F21=""),"",IF(ABS($J21)&lt;=0.05,"Equal to Norm",IF($F21="lower",IF($H21&lt;$I21,"Above Norm","Below Norm"),IF($H21&gt;$I21,"Above Norm","Below Norm"))))</x:f>
        <x:v>Above Norm</x:v>
      </x:c>
      <x:c r="L21" s="12" t="str">
        <x:f>IFERROR(VLOOKUP($D21&amp;"|"&amp;$K21,Recommendation_Lookup!$A$2:$H$19,2,FALSE),"")</x:f>
        <x:v>Maintain acceleration through 10 m</x:v>
      </x:c>
      <x:c r="M21" s="12" t="str">
        <x:f>IFERROR(VLOOKUP($D21&amp;"|"&amp;$K21,Recommendation_Lookup!$A$2:$H$19,3,FALSE),"")</x:f>
        <x:v>Transition mechanics; stride rhythm; stiffness; repeatability</x:v>
      </x:c>
      <x:c r="N21" s="12" t="str">
        <x:f>IFERROR(VLOOKUP($D21&amp;"|"&amp;$K21,Recommendation_Lookup!$A$2:$H$19,4,FALSE),"")</x:f>
        <x:v>Maintain one to two weekly high-quality acceleration exposures. Add varied starts and light resistance while monitoring consistency across trials.</x:v>
      </x:c>
      <x:c r="O21" s="12" t="str">
        <x:f>IFERROR(VLOOKUP($D21&amp;"|"&amp;$K21,Recommendation_Lookup!$A$2:$H$19,5,FALSE),"")</x:f>
        <x:v>RVX Advanced Acceleration</x:v>
      </x:c>
      <x:c r="P21" s="12" t="str">
        <x:f>IFERROR(VLOOKUP($D21&amp;"|"&amp;$K21,Recommendation_Lookup!$A$2:$H$19,6,FALSE),"")</x:f>
        <x:v>RVX Speed Maintenance Microdose</x:v>
      </x:c>
      <x:c r="Q21" s="12" t="str">
        <x:f>IFERROR(VLOOKUP($D21&amp;"|"&amp;$K21,Recommendation_Lookup!$A$2:$H$19,7,FALSE),"")</x:f>
        <x:v>Stay patient through acceleration and keep pushing behind the body.</x:v>
      </x:c>
      <x:c r="R21" s="12" t="str">
        <x:f>IFERROR(VLOOKUP($D21&amp;"|"&amp;$K21,Recommendation_Lookup!$A$2:$H$19,8,FALSE),"")</x:f>
        <x:v>Retest every 6–8 weeks or after a speed block.</x:v>
      </x:c>
      <x:c r="S21" s="12"/>
      <x:c r="T21" s="12"/>
      <x:c r="U21" s="12"/>
      <x:c r="V21" s="12"/>
      <x:c r="W21" s="12" t="str">
        <x:f>IF($S21&lt;&gt;"",$S21,$K21)</x:f>
        <x:v>Above Norm</x:v>
      </x:c>
      <x:c r="X21" s="12" t="str">
        <x:f>IF($T21&lt;&gt;"",$T21,$L21)</x:f>
        <x:v>Maintain acceleration through 10 m</x:v>
      </x:c>
      <x:c r="Y21" s="12" t="str">
        <x:f>IF($U21&lt;&gt;"",$U21,$N21)</x:f>
        <x:v>Maintain one to two weekly high-quality acceleration exposures. Add varied starts and light resistance while monitoring consistency across trials.</x:v>
      </x:c>
      <x:c r="Z21" s="12" t="str">
        <x:f>IF($V21&lt;&gt;"",$V21,$O21)</x:f>
        <x:v>RVX Advanced Acceleration</x:v>
      </x:c>
      <x:c r="AA21" s="12"/>
    </x:row>
    <x:row r="22">
      <x:c r="A22" s="12" t="str">
        <x:v>RVX-00004</x:v>
      </x:c>
      <x:c r="B22" s="12" t="str">
        <x:f>IFERROR(VLOOKUP($A22,Athlete_Profile!$A$2:$L$51,6,FALSE),"")</x:f>
        <x:v>Hockey</x:v>
      </x:c>
      <x:c r="C22" s="12" t="str">
        <x:f>IFERROR(VLOOKUP($A22,Athlete_Profile!$A$2:$L$51,5,FALSE),"")</x:f>
        <x:v>Male</x:v>
      </x:c>
      <x:c r="D22" s="12" t="str">
        <x:v>pro_agility</x:v>
      </x:c>
      <x:c r="E22" s="12" t="str">
        <x:f>IFERROR(VLOOKUP($D22,Dropdown_Lists!$K$2:$N$7,2,FALSE),"")</x:f>
        <x:v>5-10-5 Pro Agility</x:v>
      </x:c>
      <x:c r="F22" s="12" t="str">
        <x:f>IFERROR(VLOOKUP($D22,Dropdown_Lists!$K$2:$N$7,3,FALSE),"")</x:f>
        <x:v>lower</x:v>
      </x:c>
      <x:c r="G22" s="17" t="n">
        <x:f>IFERROR(LOOKUP(2,1/((Performance_Metrics!$A$2:$A$3000=$A22)*(Performance_Metrics!$D$2:$D$3000=$D22)),Performance_Metrics!$C$2:$C$3000),"")</x:f>
        <x:v>46230</x:v>
      </x:c>
      <x:c r="H22" s="12" t="n">
        <x:f>IFERROR(LOOKUP(2,1/((Performance_Metrics!$A$2:$A$3000=$A22)*(Performance_Metrics!$D$2:$D$3000=$D22)),Performance_Metrics!$G$2:$G$3000),"")</x:f>
        <x:v>3.81</x:v>
      </x:c>
      <x:c r="I22" s="12" t="n">
        <x:f>IFERROR(SUMIFS(Normative_Data!$G$2:$G$1000,Normative_Data!$A$2:$A$1000,$B22,Normative_Data!$B$2:$B$1000,$C22,Normative_Data!$E$2:$E$1000,$D22),"")</x:f>
        <x:v>4.63</x:v>
      </x:c>
      <x:c r="J22" s="18" t="n">
        <x:f>IF(OR($H22="",$I22=""),"",($H22-$I22)/$I22)</x:f>
        <x:v>-0.17710583153347728</x:v>
      </x:c>
      <x:c r="K22" s="12" t="str">
        <x:f>IF(OR($H22="",$I22="",$F22=""),"",IF(ABS($J22)&lt;=0.05,"Equal to Norm",IF($F22="lower",IF($H22&lt;$I22,"Above Norm","Below Norm"),IF($H22&gt;$I22,"Above Norm","Below Norm"))))</x:f>
        <x:v>Above Norm</x:v>
      </x:c>
      <x:c r="L22" s="12" t="str">
        <x:f>IFERROR(VLOOKUP($D22&amp;"|"&amp;$K22,Recommendation_Lookup!$A$2:$H$19,2,FALSE),"")</x:f>
        <x:v>Maintain change-of-direction performance</x:v>
      </x:c>
      <x:c r="M22" s="12" t="str">
        <x:f>IFERROR(VLOOKUP($D22&amp;"|"&amp;$K22,Recommendation_Lookup!$A$2:$H$19,3,FALSE),"")</x:f>
        <x:v>Reactive decision-making; braking tolerance; bilateral symmetry; movement variability</x:v>
      </x:c>
      <x:c r="N22" s="12" t="str">
        <x:f>IFERROR(VLOOKUP($D22&amp;"|"&amp;$K22,Recommendation_Lookup!$A$2:$H$19,4,FALSE),"")</x:f>
        <x:v>Maintain planned change-of-direction work and progress toward reactive agility. Use low-volume, high-quality exposures with multiple starting and turning strategies.</x:v>
      </x:c>
      <x:c r="O22" s="12" t="str">
        <x:f>IFERROR(VLOOKUP($D22&amp;"|"&amp;$K22,Recommendation_Lookup!$A$2:$H$19,5,FALSE),"")</x:f>
        <x:v>RVX Advanced Change of Direction</x:v>
      </x:c>
      <x:c r="P22" s="12" t="str">
        <x:f>IFERROR(VLOOKUP($D22&amp;"|"&amp;$K22,Recommendation_Lookup!$A$2:$H$19,6,FALSE),"")</x:f>
        <x:v>RVX Reactive Agility</x:v>
      </x:c>
      <x:c r="Q22" s="12" t="str">
        <x:f>IFERROR(VLOOKUP($D22&amp;"|"&amp;$K22,Recommendation_Lookup!$A$2:$H$19,7,FALSE),"")</x:f>
        <x:v>Brake under control, own the plant and accelerate out immediately.</x:v>
      </x:c>
      <x:c r="R22" s="12" t="str">
        <x:f>IFERROR(VLOOKUP($D22&amp;"|"&amp;$K22,Recommendation_Lookup!$A$2:$H$19,8,FALSE),"")</x:f>
        <x:v>Retest every 6–8 weeks with left and right trial review.</x:v>
      </x:c>
      <x:c r="S22" s="12"/>
      <x:c r="T22" s="12"/>
      <x:c r="U22" s="12"/>
      <x:c r="V22" s="12"/>
      <x:c r="W22" s="12" t="str">
        <x:f>IF($S22&lt;&gt;"",$S22,$K22)</x:f>
        <x:v>Above Norm</x:v>
      </x:c>
      <x:c r="X22" s="12" t="str">
        <x:f>IF($T22&lt;&gt;"",$T22,$L22)</x:f>
        <x:v>Maintain change-of-direction performance</x:v>
      </x:c>
      <x:c r="Y22" s="12" t="str">
        <x:f>IF($U22&lt;&gt;"",$U22,$N22)</x:f>
        <x:v>Maintain planned change-of-direction work and progress toward reactive agility. Use low-volume, high-quality exposures with multiple starting and turning strategies.</x:v>
      </x:c>
      <x:c r="Z22" s="12" t="str">
        <x:f>IF($V22&lt;&gt;"",$V22,$O22)</x:f>
        <x:v>RVX Advanced Change of Direction</x:v>
      </x:c>
      <x:c r="AA22" s="12"/>
    </x:row>
    <x:row r="23">
      <x:c r="A23" s="12" t="str">
        <x:v>RVX-00004</x:v>
      </x:c>
      <x:c r="B23" s="12" t="str">
        <x:f>IFERROR(VLOOKUP($A23,Athlete_Profile!$A$2:$L$51,6,FALSE),"")</x:f>
        <x:v>Hockey</x:v>
      </x:c>
      <x:c r="C23" s="12" t="str">
        <x:f>IFERROR(VLOOKUP($A23,Athlete_Profile!$A$2:$L$51,5,FALSE),"")</x:f>
        <x:v>Male</x:v>
      </x:c>
      <x:c r="D23" s="12" t="str">
        <x:v>cmj_depth</x:v>
      </x:c>
      <x:c r="E23" s="12" t="str">
        <x:f>IFERROR(VLOOKUP($D23,Dropdown_Lists!$K$2:$N$7,2,FALSE),"")</x:f>
        <x:v>Countermovement Depth</x:v>
      </x:c>
      <x:c r="F23" s="12" t="str">
        <x:f>IFERROR(VLOOKUP($D23,Dropdown_Lists!$K$2:$N$7,3,FALSE),"")</x:f>
        <x:v>higher</x:v>
      </x:c>
      <x:c r="G23" s="17" t="n">
        <x:f>IFERROR(LOOKUP(2,1/((Performance_Metrics!$A$2:$A$3000=$A23)*(Performance_Metrics!$D$2:$D$3000=$D23)),Performance_Metrics!$C$2:$C$3000),"")</x:f>
        <x:v>46230</x:v>
      </x:c>
      <x:c r="H23" s="12" t="n">
        <x:f>IFERROR(LOOKUP(2,1/((Performance_Metrics!$A$2:$A$3000=$A23)*(Performance_Metrics!$D$2:$D$3000=$D23)),Performance_Metrics!$G$2:$G$3000),"")</x:f>
        <x:v>37.6</x:v>
      </x:c>
      <x:c r="I23" s="12" t="n">
        <x:f>IFERROR(SUMIFS(Normative_Data!$G$2:$G$1000,Normative_Data!$A$2:$A$1000,$B23,Normative_Data!$B$2:$B$1000,$C23,Normative_Data!$E$2:$E$1000,$D23),"")</x:f>
        <x:v>33</x:v>
      </x:c>
      <x:c r="J23" s="18" t="n">
        <x:f>IF(OR($H23="",$I23=""),"",($H23-$I23)/$I23)</x:f>
        <x:v>0.13939393939393943</x:v>
      </x:c>
      <x:c r="K23" s="12" t="str">
        <x:f>IF(OR($H23="",$I23="",$F23=""),"",IF(ABS($J23)&lt;=0.05,"Equal to Norm",IF($F23="lower",IF($H23&lt;$I23,"Above Norm","Below Norm"),IF($H23&gt;$I23,"Above Norm","Below Norm"))))</x:f>
        <x:v>Above Norm</x:v>
      </x:c>
      <x:c r="L23" s="12" t="str">
        <x:f>IFERROR(VLOOKUP($D23&amp;"|"&amp;$K23,Recommendation_Lookup!$A$2:$H$19,2,FALSE),"")</x:f>
        <x:v>Maintain effective countermovement strategy</x:v>
      </x:c>
      <x:c r="M23" s="12" t="str">
        <x:f>IFERROR(VLOOKUP($D23&amp;"|"&amp;$K23,Recommendation_Lookup!$A$2:$H$19,3,FALSE),"")</x:f>
        <x:v>Movement efficiency; eccentric control; jump consistency; depth-to-output relationship</x:v>
      </x:c>
      <x:c r="N23" s="12" t="str">
        <x:f>IFERROR(VLOOKUP($D23&amp;"|"&amp;$K23,Recommendation_Lookup!$A$2:$H$19,4,FALSE),"")</x:f>
        <x:v>Maintain the athlete’s preferred countermovement strategy while ensuring the additional depth contributes to force and impulse rather than excessive movement time.</x:v>
      </x:c>
      <x:c r="O23" s="12" t="str">
        <x:f>IFERROR(VLOOKUP($D23&amp;"|"&amp;$K23,Recommendation_Lookup!$A$2:$H$19,5,FALSE),"")</x:f>
        <x:v>RVX Jump Performance Advanced</x:v>
      </x:c>
      <x:c r="P23" s="12" t="str">
        <x:f>IFERROR(VLOOKUP($D23&amp;"|"&amp;$K23,Recommendation_Lookup!$A$2:$H$19,6,FALSE),"")</x:f>
        <x:v>RVX Eccentric Strength Microdose</x:v>
      </x:c>
      <x:c r="Q23" s="12" t="str">
        <x:f>IFERROR(VLOOKUP($D23&amp;"|"&amp;$K23,Recommendation_Lookup!$A$2:$H$19,7,FALSE),"")</x:f>
        <x:v>Use the depth you can control, then reverse quickly and aggressively.</x:v>
      </x:c>
      <x:c r="R23" s="12" t="str">
        <x:f>IFERROR(VLOOKUP($D23&amp;"|"&amp;$K23,Recommendation_Lookup!$A$2:$H$19,8,FALSE),"")</x:f>
        <x:v>Retest every 6–8 weeks while monitoring jump height and contraction time.</x:v>
      </x:c>
      <x:c r="S23" s="12"/>
      <x:c r="T23" s="12"/>
      <x:c r="U23" s="12"/>
      <x:c r="V23" s="12"/>
      <x:c r="W23" s="12" t="str">
        <x:f>IF($S23&lt;&gt;"",$S23,$K23)</x:f>
        <x:v>Above Norm</x:v>
      </x:c>
      <x:c r="X23" s="12" t="str">
        <x:f>IF($T23&lt;&gt;"",$T23,$L23)</x:f>
        <x:v>Maintain effective countermovement strategy</x:v>
      </x:c>
      <x:c r="Y23" s="12" t="str">
        <x:f>IF($U23&lt;&gt;"",$U23,$N23)</x:f>
        <x:v>Maintain the athlete’s preferred countermovement strategy while ensuring the additional depth contributes to force and impulse rather than excessive movement time.</x:v>
      </x:c>
      <x:c r="Z23" s="12" t="str">
        <x:f>IF($V23&lt;&gt;"",$V23,$O23)</x:f>
        <x:v>RVX Jump Performance Advanced</x:v>
      </x:c>
      <x:c r="AA23" s="12"/>
    </x:row>
    <x:row r="24">
      <x:c r="A24" s="12" t="str">
        <x:v>RVX-00004</x:v>
      </x:c>
      <x:c r="B24" s="12" t="str">
        <x:f>IFERROR(VLOOKUP($A24,Athlete_Profile!$A$2:$L$51,6,FALSE),"")</x:f>
        <x:v>Hockey</x:v>
      </x:c>
      <x:c r="C24" s="12" t="str">
        <x:f>IFERROR(VLOOKUP($A24,Athlete_Profile!$A$2:$L$51,5,FALSE),"")</x:f>
        <x:v>Male</x:v>
      </x:c>
      <x:c r="D24" s="12" t="str">
        <x:v>peak_force</x:v>
      </x:c>
      <x:c r="E24" s="12" t="str">
        <x:f>IFERROR(VLOOKUP($D24,Dropdown_Lists!$K$2:$N$7,2,FALSE),"")</x:f>
        <x:v>Peak Force</x:v>
      </x:c>
      <x:c r="F24" s="12" t="str">
        <x:f>IFERROR(VLOOKUP($D24,Dropdown_Lists!$K$2:$N$7,3,FALSE),"")</x:f>
        <x:v>higher</x:v>
      </x:c>
      <x:c r="G24" s="17" t="n">
        <x:f>IFERROR(LOOKUP(2,1/((Performance_Metrics!$A$2:$A$3000=$A24)*(Performance_Metrics!$D$2:$D$3000=$D24)),Performance_Metrics!$C$2:$C$3000),"")</x:f>
        <x:v>46230</x:v>
      </x:c>
      <x:c r="H24" s="12" t="n">
        <x:f>IFERROR(LOOKUP(2,1/((Performance_Metrics!$A$2:$A$3000=$A24)*(Performance_Metrics!$D$2:$D$3000=$D24)),Performance_Metrics!$G$2:$G$3000),"")</x:f>
        <x:v>2188</x:v>
      </x:c>
      <x:c r="I24" s="12" t="n">
        <x:f>IFERROR(SUMIFS(Normative_Data!$G$2:$G$1000,Normative_Data!$A$2:$A$1000,$B24,Normative_Data!$B$2:$B$1000,$C24,Normative_Data!$E$2:$E$1000,$D24),"")</x:f>
        <x:v>1925</x:v>
      </x:c>
      <x:c r="J24" s="18" t="n">
        <x:f>IF(OR($H24="",$I24=""),"",($H24-$I24)/$I24)</x:f>
        <x:v>0.13662337662337662</x:v>
      </x:c>
      <x:c r="K24" s="12" t="str">
        <x:f>IF(OR($H24="",$I24="",$F24=""),"",IF(ABS($J24)&lt;=0.05,"Equal to Norm",IF($F24="lower",IF($H24&lt;$I24,"Above Norm","Below Norm"),IF($H24&gt;$I24,"Above Norm","Below Norm"))))</x:f>
        <x:v>Above Norm</x:v>
      </x:c>
      <x:c r="L24" s="12" t="str">
        <x:f>IFERROR(VLOOKUP($D24&amp;"|"&amp;$K24,Recommendation_Lookup!$A$2:$H$19,2,FALSE),"")</x:f>
        <x:v>Maintain maximal force qualities</x:v>
      </x:c>
      <x:c r="M24" s="12" t="str">
        <x:f>IFERROR(VLOOKUP($D24&amp;"|"&amp;$K24,Recommendation_Lookup!$A$2:$H$19,3,FALSE),"")</x:f>
        <x:v>Force application speed; asymmetry; fatigue management; sport transfer</x:v>
      </x:c>
      <x:c r="N24" s="12" t="str">
        <x:f>IFERROR(VLOOKUP($D24&amp;"|"&amp;$K24,Recommendation_Lookup!$A$2:$H$19,4,FALSE),"")</x:f>
        <x:v>Maintain maximal force with low-volume strength exposure while shifting selected work toward power and sport-specific application. Monitor asymmetry and fatigue.</x:v>
      </x:c>
      <x:c r="O24" s="12" t="str">
        <x:f>IFERROR(VLOOKUP($D24&amp;"|"&amp;$K24,Recommendation_Lookup!$A$2:$H$19,5,FALSE),"")</x:f>
        <x:v>RVX Advanced Strength-Power</x:v>
      </x:c>
      <x:c r="P24" s="12" t="str">
        <x:f>IFERROR(VLOOKUP($D24&amp;"|"&amp;$K24,Recommendation_Lookup!$A$2:$H$19,6,FALSE),"")</x:f>
        <x:v>RVX Force Maintenance Microdose</x:v>
      </x:c>
      <x:c r="Q24" s="12" t="str">
        <x:f>IFERROR(VLOOKUP($D24&amp;"|"&amp;$K24,Recommendation_Lookup!$A$2:$H$19,7,FALSE),"")</x:f>
        <x:v>Produce high force without losing position or movement speed.</x:v>
      </x:c>
      <x:c r="R24" s="12" t="str">
        <x:f>IFERROR(VLOOKUP($D24&amp;"|"&amp;$K24,Recommendation_Lookup!$A$2:$H$19,8,FALSE),"")</x:f>
        <x:v>Retest every 6–8 weeks or following a strength-power phase.</x:v>
      </x:c>
      <x:c r="S24" s="12"/>
      <x:c r="T24" s="12"/>
      <x:c r="U24" s="12"/>
      <x:c r="V24" s="12"/>
      <x:c r="W24" s="12" t="str">
        <x:f>IF($S24&lt;&gt;"",$S24,$K24)</x:f>
        <x:v>Above Norm</x:v>
      </x:c>
      <x:c r="X24" s="12" t="str">
        <x:f>IF($T24&lt;&gt;"",$T24,$L24)</x:f>
        <x:v>Maintain maximal force qualities</x:v>
      </x:c>
      <x:c r="Y24" s="12" t="str">
        <x:f>IF($U24&lt;&gt;"",$U24,$N24)</x:f>
        <x:v>Maintain maximal force with low-volume strength exposure while shifting selected work toward power and sport-specific application. Monitor asymmetry and fatigue.</x:v>
      </x:c>
      <x:c r="Z24" s="12" t="str">
        <x:f>IF($V24&lt;&gt;"",$V24,$O24)</x:f>
        <x:v>RVX Advanced Strength-Power</x:v>
      </x:c>
      <x:c r="AA24" s="12"/>
    </x:row>
    <x:row r="25">
      <x:c r="A25" s="12" t="str">
        <x:v>RVX-00004</x:v>
      </x:c>
      <x:c r="B25" s="12" t="str">
        <x:f>IFERROR(VLOOKUP($A25,Athlete_Profile!$A$2:$L$51,6,FALSE),"")</x:f>
        <x:v>Hockey</x:v>
      </x:c>
      <x:c r="C25" s="12" t="str">
        <x:f>IFERROR(VLOOKUP($A25,Athlete_Profile!$A$2:$L$51,5,FALSE),"")</x:f>
        <x:v>Male</x:v>
      </x:c>
      <x:c r="D25" s="12" t="str">
        <x:v>impulse</x:v>
      </x:c>
      <x:c r="E25" s="12" t="str">
        <x:f>IFERROR(VLOOKUP($D25,Dropdown_Lists!$K$2:$N$7,2,FALSE),"")</x:f>
        <x:v>Impulse-Momentum</x:v>
      </x:c>
      <x:c r="F25" s="12" t="str">
        <x:f>IFERROR(VLOOKUP($D25,Dropdown_Lists!$K$2:$N$7,3,FALSE),"")</x:f>
        <x:v>higher</x:v>
      </x:c>
      <x:c r="G25" s="17" t="n">
        <x:f>IFERROR(LOOKUP(2,1/((Performance_Metrics!$A$2:$A$3000=$A25)*(Performance_Metrics!$D$2:$D$3000=$D25)),Performance_Metrics!$C$2:$C$3000),"")</x:f>
        <x:v>46230</x:v>
      </x:c>
      <x:c r="H25" s="12" t="n">
        <x:f>IFERROR(LOOKUP(2,1/((Performance_Metrics!$A$2:$A$3000=$A25)*(Performance_Metrics!$D$2:$D$3000=$D25)),Performance_Metrics!$G$2:$G$3000),"")</x:f>
        <x:v>272.7</x:v>
      </x:c>
      <x:c r="I25" s="12" t="n">
        <x:f>IFERROR(SUMIFS(Normative_Data!$G$2:$G$1000,Normative_Data!$A$2:$A$1000,$B25,Normative_Data!$B$2:$B$1000,$C25,Normative_Data!$E$2:$E$1000,$D25),"")</x:f>
        <x:v>236.5</x:v>
      </x:c>
      <x:c r="J25" s="18" t="n">
        <x:f>IF(OR($H25="",$I25=""),"",($H25-$I25)/$I25)</x:f>
        <x:v>0.1530655391120507</x:v>
      </x:c>
      <x:c r="K25" s="12" t="str">
        <x:f>IF(OR($H25="",$I25="",$F25=""),"",IF(ABS($J25)&lt;=0.05,"Equal to Norm",IF($F25="lower",IF($H25&lt;$I25,"Above Norm","Below Norm"),IF($H25&gt;$I25,"Above Norm","Below Norm"))))</x:f>
        <x:v>Above Norm</x:v>
      </x:c>
      <x:c r="L25" s="12" t="str">
        <x:f>IFERROR(VLOOKUP($D25&amp;"|"&amp;$K25,Recommendation_Lookup!$A$2:$H$19,2,FALSE),"")</x:f>
        <x:v>Maintain total force-time output</x:v>
      </x:c>
      <x:c r="M25" s="12" t="str">
        <x:f>IFERROR(VLOOKUP($D25&amp;"|"&amp;$K25,Recommendation_Lookup!$A$2:$H$19,3,FALSE),"")</x:f>
        <x:v>Rate of force development; movement time; power transfer; fatigue resistance</x:v>
      </x:c>
      <x:c r="N25" s="12" t="str">
        <x:f>IFERROR(VLOOKUP($D25&amp;"|"&amp;$K25,Recommendation_Lookup!$A$2:$H$19,4,FALSE),"")</x:f>
        <x:v>Maintain impulse with strength-power microdosing and varied jump or sprint exposures. Ensure high impulse is achieved efficiently rather than through excessive movement time.</x:v>
      </x:c>
      <x:c r="O25" s="12" t="str">
        <x:f>IFERROR(VLOOKUP($D25&amp;"|"&amp;$K25,Recommendation_Lookup!$A$2:$H$19,5,FALSE),"")</x:f>
        <x:v>RVX Advanced Power Development</x:v>
      </x:c>
      <x:c r="P25" s="12" t="str">
        <x:f>IFERROR(VLOOKUP($D25&amp;"|"&amp;$K25,Recommendation_Lookup!$A$2:$H$19,6,FALSE),"")</x:f>
        <x:v>RVX Elastic Power Microdose</x:v>
      </x:c>
      <x:c r="Q25" s="12" t="str">
        <x:f>IFERROR(VLOOKUP($D25&amp;"|"&amp;$K25,Recommendation_Lookup!$A$2:$H$19,7,FALSE),"")</x:f>
        <x:v>Build force quickly and keep applying it through the full movement.</x:v>
      </x:c>
      <x:c r="R25" s="12" t="str">
        <x:f>IFERROR(VLOOKUP($D25&amp;"|"&amp;$K25,Recommendation_Lookup!$A$2:$H$19,8,FALSE),"")</x:f>
        <x:v>Retest every 6–8 weeks while reviewing contraction time and jump outcome.</x:v>
      </x:c>
      <x:c r="S25" s="12"/>
      <x:c r="T25" s="12"/>
      <x:c r="U25" s="12"/>
      <x:c r="V25" s="12"/>
      <x:c r="W25" s="12" t="str">
        <x:f>IF($S25&lt;&gt;"",$S25,$K25)</x:f>
        <x:v>Above Norm</x:v>
      </x:c>
      <x:c r="X25" s="12" t="str">
        <x:f>IF($T25&lt;&gt;"",$T25,$L25)</x:f>
        <x:v>Maintain total force-time output</x:v>
      </x:c>
      <x:c r="Y25" s="12" t="str">
        <x:f>IF($U25&lt;&gt;"",$U25,$N25)</x:f>
        <x:v>Maintain impulse with strength-power microdosing and varied jump or sprint exposures. Ensure high impulse is achieved efficiently rather than through excessive movement time.</x:v>
      </x:c>
      <x:c r="Z25" s="12" t="str">
        <x:f>IF($V25&lt;&gt;"",$V25,$O25)</x:f>
        <x:v>RVX Advanced Power Development</x:v>
      </x:c>
      <x:c r="AA25" s="12"/>
    </x:row>
    <x:row r="26">
      <x:c r="A26" s="12" t="str">
        <x:v>RVX-00005</x:v>
      </x:c>
      <x:c r="B26" s="12" t="str">
        <x:f>IFERROR(VLOOKUP($A26,Athlete_Profile!$A$2:$L$51,6,FALSE),"")</x:f>
        <x:v>Hockey</x:v>
      </x:c>
      <x:c r="C26" s="12" t="str">
        <x:f>IFERROR(VLOOKUP($A26,Athlete_Profile!$A$2:$L$51,5,FALSE),"")</x:f>
        <x:v>Female</x:v>
      </x:c>
      <x:c r="D26" s="12" t="str">
        <x:v>sprint_5m</x:v>
      </x:c>
      <x:c r="E26" s="12" t="str">
        <x:f>IFERROR(VLOOKUP($D26,Dropdown_Lists!$K$2:$N$7,2,FALSE),"")</x:f>
        <x:v>5m Sprint</x:v>
      </x:c>
      <x:c r="F26" s="12" t="str">
        <x:f>IFERROR(VLOOKUP($D26,Dropdown_Lists!$K$2:$N$7,3,FALSE),"")</x:f>
        <x:v>lower</x:v>
      </x:c>
      <x:c r="G26" s="17" t="n">
        <x:f>IFERROR(LOOKUP(2,1/((Performance_Metrics!$A$2:$A$3000=$A26)*(Performance_Metrics!$D$2:$D$3000=$D26)),Performance_Metrics!$C$2:$C$3000),"")</x:f>
        <x:v>46230</x:v>
      </x:c>
      <x:c r="H26" s="12" t="n">
        <x:f>IFERROR(LOOKUP(2,1/((Performance_Metrics!$A$2:$A$3000=$A26)*(Performance_Metrics!$D$2:$D$3000=$D26)),Performance_Metrics!$G$2:$G$3000),"")</x:f>
        <x:v>1.06</x:v>
      </x:c>
      <x:c r="I26" s="12" t="n">
        <x:f>IFERROR(SUMIFS(Normative_Data!$G$2:$G$1000,Normative_Data!$A$2:$A$1000,$B26,Normative_Data!$B$2:$B$1000,$C26,Normative_Data!$E$2:$E$1000,$D26),"")</x:f>
        <x:v>1.12</x:v>
      </x:c>
      <x:c r="J26" s="18" t="n">
        <x:f>IF(OR($H26="",$I26=""),"",($H26-$I26)/$I26)</x:f>
        <x:v>-0.05357142857142862</x:v>
      </x:c>
      <x:c r="K26" s="12" t="str">
        <x:f>IF(OR($H26="",$I26="",$F26=""),"",IF(ABS($J26)&lt;=0.05,"Equal to Norm",IF($F26="lower",IF($H26&lt;$I26,"Above Norm","Below Norm"),IF($H26&gt;$I26,"Above Norm","Below Norm"))))</x:f>
        <x:v>Above Norm</x:v>
      </x:c>
      <x:c r="L26" s="12" t="str">
        <x:f>IFERROR(VLOOKUP($D26&amp;"|"&amp;$K26,Recommendation_Lookup!$A$2:$H$19,2,FALSE),"")</x:f>
        <x:v>Maintain first-step explosiveness</x:v>
      </x:c>
      <x:c r="M26" s="12" t="str">
        <x:f>IFERROR(VLOOKUP($D26&amp;"|"&amp;$K26,Recommendation_Lookup!$A$2:$H$19,3,FALSE),"")</x:f>
        <x:v>Start consistency; projection angle; horizontal force; reaction quality</x:v>
      </x:c>
      <x:c r="N26" s="12" t="str">
        <x:f>IFERROR(VLOOKUP($D26&amp;"|"&amp;$K26,Recommendation_Lookup!$A$2:$H$19,4,FALSE),"")</x:f>
        <x:v>Maintain speed with low-volume, high-quality acceleration exposures. Avoid unnecessary volume that could reduce sprint quality. Progress through resisted and reactive starts while preserving mechanics.</x:v>
      </x:c>
      <x:c r="O26" s="12" t="str">
        <x:f>IFERROR(VLOOKUP($D26&amp;"|"&amp;$K26,Recommendation_Lookup!$A$2:$H$19,5,FALSE),"")</x:f>
        <x:v>RVX Advanced Acceleration</x:v>
      </x:c>
      <x:c r="P26" s="12" t="str">
        <x:f>IFERROR(VLOOKUP($D26&amp;"|"&amp;$K26,Recommendation_Lookup!$A$2:$H$19,6,FALSE),"")</x:f>
        <x:v>RVX Explosive Starts Microdose</x:v>
      </x:c>
      <x:c r="Q26" s="12" t="str">
        <x:f>IFERROR(VLOOKUP($D26&amp;"|"&amp;$K26,Recommendation_Lookup!$A$2:$H$19,7,FALSE),"")</x:f>
        <x:v>Project forward, push the ground back, and win the first three steps.</x:v>
      </x:c>
      <x:c r="R26" s="12" t="str">
        <x:f>IFERROR(VLOOKUP($D26&amp;"|"&amp;$K26,Recommendation_Lookup!$A$2:$H$19,8,FALSE),"")</x:f>
        <x:v>Retest every 6–8 weeks or after a dedicated acceleration block.</x:v>
      </x:c>
      <x:c r="S26" s="12"/>
      <x:c r="T26" s="12"/>
      <x:c r="U26" s="12"/>
      <x:c r="V26" s="12"/>
      <x:c r="W26" s="12" t="str">
        <x:f>IF($S26&lt;&gt;"",$S26,$K26)</x:f>
        <x:v>Above Norm</x:v>
      </x:c>
      <x:c r="X26" s="12" t="str">
        <x:f>IF($T26&lt;&gt;"",$T26,$L26)</x:f>
        <x:v>Maintain first-step explosiveness</x:v>
      </x:c>
      <x:c r="Y26" s="12" t="str">
        <x:f>IF($U26&lt;&gt;"",$U26,$N26)</x:f>
        <x:v>Maintain speed with low-volume, high-quality acceleration exposures. Avoid unnecessary volume that could reduce sprint quality. Progress through resisted and reactive starts while preserving mechanics.</x:v>
      </x:c>
      <x:c r="Z26" s="12" t="str">
        <x:f>IF($V26&lt;&gt;"",$V26,$O26)</x:f>
        <x:v>RVX Advanced Acceleration</x:v>
      </x:c>
      <x:c r="AA26" s="12"/>
    </x:row>
    <x:row r="27">
      <x:c r="A27" s="12" t="str">
        <x:v>RVX-00005</x:v>
      </x:c>
      <x:c r="B27" s="12" t="str">
        <x:f>IFERROR(VLOOKUP($A27,Athlete_Profile!$A$2:$L$51,6,FALSE),"")</x:f>
        <x:v>Hockey</x:v>
      </x:c>
      <x:c r="C27" s="12" t="str">
        <x:f>IFERROR(VLOOKUP($A27,Athlete_Profile!$A$2:$L$51,5,FALSE),"")</x:f>
        <x:v>Female</x:v>
      </x:c>
      <x:c r="D27" s="12" t="str">
        <x:v>sprint_10m</x:v>
      </x:c>
      <x:c r="E27" s="12" t="str">
        <x:f>IFERROR(VLOOKUP($D27,Dropdown_Lists!$K$2:$N$7,2,FALSE),"")</x:f>
        <x:v>10m Sprint</x:v>
      </x:c>
      <x:c r="F27" s="12" t="str">
        <x:f>IFERROR(VLOOKUP($D27,Dropdown_Lists!$K$2:$N$7,3,FALSE),"")</x:f>
        <x:v>lower</x:v>
      </x:c>
      <x:c r="G27" s="17" t="n">
        <x:f>IFERROR(LOOKUP(2,1/((Performance_Metrics!$A$2:$A$3000=$A27)*(Performance_Metrics!$D$2:$D$3000=$D27)),Performance_Metrics!$C$2:$C$3000),"")</x:f>
        <x:v>46230</x:v>
      </x:c>
      <x:c r="H27" s="12" t="n">
        <x:f>IFERROR(LOOKUP(2,1/((Performance_Metrics!$A$2:$A$3000=$A27)*(Performance_Metrics!$D$2:$D$3000=$D27)),Performance_Metrics!$G$2:$G$3000),"")</x:f>
        <x:v>1.77</x:v>
      </x:c>
      <x:c r="I27" s="12" t="n">
        <x:f>IFERROR(SUMIFS(Normative_Data!$G$2:$G$1000,Normative_Data!$A$2:$A$1000,$B27,Normative_Data!$B$2:$B$1000,$C27,Normative_Data!$E$2:$E$1000,$D27),"")</x:f>
        <x:v>1.88</x:v>
      </x:c>
      <x:c r="J27" s="18" t="n">
        <x:f>IF(OR($H27="",$I27=""),"",($H27-$I27)/$I27)</x:f>
        <x:v>-0.05851063829787228</x:v>
      </x:c>
      <x:c r="K27" s="12" t="str">
        <x:f>IF(OR($H27="",$I27="",$F27=""),"",IF(ABS($J27)&lt;=0.05,"Equal to Norm",IF($F27="lower",IF($H27&lt;$I27,"Above Norm","Below Norm"),IF($H27&gt;$I27,"Above Norm","Below Norm"))))</x:f>
        <x:v>Above Norm</x:v>
      </x:c>
      <x:c r="L27" s="12" t="str">
        <x:f>IFERROR(VLOOKUP($D27&amp;"|"&amp;$K27,Recommendation_Lookup!$A$2:$H$19,2,FALSE),"")</x:f>
        <x:v>Maintain acceleration through 10 m</x:v>
      </x:c>
      <x:c r="M27" s="12" t="str">
        <x:f>IFERROR(VLOOKUP($D27&amp;"|"&amp;$K27,Recommendation_Lookup!$A$2:$H$19,3,FALSE),"")</x:f>
        <x:v>Transition mechanics; stride rhythm; stiffness; repeatability</x:v>
      </x:c>
      <x:c r="N27" s="12" t="str">
        <x:f>IFERROR(VLOOKUP($D27&amp;"|"&amp;$K27,Recommendation_Lookup!$A$2:$H$19,4,FALSE),"")</x:f>
        <x:v>Maintain one to two weekly high-quality acceleration exposures. Add varied starts and light resistance while monitoring consistency across trials.</x:v>
      </x:c>
      <x:c r="O27" s="12" t="str">
        <x:f>IFERROR(VLOOKUP($D27&amp;"|"&amp;$K27,Recommendation_Lookup!$A$2:$H$19,5,FALSE),"")</x:f>
        <x:v>RVX Advanced Acceleration</x:v>
      </x:c>
      <x:c r="P27" s="12" t="str">
        <x:f>IFERROR(VLOOKUP($D27&amp;"|"&amp;$K27,Recommendation_Lookup!$A$2:$H$19,6,FALSE),"")</x:f>
        <x:v>RVX Speed Maintenance Microdose</x:v>
      </x:c>
      <x:c r="Q27" s="12" t="str">
        <x:f>IFERROR(VLOOKUP($D27&amp;"|"&amp;$K27,Recommendation_Lookup!$A$2:$H$19,7,FALSE),"")</x:f>
        <x:v>Stay patient through acceleration and keep pushing behind the body.</x:v>
      </x:c>
      <x:c r="R27" s="12" t="str">
        <x:f>IFERROR(VLOOKUP($D27&amp;"|"&amp;$K27,Recommendation_Lookup!$A$2:$H$19,8,FALSE),"")</x:f>
        <x:v>Retest every 6–8 weeks or after a speed block.</x:v>
      </x:c>
      <x:c r="S27" s="12"/>
      <x:c r="T27" s="12"/>
      <x:c r="U27" s="12"/>
      <x:c r="V27" s="12"/>
      <x:c r="W27" s="12" t="str">
        <x:f>IF($S27&lt;&gt;"",$S27,$K27)</x:f>
        <x:v>Above Norm</x:v>
      </x:c>
      <x:c r="X27" s="12" t="str">
        <x:f>IF($T27&lt;&gt;"",$T27,$L27)</x:f>
        <x:v>Maintain acceleration through 10 m</x:v>
      </x:c>
      <x:c r="Y27" s="12" t="str">
        <x:f>IF($U27&lt;&gt;"",$U27,$N27)</x:f>
        <x:v>Maintain one to two weekly high-quality acceleration exposures. Add varied starts and light resistance while monitoring consistency across trials.</x:v>
      </x:c>
      <x:c r="Z27" s="12" t="str">
        <x:f>IF($V27&lt;&gt;"",$V27,$O27)</x:f>
        <x:v>RVX Advanced Acceleration</x:v>
      </x:c>
      <x:c r="AA27" s="12"/>
    </x:row>
    <x:row r="28">
      <x:c r="A28" s="12" t="str">
        <x:v>RVX-00005</x:v>
      </x:c>
      <x:c r="B28" s="12" t="str">
        <x:f>IFERROR(VLOOKUP($A28,Athlete_Profile!$A$2:$L$51,6,FALSE),"")</x:f>
        <x:v>Hockey</x:v>
      </x:c>
      <x:c r="C28" s="12" t="str">
        <x:f>IFERROR(VLOOKUP($A28,Athlete_Profile!$A$2:$L$51,5,FALSE),"")</x:f>
        <x:v>Female</x:v>
      </x:c>
      <x:c r="D28" s="12" t="str">
        <x:v>pro_agility</x:v>
      </x:c>
      <x:c r="E28" s="12" t="str">
        <x:f>IFERROR(VLOOKUP($D28,Dropdown_Lists!$K$2:$N$7,2,FALSE),"")</x:f>
        <x:v>5-10-5 Pro Agility</x:v>
      </x:c>
      <x:c r="F28" s="12" t="str">
        <x:f>IFERROR(VLOOKUP($D28,Dropdown_Lists!$K$2:$N$7,3,FALSE),"")</x:f>
        <x:v>lower</x:v>
      </x:c>
      <x:c r="G28" s="17" t="n">
        <x:f>IFERROR(LOOKUP(2,1/((Performance_Metrics!$A$2:$A$3000=$A28)*(Performance_Metrics!$D$2:$D$3000=$D28)),Performance_Metrics!$C$2:$C$3000),"")</x:f>
        <x:v>46230</x:v>
      </x:c>
      <x:c r="H28" s="12" t="n">
        <x:f>IFERROR(LOOKUP(2,1/((Performance_Metrics!$A$2:$A$3000=$A28)*(Performance_Metrics!$D$2:$D$3000=$D28)),Performance_Metrics!$G$2:$G$3000),"")</x:f>
        <x:v>4.47</x:v>
      </x:c>
      <x:c r="I28" s="12" t="n">
        <x:f>IFERROR(SUMIFS(Normative_Data!$G$2:$G$1000,Normative_Data!$A$2:$A$1000,$B28,Normative_Data!$B$2:$B$1000,$C28,Normative_Data!$E$2:$E$1000,$D28),"")</x:f>
        <x:v>4.82</x:v>
      </x:c>
      <x:c r="J28" s="18" t="n">
        <x:f>IF(OR($H28="",$I28=""),"",($H28-$I28)/$I28)</x:f>
        <x:v>-0.07261410788381753</x:v>
      </x:c>
      <x:c r="K28" s="12" t="str">
        <x:f>IF(OR($H28="",$I28="",$F28=""),"",IF(ABS($J28)&lt;=0.05,"Equal to Norm",IF($F28="lower",IF($H28&lt;$I28,"Above Norm","Below Norm"),IF($H28&gt;$I28,"Above Norm","Below Norm"))))</x:f>
        <x:v>Above Norm</x:v>
      </x:c>
      <x:c r="L28" s="12" t="str">
        <x:f>IFERROR(VLOOKUP($D28&amp;"|"&amp;$K28,Recommendation_Lookup!$A$2:$H$19,2,FALSE),"")</x:f>
        <x:v>Maintain change-of-direction performance</x:v>
      </x:c>
      <x:c r="M28" s="12" t="str">
        <x:f>IFERROR(VLOOKUP($D28&amp;"|"&amp;$K28,Recommendation_Lookup!$A$2:$H$19,3,FALSE),"")</x:f>
        <x:v>Reactive decision-making; braking tolerance; bilateral symmetry; movement variability</x:v>
      </x:c>
      <x:c r="N28" s="12" t="str">
        <x:f>IFERROR(VLOOKUP($D28&amp;"|"&amp;$K28,Recommendation_Lookup!$A$2:$H$19,4,FALSE),"")</x:f>
        <x:v>Maintain planned change-of-direction work and progress toward reactive agility. Use low-volume, high-quality exposures with multiple starting and turning strategies.</x:v>
      </x:c>
      <x:c r="O28" s="12" t="str">
        <x:f>IFERROR(VLOOKUP($D28&amp;"|"&amp;$K28,Recommendation_Lookup!$A$2:$H$19,5,FALSE),"")</x:f>
        <x:v>RVX Advanced Change of Direction</x:v>
      </x:c>
      <x:c r="P28" s="12" t="str">
        <x:f>IFERROR(VLOOKUP($D28&amp;"|"&amp;$K28,Recommendation_Lookup!$A$2:$H$19,6,FALSE),"")</x:f>
        <x:v>RVX Reactive Agility</x:v>
      </x:c>
      <x:c r="Q28" s="12" t="str">
        <x:f>IFERROR(VLOOKUP($D28&amp;"|"&amp;$K28,Recommendation_Lookup!$A$2:$H$19,7,FALSE),"")</x:f>
        <x:v>Brake under control, own the plant and accelerate out immediately.</x:v>
      </x:c>
      <x:c r="R28" s="12" t="str">
        <x:f>IFERROR(VLOOKUP($D28&amp;"|"&amp;$K28,Recommendation_Lookup!$A$2:$H$19,8,FALSE),"")</x:f>
        <x:v>Retest every 6–8 weeks with left and right trial review.</x:v>
      </x:c>
      <x:c r="S28" s="12"/>
      <x:c r="T28" s="12"/>
      <x:c r="U28" s="12"/>
      <x:c r="V28" s="12"/>
      <x:c r="W28" s="12" t="str">
        <x:f>IF($S28&lt;&gt;"",$S28,$K28)</x:f>
        <x:v>Above Norm</x:v>
      </x:c>
      <x:c r="X28" s="12" t="str">
        <x:f>IF($T28&lt;&gt;"",$T28,$L28)</x:f>
        <x:v>Maintain change-of-direction performance</x:v>
      </x:c>
      <x:c r="Y28" s="12" t="str">
        <x:f>IF($U28&lt;&gt;"",$U28,$N28)</x:f>
        <x:v>Maintain planned change-of-direction work and progress toward reactive agility. Use low-volume, high-quality exposures with multiple starting and turning strategies.</x:v>
      </x:c>
      <x:c r="Z28" s="12" t="str">
        <x:f>IF($V28&lt;&gt;"",$V28,$O28)</x:f>
        <x:v>RVX Advanced Change of Direction</x:v>
      </x:c>
      <x:c r="AA28" s="12"/>
    </x:row>
    <x:row r="29">
      <x:c r="A29" s="12" t="str">
        <x:v>RVX-00005</x:v>
      </x:c>
      <x:c r="B29" s="12" t="str">
        <x:f>IFERROR(VLOOKUP($A29,Athlete_Profile!$A$2:$L$51,6,FALSE),"")</x:f>
        <x:v>Hockey</x:v>
      </x:c>
      <x:c r="C29" s="12" t="str">
        <x:f>IFERROR(VLOOKUP($A29,Athlete_Profile!$A$2:$L$51,5,FALSE),"")</x:f>
        <x:v>Female</x:v>
      </x:c>
      <x:c r="D29" s="12" t="str">
        <x:v>cmj_depth</x:v>
      </x:c>
      <x:c r="E29" s="12" t="str">
        <x:f>IFERROR(VLOOKUP($D29,Dropdown_Lists!$K$2:$N$7,2,FALSE),"")</x:f>
        <x:v>Countermovement Depth</x:v>
      </x:c>
      <x:c r="F29" s="12" t="str">
        <x:f>IFERROR(VLOOKUP($D29,Dropdown_Lists!$K$2:$N$7,3,FALSE),"")</x:f>
        <x:v>higher</x:v>
      </x:c>
      <x:c r="G29" s="17" t="n">
        <x:f>IFERROR(LOOKUP(2,1/((Performance_Metrics!$A$2:$A$3000=$A29)*(Performance_Metrics!$D$2:$D$3000=$D29)),Performance_Metrics!$C$2:$C$3000),"")</x:f>
        <x:v>46230</x:v>
      </x:c>
      <x:c r="H29" s="12" t="n">
        <x:f>IFERROR(LOOKUP(2,1/((Performance_Metrics!$A$2:$A$3000=$A29)*(Performance_Metrics!$D$2:$D$3000=$D29)),Performance_Metrics!$G$2:$G$3000),"")</x:f>
        <x:v>31.1</x:v>
      </x:c>
      <x:c r="I29" s="12" t="n">
        <x:f>IFERROR(SUMIFS(Normative_Data!$G$2:$G$1000,Normative_Data!$A$2:$A$1000,$B29,Normative_Data!$B$2:$B$1000,$C29,Normative_Data!$E$2:$E$1000,$D29),"")</x:f>
        <x:v>30</x:v>
      </x:c>
      <x:c r="J29" s="18" t="n">
        <x:f>IF(OR($H29="",$I29=""),"",($H29-$I29)/$I29)</x:f>
        <x:v>0.036666666666666715</x:v>
      </x:c>
      <x:c r="K29" s="12" t="str">
        <x:f>IF(OR($H29="",$I29="",$F29=""),"",IF(ABS($J29)&lt;=0.05,"Equal to Norm",IF($F29="lower",IF($H29&lt;$I29,"Above Norm","Below Norm"),IF($H29&gt;$I29,"Above Norm","Below Norm"))))</x:f>
        <x:v>Equal to Norm</x:v>
      </x:c>
      <x:c r="L29" s="12" t="str">
        <x:f>IFERROR(VLOOKUP($D29&amp;"|"&amp;$K29,Recommendation_Lookup!$A$2:$H$19,2,FALSE),"")</x:f>
        <x:v>Optimize countermovement strategy</x:v>
      </x:c>
      <x:c r="M29" s="12" t="str">
        <x:f>IFERROR(VLOOKUP($D29&amp;"|"&amp;$K29,Recommendation_Lookup!$A$2:$H$19,3,FALSE),"")</x:f>
        <x:v>Eccentric control; trunk position; reversal timing; mobility</x:v>
      </x:c>
      <x:c r="N29" s="12" t="str">
        <x:f>IFERROR(VLOOKUP($D29&amp;"|"&amp;$K29,Recommendation_Lookup!$A$2:$H$19,4,FALSE),"")</x:f>
        <x:v>Use controlled countermovement drills and landing-to-jump progressions. Determine whether additional or reduced depth improves the athlete’s overall jump output.</x:v>
      </x:c>
      <x:c r="O29" s="12" t="str">
        <x:f>IFERROR(VLOOKUP($D29&amp;"|"&amp;$K29,Recommendation_Lookup!$A$2:$H$19,5,FALSE),"")</x:f>
        <x:v>RVX Jump Mechanics</x:v>
      </x:c>
      <x:c r="P29" s="12" t="str">
        <x:f>IFERROR(VLOOKUP($D29&amp;"|"&amp;$K29,Recommendation_Lookup!$A$2:$H$19,6,FALSE),"")</x:f>
        <x:v>RVX Eccentric Control</x:v>
      </x:c>
      <x:c r="Q29" s="12" t="str">
        <x:f>IFERROR(VLOOKUP($D29&amp;"|"&amp;$K29,Recommendation_Lookup!$A$2:$H$19,7,FALSE),"")</x:f>
        <x:v>Sit into the movement under control and reverse without losing posture.</x:v>
      </x:c>
      <x:c r="R29" s="12" t="str">
        <x:f>IFERROR(VLOOKUP($D29&amp;"|"&amp;$K29,Recommendation_Lookup!$A$2:$H$19,8,FALSE),"")</x:f>
        <x:v>Retest after 4–6 weeks with jump height and impulse reviewed together.</x:v>
      </x:c>
      <x:c r="S29" s="12"/>
      <x:c r="T29" s="12"/>
      <x:c r="U29" s="12"/>
      <x:c r="V29" s="12"/>
      <x:c r="W29" s="12" t="str">
        <x:f>IF($S29&lt;&gt;"",$S29,$K29)</x:f>
        <x:v>Equal to Norm</x:v>
      </x:c>
      <x:c r="X29" s="12" t="str">
        <x:f>IF($T29&lt;&gt;"",$T29,$L29)</x:f>
        <x:v>Optimize countermovement strategy</x:v>
      </x:c>
      <x:c r="Y29" s="12" t="str">
        <x:f>IF($U29&lt;&gt;"",$U29,$N29)</x:f>
        <x:v>Use controlled countermovement drills and landing-to-jump progressions. Determine whether additional or reduced depth improves the athlete’s overall jump output.</x:v>
      </x:c>
      <x:c r="Z29" s="12" t="str">
        <x:f>IF($V29&lt;&gt;"",$V29,$O29)</x:f>
        <x:v>RVX Jump Mechanics</x:v>
      </x:c>
      <x:c r="AA29" s="12"/>
    </x:row>
    <x:row r="30">
      <x:c r="A30" s="12" t="str">
        <x:v>RVX-00005</x:v>
      </x:c>
      <x:c r="B30" s="12" t="str">
        <x:f>IFERROR(VLOOKUP($A30,Athlete_Profile!$A$2:$L$51,6,FALSE),"")</x:f>
        <x:v>Hockey</x:v>
      </x:c>
      <x:c r="C30" s="12" t="str">
        <x:f>IFERROR(VLOOKUP($A30,Athlete_Profile!$A$2:$L$51,5,FALSE),"")</x:f>
        <x:v>Female</x:v>
      </x:c>
      <x:c r="D30" s="12" t="str">
        <x:v>peak_force</x:v>
      </x:c>
      <x:c r="E30" s="12" t="str">
        <x:f>IFERROR(VLOOKUP($D30,Dropdown_Lists!$K$2:$N$7,2,FALSE),"")</x:f>
        <x:v>Peak Force</x:v>
      </x:c>
      <x:c r="F30" s="12" t="str">
        <x:f>IFERROR(VLOOKUP($D30,Dropdown_Lists!$K$2:$N$7,3,FALSE),"")</x:f>
        <x:v>higher</x:v>
      </x:c>
      <x:c r="G30" s="17" t="n">
        <x:f>IFERROR(LOOKUP(2,1/((Performance_Metrics!$A$2:$A$3000=$A30)*(Performance_Metrics!$D$2:$D$3000=$D30)),Performance_Metrics!$C$2:$C$3000),"")</x:f>
        <x:v>46230</x:v>
      </x:c>
      <x:c r="H30" s="12" t="n">
        <x:f>IFERROR(LOOKUP(2,1/((Performance_Metrics!$A$2:$A$3000=$A30)*(Performance_Metrics!$D$2:$D$3000=$D30)),Performance_Metrics!$G$2:$G$3000),"")</x:f>
        <x:v>1836</x:v>
      </x:c>
      <x:c r="I30" s="12" t="n">
        <x:f>IFERROR(SUMIFS(Normative_Data!$G$2:$G$1000,Normative_Data!$A$2:$A$1000,$B30,Normative_Data!$B$2:$B$1000,$C30,Normative_Data!$E$2:$E$1000,$D30),"")</x:f>
        <x:v>1750</x:v>
      </x:c>
      <x:c r="J30" s="18" t="n">
        <x:f>IF(OR($H30="",$I30=""),"",($H30-$I30)/$I30)</x:f>
        <x:v>0.04914285714285714</x:v>
      </x:c>
      <x:c r="K30" s="12" t="str">
        <x:f>IF(OR($H30="",$I30="",$F30=""),"",IF(ABS($J30)&lt;=0.05,"Equal to Norm",IF($F30="lower",IF($H30&lt;$I30,"Above Norm","Below Norm"),IF($H30&gt;$I30,"Above Norm","Below Norm"))))</x:f>
        <x:v>Equal to Norm</x:v>
      </x:c>
      <x:c r="L30" s="12" t="str">
        <x:f>IFERROR(VLOOKUP($D30&amp;"|"&amp;$K30,Recommendation_Lookup!$A$2:$H$19,2,FALSE),"")</x:f>
        <x:v>Increase force capacity</x:v>
      </x:c>
      <x:c r="M30" s="12" t="str">
        <x:f>IFERROR(VLOOKUP($D30&amp;"|"&amp;$K30,Recommendation_Lookup!$A$2:$H$19,3,FALSE),"")</x:f>
        <x:v>Relative strength; bracing; lower-body strength; isometric force</x:v>
      </x:c>
      <x:c r="N30" s="12" t="str">
        <x:f>IFERROR(VLOOKUP($D30&amp;"|"&amp;$K30,Recommendation_Lookup!$A$2:$H$19,4,FALSE),"")</x:f>
        <x:v>Use progressive lower-body strength training with compound lifts, isometrics and unilateral work. Maintain technical quality and appropriate loading progression.</x:v>
      </x:c>
      <x:c r="O30" s="12" t="str">
        <x:f>IFERROR(VLOOKUP($D30&amp;"|"&amp;$K30,Recommendation_Lookup!$A$2:$H$19,5,FALSE),"")</x:f>
        <x:v>RVX Strength Development</x:v>
      </x:c>
      <x:c r="P30" s="12" t="str">
        <x:f>IFERROR(VLOOKUP($D30&amp;"|"&amp;$K30,Recommendation_Lookup!$A$2:$H$19,6,FALSE),"")</x:f>
        <x:v>RVX Isometric Force Builder</x:v>
      </x:c>
      <x:c r="Q30" s="12" t="str">
        <x:f>IFERROR(VLOOKUP($D30&amp;"|"&amp;$K30,Recommendation_Lookup!$A$2:$H$19,7,FALSE),"")</x:f>
        <x:v>Create full-body tension and push through the floor with intent.</x:v>
      </x:c>
      <x:c r="R30" s="12" t="str">
        <x:f>IFERROR(VLOOKUP($D30&amp;"|"&amp;$K30,Recommendation_Lookup!$A$2:$H$19,8,FALSE),"")</x:f>
        <x:v>Retest after 4–6 weeks.</x:v>
      </x:c>
      <x:c r="S30" s="12"/>
      <x:c r="T30" s="12"/>
      <x:c r="U30" s="12"/>
      <x:c r="V30" s="12"/>
      <x:c r="W30" s="12" t="str">
        <x:f>IF($S30&lt;&gt;"",$S30,$K30)</x:f>
        <x:v>Equal to Norm</x:v>
      </x:c>
      <x:c r="X30" s="12" t="str">
        <x:f>IF($T30&lt;&gt;"",$T30,$L30)</x:f>
        <x:v>Increase force capacity</x:v>
      </x:c>
      <x:c r="Y30" s="12" t="str">
        <x:f>IF($U30&lt;&gt;"",$U30,$N30)</x:f>
        <x:v>Use progressive lower-body strength training with compound lifts, isometrics and unilateral work. Maintain technical quality and appropriate loading progression.</x:v>
      </x:c>
      <x:c r="Z30" s="12" t="str">
        <x:f>IF($V30&lt;&gt;"",$V30,$O30)</x:f>
        <x:v>RVX Strength Development</x:v>
      </x:c>
      <x:c r="AA30" s="12"/>
    </x:row>
    <x:row r="31">
      <x:c r="A31" s="12" t="str">
        <x:v>RVX-00005</x:v>
      </x:c>
      <x:c r="B31" s="12" t="str">
        <x:f>IFERROR(VLOOKUP($A31,Athlete_Profile!$A$2:$L$51,6,FALSE),"")</x:f>
        <x:v>Hockey</x:v>
      </x:c>
      <x:c r="C31" s="12" t="str">
        <x:f>IFERROR(VLOOKUP($A31,Athlete_Profile!$A$2:$L$51,5,FALSE),"")</x:f>
        <x:v>Female</x:v>
      </x:c>
      <x:c r="D31" s="12" t="str">
        <x:v>impulse</x:v>
      </x:c>
      <x:c r="E31" s="12" t="str">
        <x:f>IFERROR(VLOOKUP($D31,Dropdown_Lists!$K$2:$N$7,2,FALSE),"")</x:f>
        <x:v>Impulse-Momentum</x:v>
      </x:c>
      <x:c r="F31" s="12" t="str">
        <x:f>IFERROR(VLOOKUP($D31,Dropdown_Lists!$K$2:$N$7,3,FALSE),"")</x:f>
        <x:v>higher</x:v>
      </x:c>
      <x:c r="G31" s="17" t="n">
        <x:f>IFERROR(LOOKUP(2,1/((Performance_Metrics!$A$2:$A$3000=$A31)*(Performance_Metrics!$D$2:$D$3000=$D31)),Performance_Metrics!$C$2:$C$3000),"")</x:f>
        <x:v>46230</x:v>
      </x:c>
      <x:c r="H31" s="12" t="n">
        <x:f>IFERROR(LOOKUP(2,1/((Performance_Metrics!$A$2:$A$3000=$A31)*(Performance_Metrics!$D$2:$D$3000=$D31)),Performance_Metrics!$G$2:$G$3000),"")</x:f>
        <x:v>228.7</x:v>
      </x:c>
      <x:c r="I31" s="12" t="n">
        <x:f>IFERROR(SUMIFS(Normative_Data!$G$2:$G$1000,Normative_Data!$A$2:$A$1000,$B31,Normative_Data!$B$2:$B$1000,$C31,Normative_Data!$E$2:$E$1000,$D31),"")</x:f>
        <x:v>215</x:v>
      </x:c>
      <x:c r="J31" s="18" t="n">
        <x:f>IF(OR($H31="",$I31=""),"",($H31-$I31)/$I31)</x:f>
        <x:v>0.06372093023255809</x:v>
      </x:c>
      <x:c r="K31" s="12" t="str">
        <x:f>IF(OR($H31="",$I31="",$F31=""),"",IF(ABS($J31)&lt;=0.05,"Equal to Norm",IF($F31="lower",IF($H31&lt;$I31,"Above Norm","Below Norm"),IF($H31&gt;$I31,"Above Norm","Below Norm"))))</x:f>
        <x:v>Above Norm</x:v>
      </x:c>
      <x:c r="L31" s="12" t="str">
        <x:f>IFERROR(VLOOKUP($D31&amp;"|"&amp;$K31,Recommendation_Lookup!$A$2:$H$19,2,FALSE),"")</x:f>
        <x:v>Maintain total force-time output</x:v>
      </x:c>
      <x:c r="M31" s="12" t="str">
        <x:f>IFERROR(VLOOKUP($D31&amp;"|"&amp;$K31,Recommendation_Lookup!$A$2:$H$19,3,FALSE),"")</x:f>
        <x:v>Rate of force development; movement time; power transfer; fatigue resistance</x:v>
      </x:c>
      <x:c r="N31" s="12" t="str">
        <x:f>IFERROR(VLOOKUP($D31&amp;"|"&amp;$K31,Recommendation_Lookup!$A$2:$H$19,4,FALSE),"")</x:f>
        <x:v>Maintain impulse with strength-power microdosing and varied jump or sprint exposures. Ensure high impulse is achieved efficiently rather than through excessive movement time.</x:v>
      </x:c>
      <x:c r="O31" s="12" t="str">
        <x:f>IFERROR(VLOOKUP($D31&amp;"|"&amp;$K31,Recommendation_Lookup!$A$2:$H$19,5,FALSE),"")</x:f>
        <x:v>RVX Advanced Power Development</x:v>
      </x:c>
      <x:c r="P31" s="12" t="str">
        <x:f>IFERROR(VLOOKUP($D31&amp;"|"&amp;$K31,Recommendation_Lookup!$A$2:$H$19,6,FALSE),"")</x:f>
        <x:v>RVX Elastic Power Microdose</x:v>
      </x:c>
      <x:c r="Q31" s="12" t="str">
        <x:f>IFERROR(VLOOKUP($D31&amp;"|"&amp;$K31,Recommendation_Lookup!$A$2:$H$19,7,FALSE),"")</x:f>
        <x:v>Build force quickly and keep applying it through the full movement.</x:v>
      </x:c>
      <x:c r="R31" s="12" t="str">
        <x:f>IFERROR(VLOOKUP($D31&amp;"|"&amp;$K31,Recommendation_Lookup!$A$2:$H$19,8,FALSE),"")</x:f>
        <x:v>Retest every 6–8 weeks while reviewing contraction time and jump outcome.</x:v>
      </x:c>
      <x:c r="S31" s="12"/>
      <x:c r="T31" s="12"/>
      <x:c r="U31" s="12"/>
      <x:c r="V31" s="12"/>
      <x:c r="W31" s="12" t="str">
        <x:f>IF($S31&lt;&gt;"",$S31,$K31)</x:f>
        <x:v>Above Norm</x:v>
      </x:c>
      <x:c r="X31" s="12" t="str">
        <x:f>IF($T31&lt;&gt;"",$T31,$L31)</x:f>
        <x:v>Maintain total force-time output</x:v>
      </x:c>
      <x:c r="Y31" s="12" t="str">
        <x:f>IF($U31&lt;&gt;"",$U31,$N31)</x:f>
        <x:v>Maintain impulse with strength-power microdosing and varied jump or sprint exposures. Ensure high impulse is achieved efficiently rather than through excessive movement time.</x:v>
      </x:c>
      <x:c r="Z31" s="12" t="str">
        <x:f>IF($V31&lt;&gt;"",$V31,$O31)</x:f>
        <x:v>RVX Advanced Power Development</x:v>
      </x:c>
      <x:c r="AA31" s="12"/>
    </x:row>
    <x:row r="32">
      <x:c r="A32" s="12" t="str">
        <x:v>RVX-00006</x:v>
      </x:c>
      <x:c r="B32" s="12" t="str">
        <x:f>IFERROR(VLOOKUP($A32,Athlete_Profile!$A$2:$L$51,6,FALSE),"")</x:f>
        <x:v>Hockey</x:v>
      </x:c>
      <x:c r="C32" s="12" t="str">
        <x:f>IFERROR(VLOOKUP($A32,Athlete_Profile!$A$2:$L$51,5,FALSE),"")</x:f>
        <x:v>Male</x:v>
      </x:c>
      <x:c r="D32" s="12" t="str">
        <x:v>sprint_5m</x:v>
      </x:c>
      <x:c r="E32" s="12" t="str">
        <x:f>IFERROR(VLOOKUP($D32,Dropdown_Lists!$K$2:$N$7,2,FALSE),"")</x:f>
        <x:v>5m Sprint</x:v>
      </x:c>
      <x:c r="F32" s="12" t="str">
        <x:f>IFERROR(VLOOKUP($D32,Dropdown_Lists!$K$2:$N$7,3,FALSE),"")</x:f>
        <x:v>lower</x:v>
      </x:c>
      <x:c r="G32" s="17" t="n">
        <x:f>IFERROR(LOOKUP(2,1/((Performance_Metrics!$A$2:$A$3000=$A32)*(Performance_Metrics!$D$2:$D$3000=$D32)),Performance_Metrics!$C$2:$C$3000),"")</x:f>
        <x:v>46230</x:v>
      </x:c>
      <x:c r="H32" s="12" t="n">
        <x:f>IFERROR(LOOKUP(2,1/((Performance_Metrics!$A$2:$A$3000=$A32)*(Performance_Metrics!$D$2:$D$3000=$D32)),Performance_Metrics!$G$2:$G$3000),"")</x:f>
        <x:v>1.12</x:v>
      </x:c>
      <x:c r="I32" s="12" t="n">
        <x:f>IFERROR(SUMIFS(Normative_Data!$G$2:$G$1000,Normative_Data!$A$2:$A$1000,$B32,Normative_Data!$B$2:$B$1000,$C32,Normative_Data!$E$2:$E$1000,$D32),"")</x:f>
        <x:v>1.08</x:v>
      </x:c>
      <x:c r="J32" s="18" t="n">
        <x:f>IF(OR($H32="",$I32=""),"",($H32-$I32)/$I32)</x:f>
        <x:v>0.03703703703703707</x:v>
      </x:c>
      <x:c r="K32" s="12" t="str">
        <x:f>IF(OR($H32="",$I32="",$F32=""),"",IF(ABS($J32)&lt;=0.05,"Equal to Norm",IF($F32="lower",IF($H32&lt;$I32,"Above Norm","Below Norm"),IF($H32&gt;$I32,"Above Norm","Below Norm"))))</x:f>
        <x:v>Equal to Norm</x:v>
      </x:c>
      <x:c r="L32" s="12" t="str">
        <x:f>IFERROR(VLOOKUP($D32&amp;"|"&amp;$K32,Recommendation_Lookup!$A$2:$H$19,2,FALSE),"")</x:f>
        <x:v>Improve acceleration efficiency</x:v>
      </x:c>
      <x:c r="M32" s="12" t="str">
        <x:f>IFERROR(VLOOKUP($D32&amp;"|"&amp;$K32,Recommendation_Lookup!$A$2:$H$19,3,FALSE),"")</x:f>
        <x:v>Starting posture; shin angle; first-step direction; arm action</x:v>
      </x:c>
      <x:c r="N32" s="12" t="str">
        <x:f>IFERROR(VLOOKUP($D32&amp;"|"&amp;$K32,Recommendation_Lookup!$A$2:$H$19,4,FALSE),"")</x:f>
        <x:v>Use a focused acceleration-development block emphasizing starting position, projection and force application. Keep repetitions short with full recovery.</x:v>
      </x:c>
      <x:c r="O32" s="12" t="str">
        <x:f>IFERROR(VLOOKUP($D32&amp;"|"&amp;$K32,Recommendation_Lookup!$A$2:$H$19,5,FALSE),"")</x:f>
        <x:v>RVX Acceleration Foundations</x:v>
      </x:c>
      <x:c r="P32" s="12" t="str">
        <x:f>IFERROR(VLOOKUP($D32&amp;"|"&amp;$K32,Recommendation_Lookup!$A$2:$H$19,6,FALSE),"")</x:f>
        <x:v>RVX Sprint Mechanics</x:v>
      </x:c>
      <x:c r="Q32" s="12" t="str">
        <x:f>IFERROR(VLOOKUP($D32&amp;"|"&amp;$K32,Recommendation_Lookup!$A$2:$H$19,7,FALSE),"")</x:f>
        <x:v>Push out, not up. Keep the first steps powerful and connected.</x:v>
      </x:c>
      <x:c r="R32" s="12" t="str">
        <x:f>IFERROR(VLOOKUP($D32&amp;"|"&amp;$K32,Recommendation_Lookup!$A$2:$H$19,8,FALSE),"")</x:f>
        <x:v>Retest after 4–6 weeks of focused acceleration work.</x:v>
      </x:c>
      <x:c r="S32" s="12"/>
      <x:c r="T32" s="12"/>
      <x:c r="U32" s="12"/>
      <x:c r="V32" s="12"/>
      <x:c r="W32" s="12" t="str">
        <x:f>IF($S32&lt;&gt;"",$S32,$K32)</x:f>
        <x:v>Equal to Norm</x:v>
      </x:c>
      <x:c r="X32" s="12" t="str">
        <x:f>IF($T32&lt;&gt;"",$T32,$L32)</x:f>
        <x:v>Improve acceleration efficiency</x:v>
      </x:c>
      <x:c r="Y32" s="12" t="str">
        <x:f>IF($U32&lt;&gt;"",$U32,$N32)</x:f>
        <x:v>Use a focused acceleration-development block emphasizing starting position, projection and force application. Keep repetitions short with full recovery.</x:v>
      </x:c>
      <x:c r="Z32" s="12" t="str">
        <x:f>IF($V32&lt;&gt;"",$V32,$O32)</x:f>
        <x:v>RVX Acceleration Foundations</x:v>
      </x:c>
      <x:c r="AA32" s="12"/>
    </x:row>
    <x:row r="33">
      <x:c r="A33" s="12" t="str">
        <x:v>RVX-00006</x:v>
      </x:c>
      <x:c r="B33" s="12" t="str">
        <x:f>IFERROR(VLOOKUP($A33,Athlete_Profile!$A$2:$L$51,6,FALSE),"")</x:f>
        <x:v>Hockey</x:v>
      </x:c>
      <x:c r="C33" s="12" t="str">
        <x:f>IFERROR(VLOOKUP($A33,Athlete_Profile!$A$2:$L$51,5,FALSE),"")</x:f>
        <x:v>Male</x:v>
      </x:c>
      <x:c r="D33" s="12" t="str">
        <x:v>sprint_10m</x:v>
      </x:c>
      <x:c r="E33" s="12" t="str">
        <x:f>IFERROR(VLOOKUP($D33,Dropdown_Lists!$K$2:$N$7,2,FALSE),"")</x:f>
        <x:v>10m Sprint</x:v>
      </x:c>
      <x:c r="F33" s="12" t="str">
        <x:f>IFERROR(VLOOKUP($D33,Dropdown_Lists!$K$2:$N$7,3,FALSE),"")</x:f>
        <x:v>lower</x:v>
      </x:c>
      <x:c r="G33" s="17" t="n">
        <x:f>IFERROR(LOOKUP(2,1/((Performance_Metrics!$A$2:$A$3000=$A33)*(Performance_Metrics!$D$2:$D$3000=$D33)),Performance_Metrics!$C$2:$C$3000),"")</x:f>
        <x:v>46230</x:v>
      </x:c>
      <x:c r="H33" s="12" t="n">
        <x:f>IFERROR(LOOKUP(2,1/((Performance_Metrics!$A$2:$A$3000=$A33)*(Performance_Metrics!$D$2:$D$3000=$D33)),Performance_Metrics!$G$2:$G$3000),"")</x:f>
        <x:v>1.89</x:v>
      </x:c>
      <x:c r="I33" s="12" t="n">
        <x:f>IFERROR(SUMIFS(Normative_Data!$G$2:$G$1000,Normative_Data!$A$2:$A$1000,$B33,Normative_Data!$B$2:$B$1000,$C33,Normative_Data!$E$2:$E$1000,$D33),"")</x:f>
        <x:v>1.8</x:v>
      </x:c>
      <x:c r="J33" s="18" t="n">
        <x:f>IF(OR($H33="",$I33=""),"",($H33-$I33)/$I33)</x:f>
        <x:v>0.04999999999999992</x:v>
      </x:c>
      <x:c r="K33" s="12" t="str">
        <x:f>IF(OR($H33="",$I33="",$F33=""),"",IF(ABS($J33)&lt;=0.05,"Equal to Norm",IF($F33="lower",IF($H33&lt;$I33,"Above Norm","Below Norm"),IF($H33&gt;$I33,"Above Norm","Below Norm"))))</x:f>
        <x:v>Equal to Norm</x:v>
      </x:c>
      <x:c r="L33" s="12" t="str">
        <x:f>IFERROR(VLOOKUP($D33&amp;"|"&amp;$K33,Recommendation_Lookup!$A$2:$H$19,2,FALSE),"")</x:f>
        <x:v>Improve acceleration continuation</x:v>
      </x:c>
      <x:c r="M33" s="12" t="str">
        <x:f>IFERROR(VLOOKUP($D33&amp;"|"&amp;$K33,Recommendation_Lookup!$A$2:$H$19,3,FALSE),"")</x:f>
        <x:v>Projection; force orientation; step rhythm; trunk control</x:v>
      </x:c>
      <x:c r="N33" s="12" t="str">
        <x:f>IFERROR(VLOOKUP($D33&amp;"|"&amp;$K33,Recommendation_Lookup!$A$2:$H$19,4,FALSE),"")</x:f>
        <x:v>Build acceleration from 0–10 m using split starts, falling starts and progressive resisted sprints. Emphasize full recovery and technical consistency.</x:v>
      </x:c>
      <x:c r="O33" s="12" t="str">
        <x:f>IFERROR(VLOOKUP($D33&amp;"|"&amp;$K33,Recommendation_Lookup!$A$2:$H$19,5,FALSE),"")</x:f>
        <x:v>RVX Acceleration Development</x:v>
      </x:c>
      <x:c r="P33" s="12" t="str">
        <x:f>IFERROR(VLOOKUP($D33&amp;"|"&amp;$K33,Recommendation_Lookup!$A$2:$H$19,6,FALSE),"")</x:f>
        <x:v>RVX Sprint Mechanics</x:v>
      </x:c>
      <x:c r="Q33" s="12" t="str">
        <x:f>IFERROR(VLOOKUP($D33&amp;"|"&amp;$K33,Recommendation_Lookup!$A$2:$H$19,7,FALSE),"")</x:f>
        <x:v>Keep building speed through the line; do not stand up too early.</x:v>
      </x:c>
      <x:c r="R33" s="12" t="str">
        <x:f>IFERROR(VLOOKUP($D33&amp;"|"&amp;$K33,Recommendation_Lookup!$A$2:$H$19,8,FALSE),"")</x:f>
        <x:v>Retest after 4–6 weeks.</x:v>
      </x:c>
      <x:c r="S33" s="12"/>
      <x:c r="T33" s="12"/>
      <x:c r="U33" s="12"/>
      <x:c r="V33" s="12"/>
      <x:c r="W33" s="12" t="str">
        <x:f>IF($S33&lt;&gt;"",$S33,$K33)</x:f>
        <x:v>Equal to Norm</x:v>
      </x:c>
      <x:c r="X33" s="12" t="str">
        <x:f>IF($T33&lt;&gt;"",$T33,$L33)</x:f>
        <x:v>Improve acceleration continuation</x:v>
      </x:c>
      <x:c r="Y33" s="12" t="str">
        <x:f>IF($U33&lt;&gt;"",$U33,$N33)</x:f>
        <x:v>Build acceleration from 0–10 m using split starts, falling starts and progressive resisted sprints. Emphasize full recovery and technical consistency.</x:v>
      </x:c>
      <x:c r="Z33" s="12" t="str">
        <x:f>IF($V33&lt;&gt;"",$V33,$O33)</x:f>
        <x:v>RVX Acceleration Development</x:v>
      </x:c>
      <x:c r="AA33" s="12"/>
    </x:row>
    <x:row r="34">
      <x:c r="A34" s="12" t="str">
        <x:v>RVX-00006</x:v>
      </x:c>
      <x:c r="B34" s="12" t="str">
        <x:f>IFERROR(VLOOKUP($A34,Athlete_Profile!$A$2:$L$51,6,FALSE),"")</x:f>
        <x:v>Hockey</x:v>
      </x:c>
      <x:c r="C34" s="12" t="str">
        <x:f>IFERROR(VLOOKUP($A34,Athlete_Profile!$A$2:$L$51,5,FALSE),"")</x:f>
        <x:v>Male</x:v>
      </x:c>
      <x:c r="D34" s="12" t="str">
        <x:v>pro_agility</x:v>
      </x:c>
      <x:c r="E34" s="12" t="str">
        <x:f>IFERROR(VLOOKUP($D34,Dropdown_Lists!$K$2:$N$7,2,FALSE),"")</x:f>
        <x:v>5-10-5 Pro Agility</x:v>
      </x:c>
      <x:c r="F34" s="12" t="str">
        <x:f>IFERROR(VLOOKUP($D34,Dropdown_Lists!$K$2:$N$7,3,FALSE),"")</x:f>
        <x:v>lower</x:v>
      </x:c>
      <x:c r="G34" s="17" t="n">
        <x:f>IFERROR(LOOKUP(2,1/((Performance_Metrics!$A$2:$A$3000=$A34)*(Performance_Metrics!$D$2:$D$3000=$D34)),Performance_Metrics!$C$2:$C$3000),"")</x:f>
        <x:v>46230</x:v>
      </x:c>
      <x:c r="H34" s="12" t="n">
        <x:f>IFERROR(LOOKUP(2,1/((Performance_Metrics!$A$2:$A$3000=$A34)*(Performance_Metrics!$D$2:$D$3000=$D34)),Performance_Metrics!$G$2:$G$3000),"")</x:f>
        <x:v>4.75</x:v>
      </x:c>
      <x:c r="I34" s="12" t="n">
        <x:f>IFERROR(SUMIFS(Normative_Data!$G$2:$G$1000,Normative_Data!$A$2:$A$1000,$B34,Normative_Data!$B$2:$B$1000,$C34,Normative_Data!$E$2:$E$1000,$D34),"")</x:f>
        <x:v>4.63</x:v>
      </x:c>
      <x:c r="J34" s="18" t="n">
        <x:f>IF(OR($H34="",$I34=""),"",($H34-$I34)/$I34)</x:f>
        <x:v>0.025917926565874754</x:v>
      </x:c>
      <x:c r="K34" s="12" t="str">
        <x:f>IF(OR($H34="",$I34="",$F34=""),"",IF(ABS($J34)&lt;=0.05,"Equal to Norm",IF($F34="lower",IF($H34&lt;$I34,"Above Norm","Below Norm"),IF($H34&gt;$I34,"Above Norm","Below Norm"))))</x:f>
        <x:v>Equal to Norm</x:v>
      </x:c>
      <x:c r="L34" s="12" t="str">
        <x:f>IFERROR(VLOOKUP($D34&amp;"|"&amp;$K34,Recommendation_Lookup!$A$2:$H$19,2,FALSE),"")</x:f>
        <x:v>Improve braking and re-acceleration</x:v>
      </x:c>
      <x:c r="M34" s="12" t="str">
        <x:f>IFERROR(VLOOKUP($D34&amp;"|"&amp;$K34,Recommendation_Lookup!$A$2:$H$19,3,FALSE),"")</x:f>
        <x:v>Deceleration mechanics; foot placement; hip position; crossover efficiency</x:v>
      </x:c>
      <x:c r="N34" s="12" t="str">
        <x:f>IFERROR(VLOOKUP($D34&amp;"|"&amp;$K34,Recommendation_Lookup!$A$2:$H$19,4,FALSE),"")</x:f>
        <x:v>Use a structured change-of-direction block emphasizing braking positions, plant-foot control and efficient re-acceleration on both sides.</x:v>
      </x:c>
      <x:c r="O34" s="12" t="str">
        <x:f>IFERROR(VLOOKUP($D34&amp;"|"&amp;$K34,Recommendation_Lookup!$A$2:$H$19,5,FALSE),"")</x:f>
        <x:v>RVX Change of Direction Development</x:v>
      </x:c>
      <x:c r="P34" s="12" t="str">
        <x:f>IFERROR(VLOOKUP($D34&amp;"|"&amp;$K34,Recommendation_Lookup!$A$2:$H$19,6,FALSE),"")</x:f>
        <x:v>RVX Deceleration Mechanics</x:v>
      </x:c>
      <x:c r="Q34" s="12" t="str">
        <x:f>IFERROR(VLOOKUP($D34&amp;"|"&amp;$K34,Recommendation_Lookup!$A$2:$H$19,7,FALSE),"")</x:f>
        <x:v>Lower the centre of mass before the turn and push away from the plant.</x:v>
      </x:c>
      <x:c r="R34" s="12" t="str">
        <x:f>IFERROR(VLOOKUP($D34&amp;"|"&amp;$K34,Recommendation_Lookup!$A$2:$H$19,8,FALSE),"")</x:f>
        <x:v>Retest after 4–6 weeks and review directional splits if available.</x:v>
      </x:c>
      <x:c r="S34" s="12"/>
      <x:c r="T34" s="12"/>
      <x:c r="U34" s="12"/>
      <x:c r="V34" s="12"/>
      <x:c r="W34" s="12" t="str">
        <x:f>IF($S34&lt;&gt;"",$S34,$K34)</x:f>
        <x:v>Equal to Norm</x:v>
      </x:c>
      <x:c r="X34" s="12" t="str">
        <x:f>IF($T34&lt;&gt;"",$T34,$L34)</x:f>
        <x:v>Improve braking and re-acceleration</x:v>
      </x:c>
      <x:c r="Y34" s="12" t="str">
        <x:f>IF($U34&lt;&gt;"",$U34,$N34)</x:f>
        <x:v>Use a structured change-of-direction block emphasizing braking positions, plant-foot control and efficient re-acceleration on both sides.</x:v>
      </x:c>
      <x:c r="Z34" s="12" t="str">
        <x:f>IF($V34&lt;&gt;"",$V34,$O34)</x:f>
        <x:v>RVX Change of Direction Development</x:v>
      </x:c>
      <x:c r="AA34" s="12"/>
    </x:row>
    <x:row r="35">
      <x:c r="A35" s="12" t="str">
        <x:v>RVX-00006</x:v>
      </x:c>
      <x:c r="B35" s="12" t="str">
        <x:f>IFERROR(VLOOKUP($A35,Athlete_Profile!$A$2:$L$51,6,FALSE),"")</x:f>
        <x:v>Hockey</x:v>
      </x:c>
      <x:c r="C35" s="12" t="str">
        <x:f>IFERROR(VLOOKUP($A35,Athlete_Profile!$A$2:$L$51,5,FALSE),"")</x:f>
        <x:v>Male</x:v>
      </x:c>
      <x:c r="D35" s="12" t="str">
        <x:v>cmj_depth</x:v>
      </x:c>
      <x:c r="E35" s="12" t="str">
        <x:f>IFERROR(VLOOKUP($D35,Dropdown_Lists!$K$2:$N$7,2,FALSE),"")</x:f>
        <x:v>Countermovement Depth</x:v>
      </x:c>
      <x:c r="F35" s="12" t="str">
        <x:f>IFERROR(VLOOKUP($D35,Dropdown_Lists!$K$2:$N$7,3,FALSE),"")</x:f>
        <x:v>higher</x:v>
      </x:c>
      <x:c r="G35" s="17" t="n">
        <x:f>IFERROR(LOOKUP(2,1/((Performance_Metrics!$A$2:$A$3000=$A35)*(Performance_Metrics!$D$2:$D$3000=$D35)),Performance_Metrics!$C$2:$C$3000),"")</x:f>
        <x:v>46230</x:v>
      </x:c>
      <x:c r="H35" s="12" t="n">
        <x:f>IFERROR(LOOKUP(2,1/((Performance_Metrics!$A$2:$A$3000=$A35)*(Performance_Metrics!$D$2:$D$3000=$D35)),Performance_Metrics!$G$2:$G$3000),"")</x:f>
        <x:v>31.8</x:v>
      </x:c>
      <x:c r="I35" s="12" t="n">
        <x:f>IFERROR(SUMIFS(Normative_Data!$G$2:$G$1000,Normative_Data!$A$2:$A$1000,$B35,Normative_Data!$B$2:$B$1000,$C35,Normative_Data!$E$2:$E$1000,$D35),"")</x:f>
        <x:v>33</x:v>
      </x:c>
      <x:c r="J35" s="18" t="n">
        <x:f>IF(OR($H35="",$I35=""),"",($H35-$I35)/$I35)</x:f>
        <x:v>-0.03636363636363634</x:v>
      </x:c>
      <x:c r="K35" s="12" t="str">
        <x:f>IF(OR($H35="",$I35="",$F35=""),"",IF(ABS($J35)&lt;=0.05,"Equal to Norm",IF($F35="lower",IF($H35&lt;$I35,"Above Norm","Below Norm"),IF($H35&gt;$I35,"Above Norm","Below Norm"))))</x:f>
        <x:v>Equal to Norm</x:v>
      </x:c>
      <x:c r="L35" s="12" t="str">
        <x:f>IFERROR(VLOOKUP($D35&amp;"|"&amp;$K35,Recommendation_Lookup!$A$2:$H$19,2,FALSE),"")</x:f>
        <x:v>Optimize countermovement strategy</x:v>
      </x:c>
      <x:c r="M35" s="12" t="str">
        <x:f>IFERROR(VLOOKUP($D35&amp;"|"&amp;$K35,Recommendation_Lookup!$A$2:$H$19,3,FALSE),"")</x:f>
        <x:v>Eccentric control; trunk position; reversal timing; mobility</x:v>
      </x:c>
      <x:c r="N35" s="12" t="str">
        <x:f>IFERROR(VLOOKUP($D35&amp;"|"&amp;$K35,Recommendation_Lookup!$A$2:$H$19,4,FALSE),"")</x:f>
        <x:v>Use controlled countermovement drills and landing-to-jump progressions. Determine whether additional or reduced depth improves the athlete’s overall jump output.</x:v>
      </x:c>
      <x:c r="O35" s="12" t="str">
        <x:f>IFERROR(VLOOKUP($D35&amp;"|"&amp;$K35,Recommendation_Lookup!$A$2:$H$19,5,FALSE),"")</x:f>
        <x:v>RVX Jump Mechanics</x:v>
      </x:c>
      <x:c r="P35" s="12" t="str">
        <x:f>IFERROR(VLOOKUP($D35&amp;"|"&amp;$K35,Recommendation_Lookup!$A$2:$H$19,6,FALSE),"")</x:f>
        <x:v>RVX Eccentric Control</x:v>
      </x:c>
      <x:c r="Q35" s="12" t="str">
        <x:f>IFERROR(VLOOKUP($D35&amp;"|"&amp;$K35,Recommendation_Lookup!$A$2:$H$19,7,FALSE),"")</x:f>
        <x:v>Sit into the movement under control and reverse without losing posture.</x:v>
      </x:c>
      <x:c r="R35" s="12" t="str">
        <x:f>IFERROR(VLOOKUP($D35&amp;"|"&amp;$K35,Recommendation_Lookup!$A$2:$H$19,8,FALSE),"")</x:f>
        <x:v>Retest after 4–6 weeks with jump height and impulse reviewed together.</x:v>
      </x:c>
      <x:c r="S35" s="12"/>
      <x:c r="T35" s="12"/>
      <x:c r="U35" s="12"/>
      <x:c r="V35" s="12"/>
      <x:c r="W35" s="12" t="str">
        <x:f>IF($S35&lt;&gt;"",$S35,$K35)</x:f>
        <x:v>Equal to Norm</x:v>
      </x:c>
      <x:c r="X35" s="12" t="str">
        <x:f>IF($T35&lt;&gt;"",$T35,$L35)</x:f>
        <x:v>Optimize countermovement strategy</x:v>
      </x:c>
      <x:c r="Y35" s="12" t="str">
        <x:f>IF($U35&lt;&gt;"",$U35,$N35)</x:f>
        <x:v>Use controlled countermovement drills and landing-to-jump progressions. Determine whether additional or reduced depth improves the athlete’s overall jump output.</x:v>
      </x:c>
      <x:c r="Z35" s="12" t="str">
        <x:f>IF($V35&lt;&gt;"",$V35,$O35)</x:f>
        <x:v>RVX Jump Mechanics</x:v>
      </x:c>
      <x:c r="AA35" s="12"/>
    </x:row>
    <x:row r="36">
      <x:c r="A36" s="12" t="str">
        <x:v>RVX-00006</x:v>
      </x:c>
      <x:c r="B36" s="12" t="str">
        <x:f>IFERROR(VLOOKUP($A36,Athlete_Profile!$A$2:$L$51,6,FALSE),"")</x:f>
        <x:v>Hockey</x:v>
      </x:c>
      <x:c r="C36" s="12" t="str">
        <x:f>IFERROR(VLOOKUP($A36,Athlete_Profile!$A$2:$L$51,5,FALSE),"")</x:f>
        <x:v>Male</x:v>
      </x:c>
      <x:c r="D36" s="12" t="str">
        <x:v>peak_force</x:v>
      </x:c>
      <x:c r="E36" s="12" t="str">
        <x:f>IFERROR(VLOOKUP($D36,Dropdown_Lists!$K$2:$N$7,2,FALSE),"")</x:f>
        <x:v>Peak Force</x:v>
      </x:c>
      <x:c r="F36" s="12" t="str">
        <x:f>IFERROR(VLOOKUP($D36,Dropdown_Lists!$K$2:$N$7,3,FALSE),"")</x:f>
        <x:v>higher</x:v>
      </x:c>
      <x:c r="G36" s="17" t="n">
        <x:f>IFERROR(LOOKUP(2,1/((Performance_Metrics!$A$2:$A$3000=$A36)*(Performance_Metrics!$D$2:$D$3000=$D36)),Performance_Metrics!$C$2:$C$3000),"")</x:f>
        <x:v>46230</x:v>
      </x:c>
      <x:c r="H36" s="12" t="n">
        <x:f>IFERROR(LOOKUP(2,1/((Performance_Metrics!$A$2:$A$3000=$A36)*(Performance_Metrics!$D$2:$D$3000=$D36)),Performance_Metrics!$G$2:$G$3000),"")</x:f>
        <x:v>1812</x:v>
      </x:c>
      <x:c r="I36" s="12" t="n">
        <x:f>IFERROR(SUMIFS(Normative_Data!$G$2:$G$1000,Normative_Data!$A$2:$A$1000,$B36,Normative_Data!$B$2:$B$1000,$C36,Normative_Data!$E$2:$E$1000,$D36),"")</x:f>
        <x:v>1925</x:v>
      </x:c>
      <x:c r="J36" s="18" t="n">
        <x:f>IF(OR($H36="",$I36=""),"",($H36-$I36)/$I36)</x:f>
        <x:v>-0.0587012987012987</x:v>
      </x:c>
      <x:c r="K36" s="12" t="str">
        <x:f>IF(OR($H36="",$I36="",$F36=""),"",IF(ABS($J36)&lt;=0.05,"Equal to Norm",IF($F36="lower",IF($H36&lt;$I36,"Above Norm","Below Norm"),IF($H36&gt;$I36,"Above Norm","Below Norm"))))</x:f>
        <x:v>Below Norm</x:v>
      </x:c>
      <x:c r="L36" s="12" t="str">
        <x:f>IFERROR(VLOOKUP($D36&amp;"|"&amp;$K36,Recommendation_Lookup!$A$2:$H$19,2,FALSE),"")</x:f>
        <x:v>Build foundational force production</x:v>
      </x:c>
      <x:c r="M36" s="12" t="str">
        <x:f>IFERROR(VLOOKUP($D36&amp;"|"&amp;$K36,Recommendation_Lookup!$A$2:$H$19,3,FALSE),"")</x:f>
        <x:v>Relative strength; technique; tendon capacity; trunk stability; unilateral strength</x:v>
      </x:c>
      <x:c r="N36" s="12" t="str">
        <x:f>IFERROR(VLOOKUP($D36&amp;"|"&amp;$K36,Recommendation_Lookup!$A$2:$H$19,4,FALSE),"")</x:f>
        <x:v>Prioritize foundational strength and positional competency. Use progressive resistance, isometrics and unilateral patterns before advanced power methods.</x:v>
      </x:c>
      <x:c r="O36" s="12" t="str">
        <x:f>IFERROR(VLOOKUP($D36&amp;"|"&amp;$K36,Recommendation_Lookup!$A$2:$H$19,5,FALSE),"")</x:f>
        <x:v>RVX Strength Foundations</x:v>
      </x:c>
      <x:c r="P36" s="12" t="str">
        <x:f>IFERROR(VLOOKUP($D36&amp;"|"&amp;$K36,Recommendation_Lookup!$A$2:$H$19,6,FALSE),"")</x:f>
        <x:v>RVX Lower-Body Capacity</x:v>
      </x:c>
      <x:c r="Q36" s="12" t="str">
        <x:f>IFERROR(VLOOKUP($D36&amp;"|"&amp;$K36,Recommendation_Lookup!$A$2:$H$19,7,FALSE),"")</x:f>
        <x:v>Own the position first, then increase force with consistent intent.</x:v>
      </x:c>
      <x:c r="R36" s="12" t="str">
        <x:f>IFERROR(VLOOKUP($D36&amp;"|"&amp;$K36,Recommendation_Lookup!$A$2:$H$19,8,FALSE),"")</x:f>
        <x:v>Retest after 4–6 weeks; review body-mass-relative force when possible.</x:v>
      </x:c>
      <x:c r="S36" s="12"/>
      <x:c r="T36" s="12"/>
      <x:c r="U36" s="12"/>
      <x:c r="V36" s="12"/>
      <x:c r="W36" s="12" t="str">
        <x:f>IF($S36&lt;&gt;"",$S36,$K36)</x:f>
        <x:v>Below Norm</x:v>
      </x:c>
      <x:c r="X36" s="12" t="str">
        <x:f>IF($T36&lt;&gt;"",$T36,$L36)</x:f>
        <x:v>Build foundational force production</x:v>
      </x:c>
      <x:c r="Y36" s="12" t="str">
        <x:f>IF($U36&lt;&gt;"",$U36,$N36)</x:f>
        <x:v>Prioritize foundational strength and positional competency. Use progressive resistance, isometrics and unilateral patterns before advanced power methods.</x:v>
      </x:c>
      <x:c r="Z36" s="12" t="str">
        <x:f>IF($V36&lt;&gt;"",$V36,$O36)</x:f>
        <x:v>RVX Strength Foundations</x:v>
      </x:c>
      <x:c r="AA36" s="12"/>
    </x:row>
    <x:row r="37">
      <x:c r="A37" s="12" t="str">
        <x:v>RVX-00006</x:v>
      </x:c>
      <x:c r="B37" s="12" t="str">
        <x:f>IFERROR(VLOOKUP($A37,Athlete_Profile!$A$2:$L$51,6,FALSE),"")</x:f>
        <x:v>Hockey</x:v>
      </x:c>
      <x:c r="C37" s="12" t="str">
        <x:f>IFERROR(VLOOKUP($A37,Athlete_Profile!$A$2:$L$51,5,FALSE),"")</x:f>
        <x:v>Male</x:v>
      </x:c>
      <x:c r="D37" s="12" t="str">
        <x:v>impulse</x:v>
      </x:c>
      <x:c r="E37" s="12" t="str">
        <x:f>IFERROR(VLOOKUP($D37,Dropdown_Lists!$K$2:$N$7,2,FALSE),"")</x:f>
        <x:v>Impulse-Momentum</x:v>
      </x:c>
      <x:c r="F37" s="12" t="str">
        <x:f>IFERROR(VLOOKUP($D37,Dropdown_Lists!$K$2:$N$7,3,FALSE),"")</x:f>
        <x:v>higher</x:v>
      </x:c>
      <x:c r="G37" s="17" t="n">
        <x:f>IFERROR(LOOKUP(2,1/((Performance_Metrics!$A$2:$A$3000=$A37)*(Performance_Metrics!$D$2:$D$3000=$D37)),Performance_Metrics!$C$2:$C$3000),"")</x:f>
        <x:v>46230</x:v>
      </x:c>
      <x:c r="H37" s="12" t="n">
        <x:f>IFERROR(LOOKUP(2,1/((Performance_Metrics!$A$2:$A$3000=$A37)*(Performance_Metrics!$D$2:$D$3000=$D37)),Performance_Metrics!$G$2:$G$3000),"")</x:f>
        <x:v>228.5</x:v>
      </x:c>
      <x:c r="I37" s="12" t="n">
        <x:f>IFERROR(SUMIFS(Normative_Data!$G$2:$G$1000,Normative_Data!$A$2:$A$1000,$B37,Normative_Data!$B$2:$B$1000,$C37,Normative_Data!$E$2:$E$1000,$D37),"")</x:f>
        <x:v>236.5</x:v>
      </x:c>
      <x:c r="J37" s="18" t="n">
        <x:f>IF(OR($H37="",$I37=""),"",($H37-$I37)/$I37)</x:f>
        <x:v>-0.03382663847780127</x:v>
      </x:c>
      <x:c r="K37" s="12" t="str">
        <x:f>IF(OR($H37="",$I37="",$F37=""),"",IF(ABS($J37)&lt;=0.05,"Equal to Norm",IF($F37="lower",IF($H37&lt;$I37,"Above Norm","Below Norm"),IF($H37&gt;$I37,"Above Norm","Below Norm"))))</x:f>
        <x:v>Equal to Norm</x:v>
      </x:c>
      <x:c r="L37" s="12" t="str">
        <x:f>IFERROR(VLOOKUP($D37&amp;"|"&amp;$K37,Recommendation_Lookup!$A$2:$H$19,2,FALSE),"")</x:f>
        <x:v>Improve force applied over time</x:v>
      </x:c>
      <x:c r="M37" s="12" t="str">
        <x:f>IFERROR(VLOOKUP($D37&amp;"|"&amp;$K37,Recommendation_Lookup!$A$2:$H$19,3,FALSE),"")</x:f>
        <x:v>Strength; countermovement strategy; intent; coordination; power</x:v>
      </x:c>
      <x:c r="N37" s="12" t="str">
        <x:f>IFERROR(VLOOKUP($D37&amp;"|"&amp;$K37,Recommendation_Lookup!$A$2:$H$19,4,FALSE),"")</x:f>
        <x:v>Use loaded jumps, isometrics and strength-power exercises that improve the athlete’s ability to produce and sustain force through the propulsion phase.</x:v>
      </x:c>
      <x:c r="O37" s="12" t="str">
        <x:f>IFERROR(VLOOKUP($D37&amp;"|"&amp;$K37,Recommendation_Lookup!$A$2:$H$19,5,FALSE),"")</x:f>
        <x:v>RVX Power Development</x:v>
      </x:c>
      <x:c r="P37" s="12" t="str">
        <x:f>IFERROR(VLOOKUP($D37&amp;"|"&amp;$K37,Recommendation_Lookup!$A$2:$H$19,6,FALSE),"")</x:f>
        <x:v>RVX Strength-Speed</x:v>
      </x:c>
      <x:c r="Q37" s="12" t="str">
        <x:f>IFERROR(VLOOKUP($D37&amp;"|"&amp;$K37,Recommendation_Lookup!$A$2:$H$19,7,FALSE),"")</x:f>
        <x:v>Apply force early and continue driving through take-off.</x:v>
      </x:c>
      <x:c r="R37" s="12" t="str">
        <x:f>IFERROR(VLOOKUP($D37&amp;"|"&amp;$K37,Recommendation_Lookup!$A$2:$H$19,8,FALSE),"")</x:f>
        <x:v>Retest after 4–6 weeks.</x:v>
      </x:c>
      <x:c r="S37" s="12"/>
      <x:c r="T37" s="12"/>
      <x:c r="U37" s="12"/>
      <x:c r="V37" s="12"/>
      <x:c r="W37" s="12" t="str">
        <x:f>IF($S37&lt;&gt;"",$S37,$K37)</x:f>
        <x:v>Equal to Norm</x:v>
      </x:c>
      <x:c r="X37" s="12" t="str">
        <x:f>IF($T37&lt;&gt;"",$T37,$L37)</x:f>
        <x:v>Improve force applied over time</x:v>
      </x:c>
      <x:c r="Y37" s="12" t="str">
        <x:f>IF($U37&lt;&gt;"",$U37,$N37)</x:f>
        <x:v>Use loaded jumps, isometrics and strength-power exercises that improve the athlete’s ability to produce and sustain force through the propulsion phase.</x:v>
      </x:c>
      <x:c r="Z37" s="12" t="str">
        <x:f>IF($V37&lt;&gt;"",$V37,$O37)</x:f>
        <x:v>RVX Power Development</x:v>
      </x:c>
      <x:c r="AA37" s="12"/>
    </x:row>
    <x:row r="38">
      <x:c r="A38" s="12" t="str">
        <x:v>RVX-00007</x:v>
      </x:c>
      <x:c r="B38" s="12" t="str">
        <x:f>IFERROR(VLOOKUP($A38,Athlete_Profile!$A$2:$L$51,6,FALSE),"")</x:f>
        <x:v>Hockey</x:v>
      </x:c>
      <x:c r="C38" s="12" t="str">
        <x:f>IFERROR(VLOOKUP($A38,Athlete_Profile!$A$2:$L$51,5,FALSE),"")</x:f>
        <x:v>Female</x:v>
      </x:c>
      <x:c r="D38" s="12" t="str">
        <x:v>sprint_5m</x:v>
      </x:c>
      <x:c r="E38" s="12" t="str">
        <x:f>IFERROR(VLOOKUP($D38,Dropdown_Lists!$K$2:$N$7,2,FALSE),"")</x:f>
        <x:v>5m Sprint</x:v>
      </x:c>
      <x:c r="F38" s="12" t="str">
        <x:f>IFERROR(VLOOKUP($D38,Dropdown_Lists!$K$2:$N$7,3,FALSE),"")</x:f>
        <x:v>lower</x:v>
      </x:c>
      <x:c r="G38" s="17" t="n">
        <x:f>IFERROR(LOOKUP(2,1/((Performance_Metrics!$A$2:$A$3000=$A38)*(Performance_Metrics!$D$2:$D$3000=$D38)),Performance_Metrics!$C$2:$C$3000),"")</x:f>
        <x:v>46230</x:v>
      </x:c>
      <x:c r="H38" s="12" t="n">
        <x:f>IFERROR(LOOKUP(2,1/((Performance_Metrics!$A$2:$A$3000=$A38)*(Performance_Metrics!$D$2:$D$3000=$D38)),Performance_Metrics!$G$2:$G$3000),"")</x:f>
        <x:v>0.92</x:v>
      </x:c>
      <x:c r="I38" s="12" t="n">
        <x:f>IFERROR(SUMIFS(Normative_Data!$G$2:$G$1000,Normative_Data!$A$2:$A$1000,$B38,Normative_Data!$B$2:$B$1000,$C38,Normative_Data!$E$2:$E$1000,$D38),"")</x:f>
        <x:v>1.12</x:v>
      </x:c>
      <x:c r="J38" s="18" t="n">
        <x:f>IF(OR($H38="",$I38=""),"",($H38-$I38)/$I38)</x:f>
        <x:v>-0.1785714285714286</x:v>
      </x:c>
      <x:c r="K38" s="12" t="str">
        <x:f>IF(OR($H38="",$I38="",$F38=""),"",IF(ABS($J38)&lt;=0.05,"Equal to Norm",IF($F38="lower",IF($H38&lt;$I38,"Above Norm","Below Norm"),IF($H38&gt;$I38,"Above Norm","Below Norm"))))</x:f>
        <x:v>Above Norm</x:v>
      </x:c>
      <x:c r="L38" s="12" t="str">
        <x:f>IFERROR(VLOOKUP($D38&amp;"|"&amp;$K38,Recommendation_Lookup!$A$2:$H$19,2,FALSE),"")</x:f>
        <x:v>Maintain first-step explosiveness</x:v>
      </x:c>
      <x:c r="M38" s="12" t="str">
        <x:f>IFERROR(VLOOKUP($D38&amp;"|"&amp;$K38,Recommendation_Lookup!$A$2:$H$19,3,FALSE),"")</x:f>
        <x:v>Start consistency; projection angle; horizontal force; reaction quality</x:v>
      </x:c>
      <x:c r="N38" s="12" t="str">
        <x:f>IFERROR(VLOOKUP($D38&amp;"|"&amp;$K38,Recommendation_Lookup!$A$2:$H$19,4,FALSE),"")</x:f>
        <x:v>Maintain speed with low-volume, high-quality acceleration exposures. Avoid unnecessary volume that could reduce sprint quality. Progress through resisted and reactive starts while preserving mechanics.</x:v>
      </x:c>
      <x:c r="O38" s="12" t="str">
        <x:f>IFERROR(VLOOKUP($D38&amp;"|"&amp;$K38,Recommendation_Lookup!$A$2:$H$19,5,FALSE),"")</x:f>
        <x:v>RVX Advanced Acceleration</x:v>
      </x:c>
      <x:c r="P38" s="12" t="str">
        <x:f>IFERROR(VLOOKUP($D38&amp;"|"&amp;$K38,Recommendation_Lookup!$A$2:$H$19,6,FALSE),"")</x:f>
        <x:v>RVX Explosive Starts Microdose</x:v>
      </x:c>
      <x:c r="Q38" s="12" t="str">
        <x:f>IFERROR(VLOOKUP($D38&amp;"|"&amp;$K38,Recommendation_Lookup!$A$2:$H$19,7,FALSE),"")</x:f>
        <x:v>Project forward, push the ground back, and win the first three steps.</x:v>
      </x:c>
      <x:c r="R38" s="12" t="str">
        <x:f>IFERROR(VLOOKUP($D38&amp;"|"&amp;$K38,Recommendation_Lookup!$A$2:$H$19,8,FALSE),"")</x:f>
        <x:v>Retest every 6–8 weeks or after a dedicated acceleration block.</x:v>
      </x:c>
      <x:c r="S38" s="12"/>
      <x:c r="T38" s="12"/>
      <x:c r="U38" s="12"/>
      <x:c r="V38" s="12"/>
      <x:c r="W38" s="12" t="str">
        <x:f>IF($S38&lt;&gt;"",$S38,$K38)</x:f>
        <x:v>Above Norm</x:v>
      </x:c>
      <x:c r="X38" s="12" t="str">
        <x:f>IF($T38&lt;&gt;"",$T38,$L38)</x:f>
        <x:v>Maintain first-step explosiveness</x:v>
      </x:c>
      <x:c r="Y38" s="12" t="str">
        <x:f>IF($U38&lt;&gt;"",$U38,$N38)</x:f>
        <x:v>Maintain speed with low-volume, high-quality acceleration exposures. Avoid unnecessary volume that could reduce sprint quality. Progress through resisted and reactive starts while preserving mechanics.</x:v>
      </x:c>
      <x:c r="Z38" s="12" t="str">
        <x:f>IF($V38&lt;&gt;"",$V38,$O38)</x:f>
        <x:v>RVX Advanced Acceleration</x:v>
      </x:c>
      <x:c r="AA38" s="12"/>
    </x:row>
    <x:row r="39">
      <x:c r="A39" s="12" t="str">
        <x:v>RVX-00007</x:v>
      </x:c>
      <x:c r="B39" s="12" t="str">
        <x:f>IFERROR(VLOOKUP($A39,Athlete_Profile!$A$2:$L$51,6,FALSE),"")</x:f>
        <x:v>Hockey</x:v>
      </x:c>
      <x:c r="C39" s="12" t="str">
        <x:f>IFERROR(VLOOKUP($A39,Athlete_Profile!$A$2:$L$51,5,FALSE),"")</x:f>
        <x:v>Female</x:v>
      </x:c>
      <x:c r="D39" s="12" t="str">
        <x:v>sprint_10m</x:v>
      </x:c>
      <x:c r="E39" s="12" t="str">
        <x:f>IFERROR(VLOOKUP($D39,Dropdown_Lists!$K$2:$N$7,2,FALSE),"")</x:f>
        <x:v>10m Sprint</x:v>
      </x:c>
      <x:c r="F39" s="12" t="str">
        <x:f>IFERROR(VLOOKUP($D39,Dropdown_Lists!$K$2:$N$7,3,FALSE),"")</x:f>
        <x:v>lower</x:v>
      </x:c>
      <x:c r="G39" s="17" t="n">
        <x:f>IFERROR(LOOKUP(2,1/((Performance_Metrics!$A$2:$A$3000=$A39)*(Performance_Metrics!$D$2:$D$3000=$D39)),Performance_Metrics!$C$2:$C$3000),"")</x:f>
        <x:v>46230</x:v>
      </x:c>
      <x:c r="H39" s="12" t="n">
        <x:f>IFERROR(LOOKUP(2,1/((Performance_Metrics!$A$2:$A$3000=$A39)*(Performance_Metrics!$D$2:$D$3000=$D39)),Performance_Metrics!$G$2:$G$3000),"")</x:f>
        <x:v>1.61</x:v>
      </x:c>
      <x:c r="I39" s="12" t="n">
        <x:f>IFERROR(SUMIFS(Normative_Data!$G$2:$G$1000,Normative_Data!$A$2:$A$1000,$B39,Normative_Data!$B$2:$B$1000,$C39,Normative_Data!$E$2:$E$1000,$D39),"")</x:f>
        <x:v>1.88</x:v>
      </x:c>
      <x:c r="J39" s="18" t="n">
        <x:f>IF(OR($H39="",$I39=""),"",($H39-$I39)/$I39)</x:f>
        <x:v>-0.14361702127659565</x:v>
      </x:c>
      <x:c r="K39" s="12" t="str">
        <x:f>IF(OR($H39="",$I39="",$F39=""),"",IF(ABS($J39)&lt;=0.05,"Equal to Norm",IF($F39="lower",IF($H39&lt;$I39,"Above Norm","Below Norm"),IF($H39&gt;$I39,"Above Norm","Below Norm"))))</x:f>
        <x:v>Above Norm</x:v>
      </x:c>
      <x:c r="L39" s="12" t="str">
        <x:f>IFERROR(VLOOKUP($D39&amp;"|"&amp;$K39,Recommendation_Lookup!$A$2:$H$19,2,FALSE),"")</x:f>
        <x:v>Maintain acceleration through 10 m</x:v>
      </x:c>
      <x:c r="M39" s="12" t="str">
        <x:f>IFERROR(VLOOKUP($D39&amp;"|"&amp;$K39,Recommendation_Lookup!$A$2:$H$19,3,FALSE),"")</x:f>
        <x:v>Transition mechanics; stride rhythm; stiffness; repeatability</x:v>
      </x:c>
      <x:c r="N39" s="12" t="str">
        <x:f>IFERROR(VLOOKUP($D39&amp;"|"&amp;$K39,Recommendation_Lookup!$A$2:$H$19,4,FALSE),"")</x:f>
        <x:v>Maintain one to two weekly high-quality acceleration exposures. Add varied starts and light resistance while monitoring consistency across trials.</x:v>
      </x:c>
      <x:c r="O39" s="12" t="str">
        <x:f>IFERROR(VLOOKUP($D39&amp;"|"&amp;$K39,Recommendation_Lookup!$A$2:$H$19,5,FALSE),"")</x:f>
        <x:v>RVX Advanced Acceleration</x:v>
      </x:c>
      <x:c r="P39" s="12" t="str">
        <x:f>IFERROR(VLOOKUP($D39&amp;"|"&amp;$K39,Recommendation_Lookup!$A$2:$H$19,6,FALSE),"")</x:f>
        <x:v>RVX Speed Maintenance Microdose</x:v>
      </x:c>
      <x:c r="Q39" s="12" t="str">
        <x:f>IFERROR(VLOOKUP($D39&amp;"|"&amp;$K39,Recommendation_Lookup!$A$2:$H$19,7,FALSE),"")</x:f>
        <x:v>Stay patient through acceleration and keep pushing behind the body.</x:v>
      </x:c>
      <x:c r="R39" s="12" t="str">
        <x:f>IFERROR(VLOOKUP($D39&amp;"|"&amp;$K39,Recommendation_Lookup!$A$2:$H$19,8,FALSE),"")</x:f>
        <x:v>Retest every 6–8 weeks or after a speed block.</x:v>
      </x:c>
      <x:c r="S39" s="12"/>
      <x:c r="T39" s="12"/>
      <x:c r="U39" s="12"/>
      <x:c r="V39" s="12"/>
      <x:c r="W39" s="12" t="str">
        <x:f>IF($S39&lt;&gt;"",$S39,$K39)</x:f>
        <x:v>Above Norm</x:v>
      </x:c>
      <x:c r="X39" s="12" t="str">
        <x:f>IF($T39&lt;&gt;"",$T39,$L39)</x:f>
        <x:v>Maintain acceleration through 10 m</x:v>
      </x:c>
      <x:c r="Y39" s="12" t="str">
        <x:f>IF($U39&lt;&gt;"",$U39,$N39)</x:f>
        <x:v>Maintain one to two weekly high-quality acceleration exposures. Add varied starts and light resistance while monitoring consistency across trials.</x:v>
      </x:c>
      <x:c r="Z39" s="12" t="str">
        <x:f>IF($V39&lt;&gt;"",$V39,$O39)</x:f>
        <x:v>RVX Advanced Acceleration</x:v>
      </x:c>
      <x:c r="AA39" s="12"/>
    </x:row>
    <x:row r="40">
      <x:c r="A40" s="12" t="str">
        <x:v>RVX-00007</x:v>
      </x:c>
      <x:c r="B40" s="12" t="str">
        <x:f>IFERROR(VLOOKUP($A40,Athlete_Profile!$A$2:$L$51,6,FALSE),"")</x:f>
        <x:v>Hockey</x:v>
      </x:c>
      <x:c r="C40" s="12" t="str">
        <x:f>IFERROR(VLOOKUP($A40,Athlete_Profile!$A$2:$L$51,5,FALSE),"")</x:f>
        <x:v>Female</x:v>
      </x:c>
      <x:c r="D40" s="12" t="str">
        <x:v>pro_agility</x:v>
      </x:c>
      <x:c r="E40" s="12" t="str">
        <x:f>IFERROR(VLOOKUP($D40,Dropdown_Lists!$K$2:$N$7,2,FALSE),"")</x:f>
        <x:v>5-10-5 Pro Agility</x:v>
      </x:c>
      <x:c r="F40" s="12" t="str">
        <x:f>IFERROR(VLOOKUP($D40,Dropdown_Lists!$K$2:$N$7,3,FALSE),"")</x:f>
        <x:v>lower</x:v>
      </x:c>
      <x:c r="G40" s="17" t="n">
        <x:f>IFERROR(LOOKUP(2,1/((Performance_Metrics!$A$2:$A$3000=$A40)*(Performance_Metrics!$D$2:$D$3000=$D40)),Performance_Metrics!$C$2:$C$3000),"")</x:f>
        <x:v>46230</x:v>
      </x:c>
      <x:c r="H40" s="12" t="n">
        <x:f>IFERROR(LOOKUP(2,1/((Performance_Metrics!$A$2:$A$3000=$A40)*(Performance_Metrics!$D$2:$D$3000=$D40)),Performance_Metrics!$G$2:$G$3000),"")</x:f>
        <x:v>4.19</x:v>
      </x:c>
      <x:c r="I40" s="12" t="n">
        <x:f>IFERROR(SUMIFS(Normative_Data!$G$2:$G$1000,Normative_Data!$A$2:$A$1000,$B40,Normative_Data!$B$2:$B$1000,$C40,Normative_Data!$E$2:$E$1000,$D40),"")</x:f>
        <x:v>4.82</x:v>
      </x:c>
      <x:c r="J40" s="18" t="n">
        <x:f>IF(OR($H40="",$I40=""),"",($H40-$I40)/$I40)</x:f>
        <x:v>-0.13070539419087135</x:v>
      </x:c>
      <x:c r="K40" s="12" t="str">
        <x:f>IF(OR($H40="",$I40="",$F40=""),"",IF(ABS($J40)&lt;=0.05,"Equal to Norm",IF($F40="lower",IF($H40&lt;$I40,"Above Norm","Below Norm"),IF($H40&gt;$I40,"Above Norm","Below Norm"))))</x:f>
        <x:v>Above Norm</x:v>
      </x:c>
      <x:c r="L40" s="12" t="str">
        <x:f>IFERROR(VLOOKUP($D40&amp;"|"&amp;$K40,Recommendation_Lookup!$A$2:$H$19,2,FALSE),"")</x:f>
        <x:v>Maintain change-of-direction performance</x:v>
      </x:c>
      <x:c r="M40" s="12" t="str">
        <x:f>IFERROR(VLOOKUP($D40&amp;"|"&amp;$K40,Recommendation_Lookup!$A$2:$H$19,3,FALSE),"")</x:f>
        <x:v>Reactive decision-making; braking tolerance; bilateral symmetry; movement variability</x:v>
      </x:c>
      <x:c r="N40" s="12" t="str">
        <x:f>IFERROR(VLOOKUP($D40&amp;"|"&amp;$K40,Recommendation_Lookup!$A$2:$H$19,4,FALSE),"")</x:f>
        <x:v>Maintain planned change-of-direction work and progress toward reactive agility. Use low-volume, high-quality exposures with multiple starting and turning strategies.</x:v>
      </x:c>
      <x:c r="O40" s="12" t="str">
        <x:f>IFERROR(VLOOKUP($D40&amp;"|"&amp;$K40,Recommendation_Lookup!$A$2:$H$19,5,FALSE),"")</x:f>
        <x:v>RVX Advanced Change of Direction</x:v>
      </x:c>
      <x:c r="P40" s="12" t="str">
        <x:f>IFERROR(VLOOKUP($D40&amp;"|"&amp;$K40,Recommendation_Lookup!$A$2:$H$19,6,FALSE),"")</x:f>
        <x:v>RVX Reactive Agility</x:v>
      </x:c>
      <x:c r="Q40" s="12" t="str">
        <x:f>IFERROR(VLOOKUP($D40&amp;"|"&amp;$K40,Recommendation_Lookup!$A$2:$H$19,7,FALSE),"")</x:f>
        <x:v>Brake under control, own the plant and accelerate out immediately.</x:v>
      </x:c>
      <x:c r="R40" s="12" t="str">
        <x:f>IFERROR(VLOOKUP($D40&amp;"|"&amp;$K40,Recommendation_Lookup!$A$2:$H$19,8,FALSE),"")</x:f>
        <x:v>Retest every 6–8 weeks with left and right trial review.</x:v>
      </x:c>
      <x:c r="S40" s="12"/>
      <x:c r="T40" s="12"/>
      <x:c r="U40" s="12"/>
      <x:c r="V40" s="12"/>
      <x:c r="W40" s="12" t="str">
        <x:f>IF($S40&lt;&gt;"",$S40,$K40)</x:f>
        <x:v>Above Norm</x:v>
      </x:c>
      <x:c r="X40" s="12" t="str">
        <x:f>IF($T40&lt;&gt;"",$T40,$L40)</x:f>
        <x:v>Maintain change-of-direction performance</x:v>
      </x:c>
      <x:c r="Y40" s="12" t="str">
        <x:f>IF($U40&lt;&gt;"",$U40,$N40)</x:f>
        <x:v>Maintain planned change-of-direction work and progress toward reactive agility. Use low-volume, high-quality exposures with multiple starting and turning strategies.</x:v>
      </x:c>
      <x:c r="Z40" s="12" t="str">
        <x:f>IF($V40&lt;&gt;"",$V40,$O40)</x:f>
        <x:v>RVX Advanced Change of Direction</x:v>
      </x:c>
      <x:c r="AA40" s="12"/>
    </x:row>
    <x:row r="41">
      <x:c r="A41" s="12" t="str">
        <x:v>RVX-00007</x:v>
      </x:c>
      <x:c r="B41" s="12" t="str">
        <x:f>IFERROR(VLOOKUP($A41,Athlete_Profile!$A$2:$L$51,6,FALSE),"")</x:f>
        <x:v>Hockey</x:v>
      </x:c>
      <x:c r="C41" s="12" t="str">
        <x:f>IFERROR(VLOOKUP($A41,Athlete_Profile!$A$2:$L$51,5,FALSE),"")</x:f>
        <x:v>Female</x:v>
      </x:c>
      <x:c r="D41" s="12" t="str">
        <x:v>cmj_depth</x:v>
      </x:c>
      <x:c r="E41" s="12" t="str">
        <x:f>IFERROR(VLOOKUP($D41,Dropdown_Lists!$K$2:$N$7,2,FALSE),"")</x:f>
        <x:v>Countermovement Depth</x:v>
      </x:c>
      <x:c r="F41" s="12" t="str">
        <x:f>IFERROR(VLOOKUP($D41,Dropdown_Lists!$K$2:$N$7,3,FALSE),"")</x:f>
        <x:v>higher</x:v>
      </x:c>
      <x:c r="G41" s="17" t="n">
        <x:f>IFERROR(LOOKUP(2,1/((Performance_Metrics!$A$2:$A$3000=$A41)*(Performance_Metrics!$D$2:$D$3000=$D41)),Performance_Metrics!$C$2:$C$3000),"")</x:f>
        <x:v>46230</x:v>
      </x:c>
      <x:c r="H41" s="12" t="n">
        <x:f>IFERROR(LOOKUP(2,1/((Performance_Metrics!$A$2:$A$3000=$A41)*(Performance_Metrics!$D$2:$D$3000=$D41)),Performance_Metrics!$G$2:$G$3000),"")</x:f>
        <x:v>34.2</x:v>
      </x:c>
      <x:c r="I41" s="12" t="n">
        <x:f>IFERROR(SUMIFS(Normative_Data!$G$2:$G$1000,Normative_Data!$A$2:$A$1000,$B41,Normative_Data!$B$2:$B$1000,$C41,Normative_Data!$E$2:$E$1000,$D41),"")</x:f>
        <x:v>30</x:v>
      </x:c>
      <x:c r="J41" s="18" t="n">
        <x:f>IF(OR($H41="",$I41=""),"",($H41-$I41)/$I41)</x:f>
        <x:v>0.1400000000000001</x:v>
      </x:c>
      <x:c r="K41" s="12" t="str">
        <x:f>IF(OR($H41="",$I41="",$F41=""),"",IF(ABS($J41)&lt;=0.05,"Equal to Norm",IF($F41="lower",IF($H41&lt;$I41,"Above Norm","Below Norm"),IF($H41&gt;$I41,"Above Norm","Below Norm"))))</x:f>
        <x:v>Above Norm</x:v>
      </x:c>
      <x:c r="L41" s="12" t="str">
        <x:f>IFERROR(VLOOKUP($D41&amp;"|"&amp;$K41,Recommendation_Lookup!$A$2:$H$19,2,FALSE),"")</x:f>
        <x:v>Maintain effective countermovement strategy</x:v>
      </x:c>
      <x:c r="M41" s="12" t="str">
        <x:f>IFERROR(VLOOKUP($D41&amp;"|"&amp;$K41,Recommendation_Lookup!$A$2:$H$19,3,FALSE),"")</x:f>
        <x:v>Movement efficiency; eccentric control; jump consistency; depth-to-output relationship</x:v>
      </x:c>
      <x:c r="N41" s="12" t="str">
        <x:f>IFERROR(VLOOKUP($D41&amp;"|"&amp;$K41,Recommendation_Lookup!$A$2:$H$19,4,FALSE),"")</x:f>
        <x:v>Maintain the athlete’s preferred countermovement strategy while ensuring the additional depth contributes to force and impulse rather than excessive movement time.</x:v>
      </x:c>
      <x:c r="O41" s="12" t="str">
        <x:f>IFERROR(VLOOKUP($D41&amp;"|"&amp;$K41,Recommendation_Lookup!$A$2:$H$19,5,FALSE),"")</x:f>
        <x:v>RVX Jump Performance Advanced</x:v>
      </x:c>
      <x:c r="P41" s="12" t="str">
        <x:f>IFERROR(VLOOKUP($D41&amp;"|"&amp;$K41,Recommendation_Lookup!$A$2:$H$19,6,FALSE),"")</x:f>
        <x:v>RVX Eccentric Strength Microdose</x:v>
      </x:c>
      <x:c r="Q41" s="12" t="str">
        <x:f>IFERROR(VLOOKUP($D41&amp;"|"&amp;$K41,Recommendation_Lookup!$A$2:$H$19,7,FALSE),"")</x:f>
        <x:v>Use the depth you can control, then reverse quickly and aggressively.</x:v>
      </x:c>
      <x:c r="R41" s="12" t="str">
        <x:f>IFERROR(VLOOKUP($D41&amp;"|"&amp;$K41,Recommendation_Lookup!$A$2:$H$19,8,FALSE),"")</x:f>
        <x:v>Retest every 6–8 weeks while monitoring jump height and contraction time.</x:v>
      </x:c>
      <x:c r="S41" s="12"/>
      <x:c r="T41" s="12"/>
      <x:c r="U41" s="12"/>
      <x:c r="V41" s="12"/>
      <x:c r="W41" s="12" t="str">
        <x:f>IF($S41&lt;&gt;"",$S41,$K41)</x:f>
        <x:v>Above Norm</x:v>
      </x:c>
      <x:c r="X41" s="12" t="str">
        <x:f>IF($T41&lt;&gt;"",$T41,$L41)</x:f>
        <x:v>Maintain effective countermovement strategy</x:v>
      </x:c>
      <x:c r="Y41" s="12" t="str">
        <x:f>IF($U41&lt;&gt;"",$U41,$N41)</x:f>
        <x:v>Maintain the athlete’s preferred countermovement strategy while ensuring the additional depth contributes to force and impulse rather than excessive movement time.</x:v>
      </x:c>
      <x:c r="Z41" s="12" t="str">
        <x:f>IF($V41&lt;&gt;"",$V41,$O41)</x:f>
        <x:v>RVX Jump Performance Advanced</x:v>
      </x:c>
      <x:c r="AA41" s="12"/>
    </x:row>
    <x:row r="42">
      <x:c r="A42" s="12" t="str">
        <x:v>RVX-00007</x:v>
      </x:c>
      <x:c r="B42" s="12" t="str">
        <x:f>IFERROR(VLOOKUP($A42,Athlete_Profile!$A$2:$L$51,6,FALSE),"")</x:f>
        <x:v>Hockey</x:v>
      </x:c>
      <x:c r="C42" s="12" t="str">
        <x:f>IFERROR(VLOOKUP($A42,Athlete_Profile!$A$2:$L$51,5,FALSE),"")</x:f>
        <x:v>Female</x:v>
      </x:c>
      <x:c r="D42" s="12" t="str">
        <x:v>peak_force</x:v>
      </x:c>
      <x:c r="E42" s="12" t="str">
        <x:f>IFERROR(VLOOKUP($D42,Dropdown_Lists!$K$2:$N$7,2,FALSE),"")</x:f>
        <x:v>Peak Force</x:v>
      </x:c>
      <x:c r="F42" s="12" t="str">
        <x:f>IFERROR(VLOOKUP($D42,Dropdown_Lists!$K$2:$N$7,3,FALSE),"")</x:f>
        <x:v>higher</x:v>
      </x:c>
      <x:c r="G42" s="17" t="n">
        <x:f>IFERROR(LOOKUP(2,1/((Performance_Metrics!$A$2:$A$3000=$A42)*(Performance_Metrics!$D$2:$D$3000=$D42)),Performance_Metrics!$C$2:$C$3000),"")</x:f>
        <x:v>46230</x:v>
      </x:c>
      <x:c r="H42" s="12" t="n">
        <x:f>IFERROR(LOOKUP(2,1/((Performance_Metrics!$A$2:$A$3000=$A42)*(Performance_Metrics!$D$2:$D$3000=$D42)),Performance_Metrics!$G$2:$G$3000),"")</x:f>
        <x:v>2044</x:v>
      </x:c>
      <x:c r="I42" s="12" t="n">
        <x:f>IFERROR(SUMIFS(Normative_Data!$G$2:$G$1000,Normative_Data!$A$2:$A$1000,$B42,Normative_Data!$B$2:$B$1000,$C42,Normative_Data!$E$2:$E$1000,$D42),"")</x:f>
        <x:v>1750</x:v>
      </x:c>
      <x:c r="J42" s="18" t="n">
        <x:f>IF(OR($H42="",$I42=""),"",($H42-$I42)/$I42)</x:f>
        <x:v>0.168</x:v>
      </x:c>
      <x:c r="K42" s="12" t="str">
        <x:f>IF(OR($H42="",$I42="",$F42=""),"",IF(ABS($J42)&lt;=0.05,"Equal to Norm",IF($F42="lower",IF($H42&lt;$I42,"Above Norm","Below Norm"),IF($H42&gt;$I42,"Above Norm","Below Norm"))))</x:f>
        <x:v>Above Norm</x:v>
      </x:c>
      <x:c r="L42" s="12" t="str">
        <x:f>IFERROR(VLOOKUP($D42&amp;"|"&amp;$K42,Recommendation_Lookup!$A$2:$H$19,2,FALSE),"")</x:f>
        <x:v>Maintain maximal force qualities</x:v>
      </x:c>
      <x:c r="M42" s="12" t="str">
        <x:f>IFERROR(VLOOKUP($D42&amp;"|"&amp;$K42,Recommendation_Lookup!$A$2:$H$19,3,FALSE),"")</x:f>
        <x:v>Force application speed; asymmetry; fatigue management; sport transfer</x:v>
      </x:c>
      <x:c r="N42" s="12" t="str">
        <x:f>IFERROR(VLOOKUP($D42&amp;"|"&amp;$K42,Recommendation_Lookup!$A$2:$H$19,4,FALSE),"")</x:f>
        <x:v>Maintain maximal force with low-volume strength exposure while shifting selected work toward power and sport-specific application. Monitor asymmetry and fatigue.</x:v>
      </x:c>
      <x:c r="O42" s="12" t="str">
        <x:f>IFERROR(VLOOKUP($D42&amp;"|"&amp;$K42,Recommendation_Lookup!$A$2:$H$19,5,FALSE),"")</x:f>
        <x:v>RVX Advanced Strength-Power</x:v>
      </x:c>
      <x:c r="P42" s="12" t="str">
        <x:f>IFERROR(VLOOKUP($D42&amp;"|"&amp;$K42,Recommendation_Lookup!$A$2:$H$19,6,FALSE),"")</x:f>
        <x:v>RVX Force Maintenance Microdose</x:v>
      </x:c>
      <x:c r="Q42" s="12" t="str">
        <x:f>IFERROR(VLOOKUP($D42&amp;"|"&amp;$K42,Recommendation_Lookup!$A$2:$H$19,7,FALSE),"")</x:f>
        <x:v>Produce high force without losing position or movement speed.</x:v>
      </x:c>
      <x:c r="R42" s="12" t="str">
        <x:f>IFERROR(VLOOKUP($D42&amp;"|"&amp;$K42,Recommendation_Lookup!$A$2:$H$19,8,FALSE),"")</x:f>
        <x:v>Retest every 6–8 weeks or following a strength-power phase.</x:v>
      </x:c>
      <x:c r="S42" s="12"/>
      <x:c r="T42" s="12"/>
      <x:c r="U42" s="12"/>
      <x:c r="V42" s="12"/>
      <x:c r="W42" s="12" t="str">
        <x:f>IF($S42&lt;&gt;"",$S42,$K42)</x:f>
        <x:v>Above Norm</x:v>
      </x:c>
      <x:c r="X42" s="12" t="str">
        <x:f>IF($T42&lt;&gt;"",$T42,$L42)</x:f>
        <x:v>Maintain maximal force qualities</x:v>
      </x:c>
      <x:c r="Y42" s="12" t="str">
        <x:f>IF($U42&lt;&gt;"",$U42,$N42)</x:f>
        <x:v>Maintain maximal force with low-volume strength exposure while shifting selected work toward power and sport-specific application. Monitor asymmetry and fatigue.</x:v>
      </x:c>
      <x:c r="Z42" s="12" t="str">
        <x:f>IF($V42&lt;&gt;"",$V42,$O42)</x:f>
        <x:v>RVX Advanced Strength-Power</x:v>
      </x:c>
      <x:c r="AA42" s="12"/>
    </x:row>
    <x:row r="43">
      <x:c r="A43" s="12" t="str">
        <x:v>RVX-00007</x:v>
      </x:c>
      <x:c r="B43" s="12" t="str">
        <x:f>IFERROR(VLOOKUP($A43,Athlete_Profile!$A$2:$L$51,6,FALSE),"")</x:f>
        <x:v>Hockey</x:v>
      </x:c>
      <x:c r="C43" s="12" t="str">
        <x:f>IFERROR(VLOOKUP($A43,Athlete_Profile!$A$2:$L$51,5,FALSE),"")</x:f>
        <x:v>Female</x:v>
      </x:c>
      <x:c r="D43" s="12" t="str">
        <x:v>impulse</x:v>
      </x:c>
      <x:c r="E43" s="12" t="str">
        <x:f>IFERROR(VLOOKUP($D43,Dropdown_Lists!$K$2:$N$7,2,FALSE),"")</x:f>
        <x:v>Impulse-Momentum</x:v>
      </x:c>
      <x:c r="F43" s="12" t="str">
        <x:f>IFERROR(VLOOKUP($D43,Dropdown_Lists!$K$2:$N$7,3,FALSE),"")</x:f>
        <x:v>higher</x:v>
      </x:c>
      <x:c r="G43" s="17" t="n">
        <x:f>IFERROR(LOOKUP(2,1/((Performance_Metrics!$A$2:$A$3000=$A43)*(Performance_Metrics!$D$2:$D$3000=$D43)),Performance_Metrics!$C$2:$C$3000),"")</x:f>
        <x:v>46230</x:v>
      </x:c>
      <x:c r="H43" s="12" t="n">
        <x:f>IFERROR(LOOKUP(2,1/((Performance_Metrics!$A$2:$A$3000=$A43)*(Performance_Metrics!$D$2:$D$3000=$D43)),Performance_Metrics!$G$2:$G$3000),"")</x:f>
        <x:v>252.6</x:v>
      </x:c>
      <x:c r="I43" s="12" t="n">
        <x:f>IFERROR(SUMIFS(Normative_Data!$G$2:$G$1000,Normative_Data!$A$2:$A$1000,$B43,Normative_Data!$B$2:$B$1000,$C43,Normative_Data!$E$2:$E$1000,$D43),"")</x:f>
        <x:v>215</x:v>
      </x:c>
      <x:c r="J43" s="18" t="n">
        <x:f>IF(OR($H43="",$I43=""),"",($H43-$I43)/$I43)</x:f>
        <x:v>0.17488372093023252</x:v>
      </x:c>
      <x:c r="K43" s="12" t="str">
        <x:f>IF(OR($H43="",$I43="",$F43=""),"",IF(ABS($J43)&lt;=0.05,"Equal to Norm",IF($F43="lower",IF($H43&lt;$I43,"Above Norm","Below Norm"),IF($H43&gt;$I43,"Above Norm","Below Norm"))))</x:f>
        <x:v>Above Norm</x:v>
      </x:c>
      <x:c r="L43" s="12" t="str">
        <x:f>IFERROR(VLOOKUP($D43&amp;"|"&amp;$K43,Recommendation_Lookup!$A$2:$H$19,2,FALSE),"")</x:f>
        <x:v>Maintain total force-time output</x:v>
      </x:c>
      <x:c r="M43" s="12" t="str">
        <x:f>IFERROR(VLOOKUP($D43&amp;"|"&amp;$K43,Recommendation_Lookup!$A$2:$H$19,3,FALSE),"")</x:f>
        <x:v>Rate of force development; movement time; power transfer; fatigue resistance</x:v>
      </x:c>
      <x:c r="N43" s="12" t="str">
        <x:f>IFERROR(VLOOKUP($D43&amp;"|"&amp;$K43,Recommendation_Lookup!$A$2:$H$19,4,FALSE),"")</x:f>
        <x:v>Maintain impulse with strength-power microdosing and varied jump or sprint exposures. Ensure high impulse is achieved efficiently rather than through excessive movement time.</x:v>
      </x:c>
      <x:c r="O43" s="12" t="str">
        <x:f>IFERROR(VLOOKUP($D43&amp;"|"&amp;$K43,Recommendation_Lookup!$A$2:$H$19,5,FALSE),"")</x:f>
        <x:v>RVX Advanced Power Development</x:v>
      </x:c>
      <x:c r="P43" s="12" t="str">
        <x:f>IFERROR(VLOOKUP($D43&amp;"|"&amp;$K43,Recommendation_Lookup!$A$2:$H$19,6,FALSE),"")</x:f>
        <x:v>RVX Elastic Power Microdose</x:v>
      </x:c>
      <x:c r="Q43" s="12" t="str">
        <x:f>IFERROR(VLOOKUP($D43&amp;"|"&amp;$K43,Recommendation_Lookup!$A$2:$H$19,7,FALSE),"")</x:f>
        <x:v>Build force quickly and keep applying it through the full movement.</x:v>
      </x:c>
      <x:c r="R43" s="12" t="str">
        <x:f>IFERROR(VLOOKUP($D43&amp;"|"&amp;$K43,Recommendation_Lookup!$A$2:$H$19,8,FALSE),"")</x:f>
        <x:v>Retest every 6–8 weeks while reviewing contraction time and jump outcome.</x:v>
      </x:c>
      <x:c r="S43" s="12"/>
      <x:c r="T43" s="12"/>
      <x:c r="U43" s="12"/>
      <x:c r="V43" s="12"/>
      <x:c r="W43" s="12" t="str">
        <x:f>IF($S43&lt;&gt;"",$S43,$K43)</x:f>
        <x:v>Above Norm</x:v>
      </x:c>
      <x:c r="X43" s="12" t="str">
        <x:f>IF($T43&lt;&gt;"",$T43,$L43)</x:f>
        <x:v>Maintain total force-time output</x:v>
      </x:c>
      <x:c r="Y43" s="12" t="str">
        <x:f>IF($U43&lt;&gt;"",$U43,$N43)</x:f>
        <x:v>Maintain impulse with strength-power microdosing and varied jump or sprint exposures. Ensure high impulse is achieved efficiently rather than through excessive movement time.</x:v>
      </x:c>
      <x:c r="Z43" s="12" t="str">
        <x:f>IF($V43&lt;&gt;"",$V43,$O43)</x:f>
        <x:v>RVX Advanced Power Development</x:v>
      </x:c>
      <x:c r="AA43" s="12"/>
    </x:row>
    <x:row r="44">
      <x:c r="A44" s="12" t="str">
        <x:v>RVX-00008</x:v>
      </x:c>
      <x:c r="B44" s="12" t="str">
        <x:f>IFERROR(VLOOKUP($A44,Athlete_Profile!$A$2:$L$51,6,FALSE),"")</x:f>
        <x:v>Hockey</x:v>
      </x:c>
      <x:c r="C44" s="12" t="str">
        <x:f>IFERROR(VLOOKUP($A44,Athlete_Profile!$A$2:$L$51,5,FALSE),"")</x:f>
        <x:v>Male</x:v>
      </x:c>
      <x:c r="D44" s="12" t="str">
        <x:v>sprint_5m</x:v>
      </x:c>
      <x:c r="E44" s="12" t="str">
        <x:f>IFERROR(VLOOKUP($D44,Dropdown_Lists!$K$2:$N$7,2,FALSE),"")</x:f>
        <x:v>5m Sprint</x:v>
      </x:c>
      <x:c r="F44" s="12" t="str">
        <x:f>IFERROR(VLOOKUP($D44,Dropdown_Lists!$K$2:$N$7,3,FALSE),"")</x:f>
        <x:v>lower</x:v>
      </x:c>
      <x:c r="G44" s="17" t="n">
        <x:f>IFERROR(LOOKUP(2,1/((Performance_Metrics!$A$2:$A$3000=$A44)*(Performance_Metrics!$D$2:$D$3000=$D44)),Performance_Metrics!$C$2:$C$3000),"")</x:f>
        <x:v>46230</x:v>
      </x:c>
      <x:c r="H44" s="12" t="n">
        <x:f>IFERROR(LOOKUP(2,1/((Performance_Metrics!$A$2:$A$3000=$A44)*(Performance_Metrics!$D$2:$D$3000=$D44)),Performance_Metrics!$G$2:$G$3000),"")</x:f>
        <x:v>1.01</x:v>
      </x:c>
      <x:c r="I44" s="12" t="n">
        <x:f>IFERROR(SUMIFS(Normative_Data!$G$2:$G$1000,Normative_Data!$A$2:$A$1000,$B44,Normative_Data!$B$2:$B$1000,$C44,Normative_Data!$E$2:$E$1000,$D44),"")</x:f>
        <x:v>1.08</x:v>
      </x:c>
      <x:c r="J44" s="18" t="n">
        <x:f>IF(OR($H44="",$I44=""),"",($H44-$I44)/$I44)</x:f>
        <x:v>-0.06481481481481487</x:v>
      </x:c>
      <x:c r="K44" s="12" t="str">
        <x:f>IF(OR($H44="",$I44="",$F44=""),"",IF(ABS($J44)&lt;=0.05,"Equal to Norm",IF($F44="lower",IF($H44&lt;$I44,"Above Norm","Below Norm"),IF($H44&gt;$I44,"Above Norm","Below Norm"))))</x:f>
        <x:v>Above Norm</x:v>
      </x:c>
      <x:c r="L44" s="12" t="str">
        <x:f>IFERROR(VLOOKUP($D44&amp;"|"&amp;$K44,Recommendation_Lookup!$A$2:$H$19,2,FALSE),"")</x:f>
        <x:v>Maintain first-step explosiveness</x:v>
      </x:c>
      <x:c r="M44" s="12" t="str">
        <x:f>IFERROR(VLOOKUP($D44&amp;"|"&amp;$K44,Recommendation_Lookup!$A$2:$H$19,3,FALSE),"")</x:f>
        <x:v>Start consistency; projection angle; horizontal force; reaction quality</x:v>
      </x:c>
      <x:c r="N44" s="12" t="str">
        <x:f>IFERROR(VLOOKUP($D44&amp;"|"&amp;$K44,Recommendation_Lookup!$A$2:$H$19,4,FALSE),"")</x:f>
        <x:v>Maintain speed with low-volume, high-quality acceleration exposures. Avoid unnecessary volume that could reduce sprint quality. Progress through resisted and reactive starts while preserving mechanics.</x:v>
      </x:c>
      <x:c r="O44" s="12" t="str">
        <x:f>IFERROR(VLOOKUP($D44&amp;"|"&amp;$K44,Recommendation_Lookup!$A$2:$H$19,5,FALSE),"")</x:f>
        <x:v>RVX Advanced Acceleration</x:v>
      </x:c>
      <x:c r="P44" s="12" t="str">
        <x:f>IFERROR(VLOOKUP($D44&amp;"|"&amp;$K44,Recommendation_Lookup!$A$2:$H$19,6,FALSE),"")</x:f>
        <x:v>RVX Explosive Starts Microdose</x:v>
      </x:c>
      <x:c r="Q44" s="12" t="str">
        <x:f>IFERROR(VLOOKUP($D44&amp;"|"&amp;$K44,Recommendation_Lookup!$A$2:$H$19,7,FALSE),"")</x:f>
        <x:v>Project forward, push the ground back, and win the first three steps.</x:v>
      </x:c>
      <x:c r="R44" s="12" t="str">
        <x:f>IFERROR(VLOOKUP($D44&amp;"|"&amp;$K44,Recommendation_Lookup!$A$2:$H$19,8,FALSE),"")</x:f>
        <x:v>Retest every 6–8 weeks or after a dedicated acceleration block.</x:v>
      </x:c>
      <x:c r="S44" s="12"/>
      <x:c r="T44" s="12"/>
      <x:c r="U44" s="12"/>
      <x:c r="V44" s="12"/>
      <x:c r="W44" s="12" t="str">
        <x:f>IF($S44&lt;&gt;"",$S44,$K44)</x:f>
        <x:v>Above Norm</x:v>
      </x:c>
      <x:c r="X44" s="12" t="str">
        <x:f>IF($T44&lt;&gt;"",$T44,$L44)</x:f>
        <x:v>Maintain first-step explosiveness</x:v>
      </x:c>
      <x:c r="Y44" s="12" t="str">
        <x:f>IF($U44&lt;&gt;"",$U44,$N44)</x:f>
        <x:v>Maintain speed with low-volume, high-quality acceleration exposures. Avoid unnecessary volume that could reduce sprint quality. Progress through resisted and reactive starts while preserving mechanics.</x:v>
      </x:c>
      <x:c r="Z44" s="12" t="str">
        <x:f>IF($V44&lt;&gt;"",$V44,$O44)</x:f>
        <x:v>RVX Advanced Acceleration</x:v>
      </x:c>
      <x:c r="AA44" s="12"/>
    </x:row>
    <x:row r="45">
      <x:c r="A45" s="12" t="str">
        <x:v>RVX-00008</x:v>
      </x:c>
      <x:c r="B45" s="12" t="str">
        <x:f>IFERROR(VLOOKUP($A45,Athlete_Profile!$A$2:$L$51,6,FALSE),"")</x:f>
        <x:v>Hockey</x:v>
      </x:c>
      <x:c r="C45" s="12" t="str">
        <x:f>IFERROR(VLOOKUP($A45,Athlete_Profile!$A$2:$L$51,5,FALSE),"")</x:f>
        <x:v>Male</x:v>
      </x:c>
      <x:c r="D45" s="12" t="str">
        <x:v>sprint_10m</x:v>
      </x:c>
      <x:c r="E45" s="12" t="str">
        <x:f>IFERROR(VLOOKUP($D45,Dropdown_Lists!$K$2:$N$7,2,FALSE),"")</x:f>
        <x:v>10m Sprint</x:v>
      </x:c>
      <x:c r="F45" s="12" t="str">
        <x:f>IFERROR(VLOOKUP($D45,Dropdown_Lists!$K$2:$N$7,3,FALSE),"")</x:f>
        <x:v>lower</x:v>
      </x:c>
      <x:c r="G45" s="17" t="n">
        <x:f>IFERROR(LOOKUP(2,1/((Performance_Metrics!$A$2:$A$3000=$A45)*(Performance_Metrics!$D$2:$D$3000=$D45)),Performance_Metrics!$C$2:$C$3000),"")</x:f>
        <x:v>46230</x:v>
      </x:c>
      <x:c r="H45" s="12" t="n">
        <x:f>IFERROR(LOOKUP(2,1/((Performance_Metrics!$A$2:$A$3000=$A45)*(Performance_Metrics!$D$2:$D$3000=$D45)),Performance_Metrics!$G$2:$G$3000),"")</x:f>
        <x:v>1.73</x:v>
      </x:c>
      <x:c r="I45" s="12" t="n">
        <x:f>IFERROR(SUMIFS(Normative_Data!$G$2:$G$1000,Normative_Data!$A$2:$A$1000,$B45,Normative_Data!$B$2:$B$1000,$C45,Normative_Data!$E$2:$E$1000,$D45),"")</x:f>
        <x:v>1.8</x:v>
      </x:c>
      <x:c r="J45" s="18" t="n">
        <x:f>IF(OR($H45="",$I45=""),"",($H45-$I45)/$I45)</x:f>
        <x:v>-0.038888888888888924</x:v>
      </x:c>
      <x:c r="K45" s="12" t="str">
        <x:f>IF(OR($H45="",$I45="",$F45=""),"",IF(ABS($J45)&lt;=0.05,"Equal to Norm",IF($F45="lower",IF($H45&lt;$I45,"Above Norm","Below Norm"),IF($H45&gt;$I45,"Above Norm","Below Norm"))))</x:f>
        <x:v>Equal to Norm</x:v>
      </x:c>
      <x:c r="L45" s="12" t="str">
        <x:f>IFERROR(VLOOKUP($D45&amp;"|"&amp;$K45,Recommendation_Lookup!$A$2:$H$19,2,FALSE),"")</x:f>
        <x:v>Improve acceleration continuation</x:v>
      </x:c>
      <x:c r="M45" s="12" t="str">
        <x:f>IFERROR(VLOOKUP($D45&amp;"|"&amp;$K45,Recommendation_Lookup!$A$2:$H$19,3,FALSE),"")</x:f>
        <x:v>Projection; force orientation; step rhythm; trunk control</x:v>
      </x:c>
      <x:c r="N45" s="12" t="str">
        <x:f>IFERROR(VLOOKUP($D45&amp;"|"&amp;$K45,Recommendation_Lookup!$A$2:$H$19,4,FALSE),"")</x:f>
        <x:v>Build acceleration from 0–10 m using split starts, falling starts and progressive resisted sprints. Emphasize full recovery and technical consistency.</x:v>
      </x:c>
      <x:c r="O45" s="12" t="str">
        <x:f>IFERROR(VLOOKUP($D45&amp;"|"&amp;$K45,Recommendation_Lookup!$A$2:$H$19,5,FALSE),"")</x:f>
        <x:v>RVX Acceleration Development</x:v>
      </x:c>
      <x:c r="P45" s="12" t="str">
        <x:f>IFERROR(VLOOKUP($D45&amp;"|"&amp;$K45,Recommendation_Lookup!$A$2:$H$19,6,FALSE),"")</x:f>
        <x:v>RVX Sprint Mechanics</x:v>
      </x:c>
      <x:c r="Q45" s="12" t="str">
        <x:f>IFERROR(VLOOKUP($D45&amp;"|"&amp;$K45,Recommendation_Lookup!$A$2:$H$19,7,FALSE),"")</x:f>
        <x:v>Keep building speed through the line; do not stand up too early.</x:v>
      </x:c>
      <x:c r="R45" s="12" t="str">
        <x:f>IFERROR(VLOOKUP($D45&amp;"|"&amp;$K45,Recommendation_Lookup!$A$2:$H$19,8,FALSE),"")</x:f>
        <x:v>Retest after 4–6 weeks.</x:v>
      </x:c>
      <x:c r="S45" s="12"/>
      <x:c r="T45" s="12"/>
      <x:c r="U45" s="12"/>
      <x:c r="V45" s="12"/>
      <x:c r="W45" s="12" t="str">
        <x:f>IF($S45&lt;&gt;"",$S45,$K45)</x:f>
        <x:v>Equal to Norm</x:v>
      </x:c>
      <x:c r="X45" s="12" t="str">
        <x:f>IF($T45&lt;&gt;"",$T45,$L45)</x:f>
        <x:v>Improve acceleration continuation</x:v>
      </x:c>
      <x:c r="Y45" s="12" t="str">
        <x:f>IF($U45&lt;&gt;"",$U45,$N45)</x:f>
        <x:v>Build acceleration from 0–10 m using split starts, falling starts and progressive resisted sprints. Emphasize full recovery and technical consistency.</x:v>
      </x:c>
      <x:c r="Z45" s="12" t="str">
        <x:f>IF($V45&lt;&gt;"",$V45,$O45)</x:f>
        <x:v>RVX Acceleration Development</x:v>
      </x:c>
      <x:c r="AA45" s="12"/>
    </x:row>
    <x:row r="46">
      <x:c r="A46" s="12" t="str">
        <x:v>RVX-00008</x:v>
      </x:c>
      <x:c r="B46" s="12" t="str">
        <x:f>IFERROR(VLOOKUP($A46,Athlete_Profile!$A$2:$L$51,6,FALSE),"")</x:f>
        <x:v>Hockey</x:v>
      </x:c>
      <x:c r="C46" s="12" t="str">
        <x:f>IFERROR(VLOOKUP($A46,Athlete_Profile!$A$2:$L$51,5,FALSE),"")</x:f>
        <x:v>Male</x:v>
      </x:c>
      <x:c r="D46" s="12" t="str">
        <x:v>pro_agility</x:v>
      </x:c>
      <x:c r="E46" s="12" t="str">
        <x:f>IFERROR(VLOOKUP($D46,Dropdown_Lists!$K$2:$N$7,2,FALSE),"")</x:f>
        <x:v>5-10-5 Pro Agility</x:v>
      </x:c>
      <x:c r="F46" s="12" t="str">
        <x:f>IFERROR(VLOOKUP($D46,Dropdown_Lists!$K$2:$N$7,3,FALSE),"")</x:f>
        <x:v>lower</x:v>
      </x:c>
      <x:c r="G46" s="17" t="n">
        <x:f>IFERROR(LOOKUP(2,1/((Performance_Metrics!$A$2:$A$3000=$A46)*(Performance_Metrics!$D$2:$D$3000=$D46)),Performance_Metrics!$C$2:$C$3000),"")</x:f>
        <x:v>46230</x:v>
      </x:c>
      <x:c r="H46" s="12" t="n">
        <x:f>IFERROR(LOOKUP(2,1/((Performance_Metrics!$A$2:$A$3000=$A46)*(Performance_Metrics!$D$2:$D$3000=$D46)),Performance_Metrics!$G$2:$G$3000),"")</x:f>
        <x:v>4.45</x:v>
      </x:c>
      <x:c r="I46" s="12" t="n">
        <x:f>IFERROR(SUMIFS(Normative_Data!$G$2:$G$1000,Normative_Data!$A$2:$A$1000,$B46,Normative_Data!$B$2:$B$1000,$C46,Normative_Data!$E$2:$E$1000,$D46),"")</x:f>
        <x:v>4.63</x:v>
      </x:c>
      <x:c r="J46" s="18" t="n">
        <x:f>IF(OR($H46="",$I46=""),"",($H46-$I46)/$I46)</x:f>
        <x:v>-0.03887688984881203</x:v>
      </x:c>
      <x:c r="K46" s="12" t="str">
        <x:f>IF(OR($H46="",$I46="",$F46=""),"",IF(ABS($J46)&lt;=0.05,"Equal to Norm",IF($F46="lower",IF($H46&lt;$I46,"Above Norm","Below Norm"),IF($H46&gt;$I46,"Above Norm","Below Norm"))))</x:f>
        <x:v>Equal to Norm</x:v>
      </x:c>
      <x:c r="L46" s="12" t="str">
        <x:f>IFERROR(VLOOKUP($D46&amp;"|"&amp;$K46,Recommendation_Lookup!$A$2:$H$19,2,FALSE),"")</x:f>
        <x:v>Improve braking and re-acceleration</x:v>
      </x:c>
      <x:c r="M46" s="12" t="str">
        <x:f>IFERROR(VLOOKUP($D46&amp;"|"&amp;$K46,Recommendation_Lookup!$A$2:$H$19,3,FALSE),"")</x:f>
        <x:v>Deceleration mechanics; foot placement; hip position; crossover efficiency</x:v>
      </x:c>
      <x:c r="N46" s="12" t="str">
        <x:f>IFERROR(VLOOKUP($D46&amp;"|"&amp;$K46,Recommendation_Lookup!$A$2:$H$19,4,FALSE),"")</x:f>
        <x:v>Use a structured change-of-direction block emphasizing braking positions, plant-foot control and efficient re-acceleration on both sides.</x:v>
      </x:c>
      <x:c r="O46" s="12" t="str">
        <x:f>IFERROR(VLOOKUP($D46&amp;"|"&amp;$K46,Recommendation_Lookup!$A$2:$H$19,5,FALSE),"")</x:f>
        <x:v>RVX Change of Direction Development</x:v>
      </x:c>
      <x:c r="P46" s="12" t="str">
        <x:f>IFERROR(VLOOKUP($D46&amp;"|"&amp;$K46,Recommendation_Lookup!$A$2:$H$19,6,FALSE),"")</x:f>
        <x:v>RVX Deceleration Mechanics</x:v>
      </x:c>
      <x:c r="Q46" s="12" t="str">
        <x:f>IFERROR(VLOOKUP($D46&amp;"|"&amp;$K46,Recommendation_Lookup!$A$2:$H$19,7,FALSE),"")</x:f>
        <x:v>Lower the centre of mass before the turn and push away from the plant.</x:v>
      </x:c>
      <x:c r="R46" s="12" t="str">
        <x:f>IFERROR(VLOOKUP($D46&amp;"|"&amp;$K46,Recommendation_Lookup!$A$2:$H$19,8,FALSE),"")</x:f>
        <x:v>Retest after 4–6 weeks and review directional splits if available.</x:v>
      </x:c>
      <x:c r="S46" s="12"/>
      <x:c r="T46" s="12"/>
      <x:c r="U46" s="12"/>
      <x:c r="V46" s="12"/>
      <x:c r="W46" s="12" t="str">
        <x:f>IF($S46&lt;&gt;"",$S46,$K46)</x:f>
        <x:v>Equal to Norm</x:v>
      </x:c>
      <x:c r="X46" s="12" t="str">
        <x:f>IF($T46&lt;&gt;"",$T46,$L46)</x:f>
        <x:v>Improve braking and re-acceleration</x:v>
      </x:c>
      <x:c r="Y46" s="12" t="str">
        <x:f>IF($U46&lt;&gt;"",$U46,$N46)</x:f>
        <x:v>Use a structured change-of-direction block emphasizing braking positions, plant-foot control and efficient re-acceleration on both sides.</x:v>
      </x:c>
      <x:c r="Z46" s="12" t="str">
        <x:f>IF($V46&lt;&gt;"",$V46,$O46)</x:f>
        <x:v>RVX Change of Direction Development</x:v>
      </x:c>
      <x:c r="AA46" s="12"/>
    </x:row>
    <x:row r="47">
      <x:c r="A47" s="12" t="str">
        <x:v>RVX-00008</x:v>
      </x:c>
      <x:c r="B47" s="12" t="str">
        <x:f>IFERROR(VLOOKUP($A47,Athlete_Profile!$A$2:$L$51,6,FALSE),"")</x:f>
        <x:v>Hockey</x:v>
      </x:c>
      <x:c r="C47" s="12" t="str">
        <x:f>IFERROR(VLOOKUP($A47,Athlete_Profile!$A$2:$L$51,5,FALSE),"")</x:f>
        <x:v>Male</x:v>
      </x:c>
      <x:c r="D47" s="12" t="str">
        <x:v>cmj_depth</x:v>
      </x:c>
      <x:c r="E47" s="12" t="str">
        <x:f>IFERROR(VLOOKUP($D47,Dropdown_Lists!$K$2:$N$7,2,FALSE),"")</x:f>
        <x:v>Countermovement Depth</x:v>
      </x:c>
      <x:c r="F47" s="12" t="str">
        <x:f>IFERROR(VLOOKUP($D47,Dropdown_Lists!$K$2:$N$7,3,FALSE),"")</x:f>
        <x:v>higher</x:v>
      </x:c>
      <x:c r="G47" s="17" t="n">
        <x:f>IFERROR(LOOKUP(2,1/((Performance_Metrics!$A$2:$A$3000=$A47)*(Performance_Metrics!$D$2:$D$3000=$D47)),Performance_Metrics!$C$2:$C$3000),"")</x:f>
        <x:v>46230</x:v>
      </x:c>
      <x:c r="H47" s="12" t="n">
        <x:f>IFERROR(LOOKUP(2,1/((Performance_Metrics!$A$2:$A$3000=$A47)*(Performance_Metrics!$D$2:$D$3000=$D47)),Performance_Metrics!$G$2:$G$3000),"")</x:f>
        <x:v>34.6</x:v>
      </x:c>
      <x:c r="I47" s="12" t="n">
        <x:f>IFERROR(SUMIFS(Normative_Data!$G$2:$G$1000,Normative_Data!$A$2:$A$1000,$B47,Normative_Data!$B$2:$B$1000,$C47,Normative_Data!$E$2:$E$1000,$D47),"")</x:f>
        <x:v>33</x:v>
      </x:c>
      <x:c r="J47" s="18" t="n">
        <x:f>IF(OR($H47="",$I47=""),"",($H47-$I47)/$I47)</x:f>
        <x:v>0.048484848484848526</x:v>
      </x:c>
      <x:c r="K47" s="12" t="str">
        <x:f>IF(OR($H47="",$I47="",$F47=""),"",IF(ABS($J47)&lt;=0.05,"Equal to Norm",IF($F47="lower",IF($H47&lt;$I47,"Above Norm","Below Norm"),IF($H47&gt;$I47,"Above Norm","Below Norm"))))</x:f>
        <x:v>Equal to Norm</x:v>
      </x:c>
      <x:c r="L47" s="12" t="str">
        <x:f>IFERROR(VLOOKUP($D47&amp;"|"&amp;$K47,Recommendation_Lookup!$A$2:$H$19,2,FALSE),"")</x:f>
        <x:v>Optimize countermovement strategy</x:v>
      </x:c>
      <x:c r="M47" s="12" t="str">
        <x:f>IFERROR(VLOOKUP($D47&amp;"|"&amp;$K47,Recommendation_Lookup!$A$2:$H$19,3,FALSE),"")</x:f>
        <x:v>Eccentric control; trunk position; reversal timing; mobility</x:v>
      </x:c>
      <x:c r="N47" s="12" t="str">
        <x:f>IFERROR(VLOOKUP($D47&amp;"|"&amp;$K47,Recommendation_Lookup!$A$2:$H$19,4,FALSE),"")</x:f>
        <x:v>Use controlled countermovement drills and landing-to-jump progressions. Determine whether additional or reduced depth improves the athlete’s overall jump output.</x:v>
      </x:c>
      <x:c r="O47" s="12" t="str">
        <x:f>IFERROR(VLOOKUP($D47&amp;"|"&amp;$K47,Recommendation_Lookup!$A$2:$H$19,5,FALSE),"")</x:f>
        <x:v>RVX Jump Mechanics</x:v>
      </x:c>
      <x:c r="P47" s="12" t="str">
        <x:f>IFERROR(VLOOKUP($D47&amp;"|"&amp;$K47,Recommendation_Lookup!$A$2:$H$19,6,FALSE),"")</x:f>
        <x:v>RVX Eccentric Control</x:v>
      </x:c>
      <x:c r="Q47" s="12" t="str">
        <x:f>IFERROR(VLOOKUP($D47&amp;"|"&amp;$K47,Recommendation_Lookup!$A$2:$H$19,7,FALSE),"")</x:f>
        <x:v>Sit into the movement under control and reverse without losing posture.</x:v>
      </x:c>
      <x:c r="R47" s="12" t="str">
        <x:f>IFERROR(VLOOKUP($D47&amp;"|"&amp;$K47,Recommendation_Lookup!$A$2:$H$19,8,FALSE),"")</x:f>
        <x:v>Retest after 4–6 weeks with jump height and impulse reviewed together.</x:v>
      </x:c>
      <x:c r="S47" s="12"/>
      <x:c r="T47" s="12"/>
      <x:c r="U47" s="12"/>
      <x:c r="V47" s="12"/>
      <x:c r="W47" s="12" t="str">
        <x:f>IF($S47&lt;&gt;"",$S47,$K47)</x:f>
        <x:v>Equal to Norm</x:v>
      </x:c>
      <x:c r="X47" s="12" t="str">
        <x:f>IF($T47&lt;&gt;"",$T47,$L47)</x:f>
        <x:v>Optimize countermovement strategy</x:v>
      </x:c>
      <x:c r="Y47" s="12" t="str">
        <x:f>IF($U47&lt;&gt;"",$U47,$N47)</x:f>
        <x:v>Use controlled countermovement drills and landing-to-jump progressions. Determine whether additional or reduced depth improves the athlete’s overall jump output.</x:v>
      </x:c>
      <x:c r="Z47" s="12" t="str">
        <x:f>IF($V47&lt;&gt;"",$V47,$O47)</x:f>
        <x:v>RVX Jump Mechanics</x:v>
      </x:c>
      <x:c r="AA47" s="12"/>
    </x:row>
    <x:row r="48">
      <x:c r="A48" s="12" t="str">
        <x:v>RVX-00008</x:v>
      </x:c>
      <x:c r="B48" s="12" t="str">
        <x:f>IFERROR(VLOOKUP($A48,Athlete_Profile!$A$2:$L$51,6,FALSE),"")</x:f>
        <x:v>Hockey</x:v>
      </x:c>
      <x:c r="C48" s="12" t="str">
        <x:f>IFERROR(VLOOKUP($A48,Athlete_Profile!$A$2:$L$51,5,FALSE),"")</x:f>
        <x:v>Male</x:v>
      </x:c>
      <x:c r="D48" s="12" t="str">
        <x:v>peak_force</x:v>
      </x:c>
      <x:c r="E48" s="12" t="str">
        <x:f>IFERROR(VLOOKUP($D48,Dropdown_Lists!$K$2:$N$7,2,FALSE),"")</x:f>
        <x:v>Peak Force</x:v>
      </x:c>
      <x:c r="F48" s="12" t="str">
        <x:f>IFERROR(VLOOKUP($D48,Dropdown_Lists!$K$2:$N$7,3,FALSE),"")</x:f>
        <x:v>higher</x:v>
      </x:c>
      <x:c r="G48" s="17" t="n">
        <x:f>IFERROR(LOOKUP(2,1/((Performance_Metrics!$A$2:$A$3000=$A48)*(Performance_Metrics!$D$2:$D$3000=$D48)),Performance_Metrics!$C$2:$C$3000),"")</x:f>
        <x:v>46230</x:v>
      </x:c>
      <x:c r="H48" s="12" t="n">
        <x:f>IFERROR(LOOKUP(2,1/((Performance_Metrics!$A$2:$A$3000=$A48)*(Performance_Metrics!$D$2:$D$3000=$D48)),Performance_Metrics!$G$2:$G$3000),"")</x:f>
        <x:v>2052</x:v>
      </x:c>
      <x:c r="I48" s="12" t="n">
        <x:f>IFERROR(SUMIFS(Normative_Data!$G$2:$G$1000,Normative_Data!$A$2:$A$1000,$B48,Normative_Data!$B$2:$B$1000,$C48,Normative_Data!$E$2:$E$1000,$D48),"")</x:f>
        <x:v>1925</x:v>
      </x:c>
      <x:c r="J48" s="18" t="n">
        <x:f>IF(OR($H48="",$I48=""),"",($H48-$I48)/$I48)</x:f>
        <x:v>0.06597402597402598</x:v>
      </x:c>
      <x:c r="K48" s="12" t="str">
        <x:f>IF(OR($H48="",$I48="",$F48=""),"",IF(ABS($J48)&lt;=0.05,"Equal to Norm",IF($F48="lower",IF($H48&lt;$I48,"Above Norm","Below Norm"),IF($H48&gt;$I48,"Above Norm","Below Norm"))))</x:f>
        <x:v>Above Norm</x:v>
      </x:c>
      <x:c r="L48" s="12" t="str">
        <x:f>IFERROR(VLOOKUP($D48&amp;"|"&amp;$K48,Recommendation_Lookup!$A$2:$H$19,2,FALSE),"")</x:f>
        <x:v>Maintain maximal force qualities</x:v>
      </x:c>
      <x:c r="M48" s="12" t="str">
        <x:f>IFERROR(VLOOKUP($D48&amp;"|"&amp;$K48,Recommendation_Lookup!$A$2:$H$19,3,FALSE),"")</x:f>
        <x:v>Force application speed; asymmetry; fatigue management; sport transfer</x:v>
      </x:c>
      <x:c r="N48" s="12" t="str">
        <x:f>IFERROR(VLOOKUP($D48&amp;"|"&amp;$K48,Recommendation_Lookup!$A$2:$H$19,4,FALSE),"")</x:f>
        <x:v>Maintain maximal force with low-volume strength exposure while shifting selected work toward power and sport-specific application. Monitor asymmetry and fatigue.</x:v>
      </x:c>
      <x:c r="O48" s="12" t="str">
        <x:f>IFERROR(VLOOKUP($D48&amp;"|"&amp;$K48,Recommendation_Lookup!$A$2:$H$19,5,FALSE),"")</x:f>
        <x:v>RVX Advanced Strength-Power</x:v>
      </x:c>
      <x:c r="P48" s="12" t="str">
        <x:f>IFERROR(VLOOKUP($D48&amp;"|"&amp;$K48,Recommendation_Lookup!$A$2:$H$19,6,FALSE),"")</x:f>
        <x:v>RVX Force Maintenance Microdose</x:v>
      </x:c>
      <x:c r="Q48" s="12" t="str">
        <x:f>IFERROR(VLOOKUP($D48&amp;"|"&amp;$K48,Recommendation_Lookup!$A$2:$H$19,7,FALSE),"")</x:f>
        <x:v>Produce high force without losing position or movement speed.</x:v>
      </x:c>
      <x:c r="R48" s="12" t="str">
        <x:f>IFERROR(VLOOKUP($D48&amp;"|"&amp;$K48,Recommendation_Lookup!$A$2:$H$19,8,FALSE),"")</x:f>
        <x:v>Retest every 6–8 weeks or following a strength-power phase.</x:v>
      </x:c>
      <x:c r="S48" s="12"/>
      <x:c r="T48" s="12"/>
      <x:c r="U48" s="12"/>
      <x:c r="V48" s="12"/>
      <x:c r="W48" s="12" t="str">
        <x:f>IF($S48&lt;&gt;"",$S48,$K48)</x:f>
        <x:v>Above Norm</x:v>
      </x:c>
      <x:c r="X48" s="12" t="str">
        <x:f>IF($T48&lt;&gt;"",$T48,$L48)</x:f>
        <x:v>Maintain maximal force qualities</x:v>
      </x:c>
      <x:c r="Y48" s="12" t="str">
        <x:f>IF($U48&lt;&gt;"",$U48,$N48)</x:f>
        <x:v>Maintain maximal force with low-volume strength exposure while shifting selected work toward power and sport-specific application. Monitor asymmetry and fatigue.</x:v>
      </x:c>
      <x:c r="Z48" s="12" t="str">
        <x:f>IF($V48&lt;&gt;"",$V48,$O48)</x:f>
        <x:v>RVX Advanced Strength-Power</x:v>
      </x:c>
      <x:c r="AA48" s="12"/>
    </x:row>
    <x:row r="49">
      <x:c r="A49" s="12" t="str">
        <x:v>RVX-00008</x:v>
      </x:c>
      <x:c r="B49" s="12" t="str">
        <x:f>IFERROR(VLOOKUP($A49,Athlete_Profile!$A$2:$L$51,6,FALSE),"")</x:f>
        <x:v>Hockey</x:v>
      </x:c>
      <x:c r="C49" s="12" t="str">
        <x:f>IFERROR(VLOOKUP($A49,Athlete_Profile!$A$2:$L$51,5,FALSE),"")</x:f>
        <x:v>Male</x:v>
      </x:c>
      <x:c r="D49" s="12" t="str">
        <x:v>impulse</x:v>
      </x:c>
      <x:c r="E49" s="12" t="str">
        <x:f>IFERROR(VLOOKUP($D49,Dropdown_Lists!$K$2:$N$7,2,FALSE),"")</x:f>
        <x:v>Impulse-Momentum</x:v>
      </x:c>
      <x:c r="F49" s="12" t="str">
        <x:f>IFERROR(VLOOKUP($D49,Dropdown_Lists!$K$2:$N$7,3,FALSE),"")</x:f>
        <x:v>higher</x:v>
      </x:c>
      <x:c r="G49" s="17" t="n">
        <x:f>IFERROR(LOOKUP(2,1/((Performance_Metrics!$A$2:$A$3000=$A49)*(Performance_Metrics!$D$2:$D$3000=$D49)),Performance_Metrics!$C$2:$C$3000),"")</x:f>
        <x:v>46230</x:v>
      </x:c>
      <x:c r="H49" s="12" t="n">
        <x:f>IFERROR(LOOKUP(2,1/((Performance_Metrics!$A$2:$A$3000=$A49)*(Performance_Metrics!$D$2:$D$3000=$D49)),Performance_Metrics!$G$2:$G$3000),"")</x:f>
        <x:v>253.2</x:v>
      </x:c>
      <x:c r="I49" s="12" t="n">
        <x:f>IFERROR(SUMIFS(Normative_Data!$G$2:$G$1000,Normative_Data!$A$2:$A$1000,$B49,Normative_Data!$B$2:$B$1000,$C49,Normative_Data!$E$2:$E$1000,$D49),"")</x:f>
        <x:v>236.5</x:v>
      </x:c>
      <x:c r="J49" s="18" t="n">
        <x:f>IF(OR($H49="",$I49=""),"",($H49-$I49)/$I49)</x:f>
        <x:v>0.0706131078224101</x:v>
      </x:c>
      <x:c r="K49" s="12" t="str">
        <x:f>IF(OR($H49="",$I49="",$F49=""),"",IF(ABS($J49)&lt;=0.05,"Equal to Norm",IF($F49="lower",IF($H49&lt;$I49,"Above Norm","Below Norm"),IF($H49&gt;$I49,"Above Norm","Below Norm"))))</x:f>
        <x:v>Above Norm</x:v>
      </x:c>
      <x:c r="L49" s="12" t="str">
        <x:f>IFERROR(VLOOKUP($D49&amp;"|"&amp;$K49,Recommendation_Lookup!$A$2:$H$19,2,FALSE),"")</x:f>
        <x:v>Maintain total force-time output</x:v>
      </x:c>
      <x:c r="M49" s="12" t="str">
        <x:f>IFERROR(VLOOKUP($D49&amp;"|"&amp;$K49,Recommendation_Lookup!$A$2:$H$19,3,FALSE),"")</x:f>
        <x:v>Rate of force development; movement time; power transfer; fatigue resistance</x:v>
      </x:c>
      <x:c r="N49" s="12" t="str">
        <x:f>IFERROR(VLOOKUP($D49&amp;"|"&amp;$K49,Recommendation_Lookup!$A$2:$H$19,4,FALSE),"")</x:f>
        <x:v>Maintain impulse with strength-power microdosing and varied jump or sprint exposures. Ensure high impulse is achieved efficiently rather than through excessive movement time.</x:v>
      </x:c>
      <x:c r="O49" s="12" t="str">
        <x:f>IFERROR(VLOOKUP($D49&amp;"|"&amp;$K49,Recommendation_Lookup!$A$2:$H$19,5,FALSE),"")</x:f>
        <x:v>RVX Advanced Power Development</x:v>
      </x:c>
      <x:c r="P49" s="12" t="str">
        <x:f>IFERROR(VLOOKUP($D49&amp;"|"&amp;$K49,Recommendation_Lookup!$A$2:$H$19,6,FALSE),"")</x:f>
        <x:v>RVX Elastic Power Microdose</x:v>
      </x:c>
      <x:c r="Q49" s="12" t="str">
        <x:f>IFERROR(VLOOKUP($D49&amp;"|"&amp;$K49,Recommendation_Lookup!$A$2:$H$19,7,FALSE),"")</x:f>
        <x:v>Build force quickly and keep applying it through the full movement.</x:v>
      </x:c>
      <x:c r="R49" s="12" t="str">
        <x:f>IFERROR(VLOOKUP($D49&amp;"|"&amp;$K49,Recommendation_Lookup!$A$2:$H$19,8,FALSE),"")</x:f>
        <x:v>Retest every 6–8 weeks while reviewing contraction time and jump outcome.</x:v>
      </x:c>
      <x:c r="S49" s="12"/>
      <x:c r="T49" s="12"/>
      <x:c r="U49" s="12"/>
      <x:c r="V49" s="12"/>
      <x:c r="W49" s="12" t="str">
        <x:f>IF($S49&lt;&gt;"",$S49,$K49)</x:f>
        <x:v>Above Norm</x:v>
      </x:c>
      <x:c r="X49" s="12" t="str">
        <x:f>IF($T49&lt;&gt;"",$T49,$L49)</x:f>
        <x:v>Maintain total force-time output</x:v>
      </x:c>
      <x:c r="Y49" s="12" t="str">
        <x:f>IF($U49&lt;&gt;"",$U49,$N49)</x:f>
        <x:v>Maintain impulse with strength-power microdosing and varied jump or sprint exposures. Ensure high impulse is achieved efficiently rather than through excessive movement time.</x:v>
      </x:c>
      <x:c r="Z49" s="12" t="str">
        <x:f>IF($V49&lt;&gt;"",$V49,$O49)</x:f>
        <x:v>RVX Advanced Power Development</x:v>
      </x:c>
      <x:c r="AA49" s="12"/>
    </x:row>
    <x:row r="50">
      <x:c r="A50" s="12" t="str">
        <x:v>RVX-00009</x:v>
      </x:c>
      <x:c r="B50" s="12" t="str">
        <x:f>IFERROR(VLOOKUP($A50,Athlete_Profile!$A$2:$L$51,6,FALSE),"")</x:f>
        <x:v>Hockey</x:v>
      </x:c>
      <x:c r="C50" s="12" t="str">
        <x:f>IFERROR(VLOOKUP($A50,Athlete_Profile!$A$2:$L$51,5,FALSE),"")</x:f>
        <x:v>Female</x:v>
      </x:c>
      <x:c r="D50" s="12" t="str">
        <x:v>sprint_5m</x:v>
      </x:c>
      <x:c r="E50" s="12" t="str">
        <x:f>IFERROR(VLOOKUP($D50,Dropdown_Lists!$K$2:$N$7,2,FALSE),"")</x:f>
        <x:v>5m Sprint</x:v>
      </x:c>
      <x:c r="F50" s="12" t="str">
        <x:f>IFERROR(VLOOKUP($D50,Dropdown_Lists!$K$2:$N$7,3,FALSE),"")</x:f>
        <x:v>lower</x:v>
      </x:c>
      <x:c r="G50" s="17" t="n">
        <x:f>IFERROR(LOOKUP(2,1/((Performance_Metrics!$A$2:$A$3000=$A50)*(Performance_Metrics!$D$2:$D$3000=$D50)),Performance_Metrics!$C$2:$C$3000),"")</x:f>
        <x:v>46230</x:v>
      </x:c>
      <x:c r="H50" s="12" t="n">
        <x:f>IFERROR(LOOKUP(2,1/((Performance_Metrics!$A$2:$A$3000=$A50)*(Performance_Metrics!$D$2:$D$3000=$D50)),Performance_Metrics!$G$2:$G$3000),"")</x:f>
        <x:v>1.16</x:v>
      </x:c>
      <x:c r="I50" s="12" t="n">
        <x:f>IFERROR(SUMIFS(Normative_Data!$G$2:$G$1000,Normative_Data!$A$2:$A$1000,$B50,Normative_Data!$B$2:$B$1000,$C50,Normative_Data!$E$2:$E$1000,$D50),"")</x:f>
        <x:v>1.12</x:v>
      </x:c>
      <x:c r="J50" s="18" t="n">
        <x:f>IF(OR($H50="",$I50=""),"",($H50-$I50)/$I50)</x:f>
        <x:v>0.035714285714285546</x:v>
      </x:c>
      <x:c r="K50" s="12" t="str">
        <x:f>IF(OR($H50="",$I50="",$F50=""),"",IF(ABS($J50)&lt;=0.05,"Equal to Norm",IF($F50="lower",IF($H50&lt;$I50,"Above Norm","Below Norm"),IF($H50&gt;$I50,"Above Norm","Below Norm"))))</x:f>
        <x:v>Equal to Norm</x:v>
      </x:c>
      <x:c r="L50" s="12" t="str">
        <x:f>IFERROR(VLOOKUP($D50&amp;"|"&amp;$K50,Recommendation_Lookup!$A$2:$H$19,2,FALSE),"")</x:f>
        <x:v>Improve acceleration efficiency</x:v>
      </x:c>
      <x:c r="M50" s="12" t="str">
        <x:f>IFERROR(VLOOKUP($D50&amp;"|"&amp;$K50,Recommendation_Lookup!$A$2:$H$19,3,FALSE),"")</x:f>
        <x:v>Starting posture; shin angle; first-step direction; arm action</x:v>
      </x:c>
      <x:c r="N50" s="12" t="str">
        <x:f>IFERROR(VLOOKUP($D50&amp;"|"&amp;$K50,Recommendation_Lookup!$A$2:$H$19,4,FALSE),"")</x:f>
        <x:v>Use a focused acceleration-development block emphasizing starting position, projection and force application. Keep repetitions short with full recovery.</x:v>
      </x:c>
      <x:c r="O50" s="12" t="str">
        <x:f>IFERROR(VLOOKUP($D50&amp;"|"&amp;$K50,Recommendation_Lookup!$A$2:$H$19,5,FALSE),"")</x:f>
        <x:v>RVX Acceleration Foundations</x:v>
      </x:c>
      <x:c r="P50" s="12" t="str">
        <x:f>IFERROR(VLOOKUP($D50&amp;"|"&amp;$K50,Recommendation_Lookup!$A$2:$H$19,6,FALSE),"")</x:f>
        <x:v>RVX Sprint Mechanics</x:v>
      </x:c>
      <x:c r="Q50" s="12" t="str">
        <x:f>IFERROR(VLOOKUP($D50&amp;"|"&amp;$K50,Recommendation_Lookup!$A$2:$H$19,7,FALSE),"")</x:f>
        <x:v>Push out, not up. Keep the first steps powerful and connected.</x:v>
      </x:c>
      <x:c r="R50" s="12" t="str">
        <x:f>IFERROR(VLOOKUP($D50&amp;"|"&amp;$K50,Recommendation_Lookup!$A$2:$H$19,8,FALSE),"")</x:f>
        <x:v>Retest after 4–6 weeks of focused acceleration work.</x:v>
      </x:c>
      <x:c r="S50" s="12"/>
      <x:c r="T50" s="12"/>
      <x:c r="U50" s="12"/>
      <x:c r="V50" s="12"/>
      <x:c r="W50" s="12" t="str">
        <x:f>IF($S50&lt;&gt;"",$S50,$K50)</x:f>
        <x:v>Equal to Norm</x:v>
      </x:c>
      <x:c r="X50" s="12" t="str">
        <x:f>IF($T50&lt;&gt;"",$T50,$L50)</x:f>
        <x:v>Improve acceleration efficiency</x:v>
      </x:c>
      <x:c r="Y50" s="12" t="str">
        <x:f>IF($U50&lt;&gt;"",$U50,$N50)</x:f>
        <x:v>Use a focused acceleration-development block emphasizing starting position, projection and force application. Keep repetitions short with full recovery.</x:v>
      </x:c>
      <x:c r="Z50" s="12" t="str">
        <x:f>IF($V50&lt;&gt;"",$V50,$O50)</x:f>
        <x:v>RVX Acceleration Foundations</x:v>
      </x:c>
      <x:c r="AA50" s="12"/>
    </x:row>
    <x:row r="51">
      <x:c r="A51" s="12" t="str">
        <x:v>RVX-00009</x:v>
      </x:c>
      <x:c r="B51" s="12" t="str">
        <x:f>IFERROR(VLOOKUP($A51,Athlete_Profile!$A$2:$L$51,6,FALSE),"")</x:f>
        <x:v>Hockey</x:v>
      </x:c>
      <x:c r="C51" s="12" t="str">
        <x:f>IFERROR(VLOOKUP($A51,Athlete_Profile!$A$2:$L$51,5,FALSE),"")</x:f>
        <x:v>Female</x:v>
      </x:c>
      <x:c r="D51" s="12" t="str">
        <x:v>sprint_10m</x:v>
      </x:c>
      <x:c r="E51" s="12" t="str">
        <x:f>IFERROR(VLOOKUP($D51,Dropdown_Lists!$K$2:$N$7,2,FALSE),"")</x:f>
        <x:v>10m Sprint</x:v>
      </x:c>
      <x:c r="F51" s="12" t="str">
        <x:f>IFERROR(VLOOKUP($D51,Dropdown_Lists!$K$2:$N$7,3,FALSE),"")</x:f>
        <x:v>lower</x:v>
      </x:c>
      <x:c r="G51" s="17" t="n">
        <x:f>IFERROR(LOOKUP(2,1/((Performance_Metrics!$A$2:$A$3000=$A51)*(Performance_Metrics!$D$2:$D$3000=$D51)),Performance_Metrics!$C$2:$C$3000),"")</x:f>
        <x:v>46230</x:v>
      </x:c>
      <x:c r="H51" s="12" t="n">
        <x:f>IFERROR(LOOKUP(2,1/((Performance_Metrics!$A$2:$A$3000=$A51)*(Performance_Metrics!$D$2:$D$3000=$D51)),Performance_Metrics!$G$2:$G$3000),"")</x:f>
        <x:v>2</x:v>
      </x:c>
      <x:c r="I51" s="12" t="n">
        <x:f>IFERROR(SUMIFS(Normative_Data!$G$2:$G$1000,Normative_Data!$A$2:$A$1000,$B51,Normative_Data!$B$2:$B$1000,$C51,Normative_Data!$E$2:$E$1000,$D51),"")</x:f>
        <x:v>1.88</x:v>
      </x:c>
      <x:c r="J51" s="18" t="n">
        <x:f>IF(OR($H51="",$I51=""),"",($H51-$I51)/$I51)</x:f>
        <x:v>0.06382978723404262</x:v>
      </x:c>
      <x:c r="K51" s="12" t="str">
        <x:f>IF(OR($H51="",$I51="",$F51=""),"",IF(ABS($J51)&lt;=0.05,"Equal to Norm",IF($F51="lower",IF($H51&lt;$I51,"Above Norm","Below Norm"),IF($H51&gt;$I51,"Above Norm","Below Norm"))))</x:f>
        <x:v>Below Norm</x:v>
      </x:c>
      <x:c r="L51" s="12" t="str">
        <x:f>IFERROR(VLOOKUP($D51&amp;"|"&amp;$K51,Recommendation_Lookup!$A$2:$H$19,2,FALSE),"")</x:f>
        <x:v>Develop 0–10 m speed</x:v>
      </x:c>
      <x:c r="M51" s="12" t="str">
        <x:f>IFERROR(VLOOKUP($D51&amp;"|"&amp;$K51,Recommendation_Lookup!$A$2:$H$19,3,FALSE),"")</x:f>
        <x:v>Relative strength; first-step mechanics; force application; acceleration endurance</x:v>
      </x:c>
      <x:c r="N51" s="12" t="str">
        <x:f>IFERROR(VLOOKUP($D51&amp;"|"&amp;$K51,Recommendation_Lookup!$A$2:$H$19,4,FALSE),"")</x:f>
        <x:v>Use a foundational acceleration block paired with strength development. Limit sprint distances initially and improve the quality of each step before adding volume.</x:v>
      </x:c>
      <x:c r="O51" s="12" t="str">
        <x:f>IFERROR(VLOOKUP($D51&amp;"|"&amp;$K51,Recommendation_Lookup!$A$2:$H$19,5,FALSE),"")</x:f>
        <x:v>RVX Acceleration Foundations</x:v>
      </x:c>
      <x:c r="P51" s="12" t="str">
        <x:f>IFERROR(VLOOKUP($D51&amp;"|"&amp;$K51,Recommendation_Lookup!$A$2:$H$19,6,FALSE),"")</x:f>
        <x:v>RVX Relative Strength Builder</x:v>
      </x:c>
      <x:c r="Q51" s="12" t="str">
        <x:f>IFERROR(VLOOKUP($D51&amp;"|"&amp;$K51,Recommendation_Lookup!$A$2:$H$19,7,FALSE),"")</x:f>
        <x:v>Push longer, maintain posture and create force in the correct direction.</x:v>
      </x:c>
      <x:c r="R51" s="12" t="str">
        <x:f>IFERROR(VLOOKUP($D51&amp;"|"&amp;$K51,Recommendation_Lookup!$A$2:$H$19,8,FALSE),"")</x:f>
        <x:v>Retest in 4 weeks and compare 5 m versus 10 m split changes.</x:v>
      </x:c>
      <x:c r="S51" s="12"/>
      <x:c r="T51" s="12"/>
      <x:c r="U51" s="12"/>
      <x:c r="V51" s="12"/>
      <x:c r="W51" s="12" t="str">
        <x:f>IF($S51&lt;&gt;"",$S51,$K51)</x:f>
        <x:v>Below Norm</x:v>
      </x:c>
      <x:c r="X51" s="12" t="str">
        <x:f>IF($T51&lt;&gt;"",$T51,$L51)</x:f>
        <x:v>Develop 0–10 m speed</x:v>
      </x:c>
      <x:c r="Y51" s="12" t="str">
        <x:f>IF($U51&lt;&gt;"",$U51,$N51)</x:f>
        <x:v>Use a foundational acceleration block paired with strength development. Limit sprint distances initially and improve the quality of each step before adding volume.</x:v>
      </x:c>
      <x:c r="Z51" s="12" t="str">
        <x:f>IF($V51&lt;&gt;"",$V51,$O51)</x:f>
        <x:v>RVX Acceleration Foundations</x:v>
      </x:c>
      <x:c r="AA51" s="12"/>
    </x:row>
    <x:row r="52">
      <x:c r="A52" s="12" t="str">
        <x:v>RVX-00009</x:v>
      </x:c>
      <x:c r="B52" s="12" t="str">
        <x:f>IFERROR(VLOOKUP($A52,Athlete_Profile!$A$2:$L$51,6,FALSE),"")</x:f>
        <x:v>Hockey</x:v>
      </x:c>
      <x:c r="C52" s="12" t="str">
        <x:f>IFERROR(VLOOKUP($A52,Athlete_Profile!$A$2:$L$51,5,FALSE),"")</x:f>
        <x:v>Female</x:v>
      </x:c>
      <x:c r="D52" s="12" t="str">
        <x:v>pro_agility</x:v>
      </x:c>
      <x:c r="E52" s="12" t="str">
        <x:f>IFERROR(VLOOKUP($D52,Dropdown_Lists!$K$2:$N$7,2,FALSE),"")</x:f>
        <x:v>5-10-5 Pro Agility</x:v>
      </x:c>
      <x:c r="F52" s="12" t="str">
        <x:f>IFERROR(VLOOKUP($D52,Dropdown_Lists!$K$2:$N$7,3,FALSE),"")</x:f>
        <x:v>lower</x:v>
      </x:c>
      <x:c r="G52" s="17" t="n">
        <x:f>IFERROR(LOOKUP(2,1/((Performance_Metrics!$A$2:$A$3000=$A52)*(Performance_Metrics!$D$2:$D$3000=$D52)),Performance_Metrics!$C$2:$C$3000),"")</x:f>
        <x:v>46230</x:v>
      </x:c>
      <x:c r="H52" s="12" t="n">
        <x:f>IFERROR(LOOKUP(2,1/((Performance_Metrics!$A$2:$A$3000=$A52)*(Performance_Metrics!$D$2:$D$3000=$D52)),Performance_Metrics!$G$2:$G$3000),"")</x:f>
        <x:v>5.05</x:v>
      </x:c>
      <x:c r="I52" s="12" t="n">
        <x:f>IFERROR(SUMIFS(Normative_Data!$G$2:$G$1000,Normative_Data!$A$2:$A$1000,$B52,Normative_Data!$B$2:$B$1000,$C52,Normative_Data!$E$2:$E$1000,$D52),"")</x:f>
        <x:v>4.82</x:v>
      </x:c>
      <x:c r="J52" s="18" t="n">
        <x:f>IF(OR($H52="",$I52=""),"",($H52-$I52)/$I52)</x:f>
        <x:v>0.04771784232365135</x:v>
      </x:c>
      <x:c r="K52" s="12" t="str">
        <x:f>IF(OR($H52="",$I52="",$F52=""),"",IF(ABS($J52)&lt;=0.05,"Equal to Norm",IF($F52="lower",IF($H52&lt;$I52,"Above Norm","Below Norm"),IF($H52&gt;$I52,"Above Norm","Below Norm"))))</x:f>
        <x:v>Equal to Norm</x:v>
      </x:c>
      <x:c r="L52" s="12" t="str">
        <x:f>IFERROR(VLOOKUP($D52&amp;"|"&amp;$K52,Recommendation_Lookup!$A$2:$H$19,2,FALSE),"")</x:f>
        <x:v>Improve braking and re-acceleration</x:v>
      </x:c>
      <x:c r="M52" s="12" t="str">
        <x:f>IFERROR(VLOOKUP($D52&amp;"|"&amp;$K52,Recommendation_Lookup!$A$2:$H$19,3,FALSE),"")</x:f>
        <x:v>Deceleration mechanics; foot placement; hip position; crossover efficiency</x:v>
      </x:c>
      <x:c r="N52" s="12" t="str">
        <x:f>IFERROR(VLOOKUP($D52&amp;"|"&amp;$K52,Recommendation_Lookup!$A$2:$H$19,4,FALSE),"")</x:f>
        <x:v>Use a structured change-of-direction block emphasizing braking positions, plant-foot control and efficient re-acceleration on both sides.</x:v>
      </x:c>
      <x:c r="O52" s="12" t="str">
        <x:f>IFERROR(VLOOKUP($D52&amp;"|"&amp;$K52,Recommendation_Lookup!$A$2:$H$19,5,FALSE),"")</x:f>
        <x:v>RVX Change of Direction Development</x:v>
      </x:c>
      <x:c r="P52" s="12" t="str">
        <x:f>IFERROR(VLOOKUP($D52&amp;"|"&amp;$K52,Recommendation_Lookup!$A$2:$H$19,6,FALSE),"")</x:f>
        <x:v>RVX Deceleration Mechanics</x:v>
      </x:c>
      <x:c r="Q52" s="12" t="str">
        <x:f>IFERROR(VLOOKUP($D52&amp;"|"&amp;$K52,Recommendation_Lookup!$A$2:$H$19,7,FALSE),"")</x:f>
        <x:v>Lower the centre of mass before the turn and push away from the plant.</x:v>
      </x:c>
      <x:c r="R52" s="12" t="str">
        <x:f>IFERROR(VLOOKUP($D52&amp;"|"&amp;$K52,Recommendation_Lookup!$A$2:$H$19,8,FALSE),"")</x:f>
        <x:v>Retest after 4–6 weeks and review directional splits if available.</x:v>
      </x:c>
      <x:c r="S52" s="12"/>
      <x:c r="T52" s="12"/>
      <x:c r="U52" s="12"/>
      <x:c r="V52" s="12"/>
      <x:c r="W52" s="12" t="str">
        <x:f>IF($S52&lt;&gt;"",$S52,$K52)</x:f>
        <x:v>Equal to Norm</x:v>
      </x:c>
      <x:c r="X52" s="12" t="str">
        <x:f>IF($T52&lt;&gt;"",$T52,$L52)</x:f>
        <x:v>Improve braking and re-acceleration</x:v>
      </x:c>
      <x:c r="Y52" s="12" t="str">
        <x:f>IF($U52&lt;&gt;"",$U52,$N52)</x:f>
        <x:v>Use a structured change-of-direction block emphasizing braking positions, plant-foot control and efficient re-acceleration on both sides.</x:v>
      </x:c>
      <x:c r="Z52" s="12" t="str">
        <x:f>IF($V52&lt;&gt;"",$V52,$O52)</x:f>
        <x:v>RVX Change of Direction Development</x:v>
      </x:c>
      <x:c r="AA52" s="12"/>
    </x:row>
    <x:row r="53">
      <x:c r="A53" s="12" t="str">
        <x:v>RVX-00009</x:v>
      </x:c>
      <x:c r="B53" s="12" t="str">
        <x:f>IFERROR(VLOOKUP($A53,Athlete_Profile!$A$2:$L$51,6,FALSE),"")</x:f>
        <x:v>Hockey</x:v>
      </x:c>
      <x:c r="C53" s="12" t="str">
        <x:f>IFERROR(VLOOKUP($A53,Athlete_Profile!$A$2:$L$51,5,FALSE),"")</x:f>
        <x:v>Female</x:v>
      </x:c>
      <x:c r="D53" s="12" t="str">
        <x:v>cmj_depth</x:v>
      </x:c>
      <x:c r="E53" s="12" t="str">
        <x:f>IFERROR(VLOOKUP($D53,Dropdown_Lists!$K$2:$N$7,2,FALSE),"")</x:f>
        <x:v>Countermovement Depth</x:v>
      </x:c>
      <x:c r="F53" s="12" t="str">
        <x:f>IFERROR(VLOOKUP($D53,Dropdown_Lists!$K$2:$N$7,3,FALSE),"")</x:f>
        <x:v>higher</x:v>
      </x:c>
      <x:c r="G53" s="17" t="n">
        <x:f>IFERROR(LOOKUP(2,1/((Performance_Metrics!$A$2:$A$3000=$A53)*(Performance_Metrics!$D$2:$D$3000=$D53)),Performance_Metrics!$C$2:$C$3000),"")</x:f>
        <x:v>46230</x:v>
      </x:c>
      <x:c r="H53" s="12" t="n">
        <x:f>IFERROR(LOOKUP(2,1/((Performance_Metrics!$A$2:$A$3000=$A53)*(Performance_Metrics!$D$2:$D$3000=$D53)),Performance_Metrics!$G$2:$G$3000),"")</x:f>
        <x:v>28</x:v>
      </x:c>
      <x:c r="I53" s="12" t="n">
        <x:f>IFERROR(SUMIFS(Normative_Data!$G$2:$G$1000,Normative_Data!$A$2:$A$1000,$B53,Normative_Data!$B$2:$B$1000,$C53,Normative_Data!$E$2:$E$1000,$D53),"")</x:f>
        <x:v>30</x:v>
      </x:c>
      <x:c r="J53" s="18" t="n">
        <x:f>IF(OR($H53="",$I53=""),"",($H53-$I53)/$I53)</x:f>
        <x:v>-0.06666666666666667</x:v>
      </x:c>
      <x:c r="K53" s="12" t="str">
        <x:f>IF(OR($H53="",$I53="",$F53=""),"",IF(ABS($J53)&lt;=0.05,"Equal to Norm",IF($F53="lower",IF($H53&lt;$I53,"Above Norm","Below Norm"),IF($H53&gt;$I53,"Above Norm","Below Norm"))))</x:f>
        <x:v>Below Norm</x:v>
      </x:c>
      <x:c r="L53" s="12" t="str">
        <x:f>IFERROR(VLOOKUP($D53&amp;"|"&amp;$K53,Recommendation_Lookup!$A$2:$H$19,2,FALSE),"")</x:f>
        <x:v>Develop usable countermovement range</x:v>
      </x:c>
      <x:c r="M53" s="12" t="str">
        <x:f>IFERROR(VLOOKUP($D53&amp;"|"&amp;$K53,Recommendation_Lookup!$A$2:$H$19,3,FALSE),"")</x:f>
        <x:v>Ankle mobility; hip mobility; eccentric strength; confidence; coordination</x:v>
      </x:c>
      <x:c r="N53" s="12" t="str">
        <x:f>IFERROR(VLOOKUP($D53&amp;"|"&amp;$K53,Recommendation_Lookup!$A$2:$H$19,4,FALSE),"")</x:f>
        <x:v>Improve controlled eccentric range and movement confidence. Use tempo squats, snap-downs and progressive countermovement jump practice without forcing artificial depth.</x:v>
      </x:c>
      <x:c r="O53" s="12" t="str">
        <x:f>IFERROR(VLOOKUP($D53&amp;"|"&amp;$K53,Recommendation_Lookup!$A$2:$H$19,5,FALSE),"")</x:f>
        <x:v>RVX Jump Foundations</x:v>
      </x:c>
      <x:c r="P53" s="12" t="str">
        <x:f>IFERROR(VLOOKUP($D53&amp;"|"&amp;$K53,Recommendation_Lookup!$A$2:$H$19,6,FALSE),"")</x:f>
        <x:v>RVX Mobility and Eccentric Control</x:v>
      </x:c>
      <x:c r="Q53" s="12" t="str">
        <x:f>IFERROR(VLOOKUP($D53&amp;"|"&amp;$K53,Recommendation_Lookup!$A$2:$H$19,7,FALSE),"")</x:f>
        <x:v>Create controlled depth first; speed up the reversal only when position is stable.</x:v>
      </x:c>
      <x:c r="R53" s="12" t="str">
        <x:f>IFERROR(VLOOKUP($D53&amp;"|"&amp;$K53,Recommendation_Lookup!$A$2:$H$19,8,FALSE),"")</x:f>
        <x:v>Retest after 4 weeks; confirm low depth is not an athlete-specific efficient strategy.</x:v>
      </x:c>
      <x:c r="S53" s="12"/>
      <x:c r="T53" s="12"/>
      <x:c r="U53" s="12"/>
      <x:c r="V53" s="12"/>
      <x:c r="W53" s="12" t="str">
        <x:f>IF($S53&lt;&gt;"",$S53,$K53)</x:f>
        <x:v>Below Norm</x:v>
      </x:c>
      <x:c r="X53" s="12" t="str">
        <x:f>IF($T53&lt;&gt;"",$T53,$L53)</x:f>
        <x:v>Develop usable countermovement range</x:v>
      </x:c>
      <x:c r="Y53" s="12" t="str">
        <x:f>IF($U53&lt;&gt;"",$U53,$N53)</x:f>
        <x:v>Improve controlled eccentric range and movement confidence. Use tempo squats, snap-downs and progressive countermovement jump practice without forcing artificial depth.</x:v>
      </x:c>
      <x:c r="Z53" s="12" t="str">
        <x:f>IF($V53&lt;&gt;"",$V53,$O53)</x:f>
        <x:v>RVX Jump Foundations</x:v>
      </x:c>
      <x:c r="AA53" s="12"/>
    </x:row>
    <x:row r="54">
      <x:c r="A54" s="12" t="str">
        <x:v>RVX-00009</x:v>
      </x:c>
      <x:c r="B54" s="12" t="str">
        <x:f>IFERROR(VLOOKUP($A54,Athlete_Profile!$A$2:$L$51,6,FALSE),"")</x:f>
        <x:v>Hockey</x:v>
      </x:c>
      <x:c r="C54" s="12" t="str">
        <x:f>IFERROR(VLOOKUP($A54,Athlete_Profile!$A$2:$L$51,5,FALSE),"")</x:f>
        <x:v>Female</x:v>
      </x:c>
      <x:c r="D54" s="12" t="str">
        <x:v>peak_force</x:v>
      </x:c>
      <x:c r="E54" s="12" t="str">
        <x:f>IFERROR(VLOOKUP($D54,Dropdown_Lists!$K$2:$N$7,2,FALSE),"")</x:f>
        <x:v>Peak Force</x:v>
      </x:c>
      <x:c r="F54" s="12" t="str">
        <x:f>IFERROR(VLOOKUP($D54,Dropdown_Lists!$K$2:$N$7,3,FALSE),"")</x:f>
        <x:v>higher</x:v>
      </x:c>
      <x:c r="G54" s="17" t="n">
        <x:f>IFERROR(LOOKUP(2,1/((Performance_Metrics!$A$2:$A$3000=$A54)*(Performance_Metrics!$D$2:$D$3000=$D54)),Performance_Metrics!$C$2:$C$3000),"")</x:f>
        <x:v>46230</x:v>
      </x:c>
      <x:c r="H54" s="12" t="n">
        <x:f>IFERROR(LOOKUP(2,1/((Performance_Metrics!$A$2:$A$3000=$A54)*(Performance_Metrics!$D$2:$D$3000=$D54)),Performance_Metrics!$G$2:$G$3000),"")</x:f>
        <x:v>1705</x:v>
      </x:c>
      <x:c r="I54" s="12" t="n">
        <x:f>IFERROR(SUMIFS(Normative_Data!$G$2:$G$1000,Normative_Data!$A$2:$A$1000,$B54,Normative_Data!$B$2:$B$1000,$C54,Normative_Data!$E$2:$E$1000,$D54),"")</x:f>
        <x:v>1750</x:v>
      </x:c>
      <x:c r="J54" s="18" t="n">
        <x:f>IF(OR($H54="",$I54=""),"",($H54-$I54)/$I54)</x:f>
        <x:v>-0.025714285714285714</x:v>
      </x:c>
      <x:c r="K54" s="12" t="str">
        <x:f>IF(OR($H54="",$I54="",$F54=""),"",IF(ABS($J54)&lt;=0.05,"Equal to Norm",IF($F54="lower",IF($H54&lt;$I54,"Above Norm","Below Norm"),IF($H54&gt;$I54,"Above Norm","Below Norm"))))</x:f>
        <x:v>Equal to Norm</x:v>
      </x:c>
      <x:c r="L54" s="12" t="str">
        <x:f>IFERROR(VLOOKUP($D54&amp;"|"&amp;$K54,Recommendation_Lookup!$A$2:$H$19,2,FALSE),"")</x:f>
        <x:v>Increase force capacity</x:v>
      </x:c>
      <x:c r="M54" s="12" t="str">
        <x:f>IFERROR(VLOOKUP($D54&amp;"|"&amp;$K54,Recommendation_Lookup!$A$2:$H$19,3,FALSE),"")</x:f>
        <x:v>Relative strength; bracing; lower-body strength; isometric force</x:v>
      </x:c>
      <x:c r="N54" s="12" t="str">
        <x:f>IFERROR(VLOOKUP($D54&amp;"|"&amp;$K54,Recommendation_Lookup!$A$2:$H$19,4,FALSE),"")</x:f>
        <x:v>Use progressive lower-body strength training with compound lifts, isometrics and unilateral work. Maintain technical quality and appropriate loading progression.</x:v>
      </x:c>
      <x:c r="O54" s="12" t="str">
        <x:f>IFERROR(VLOOKUP($D54&amp;"|"&amp;$K54,Recommendation_Lookup!$A$2:$H$19,5,FALSE),"")</x:f>
        <x:v>RVX Strength Development</x:v>
      </x:c>
      <x:c r="P54" s="12" t="str">
        <x:f>IFERROR(VLOOKUP($D54&amp;"|"&amp;$K54,Recommendation_Lookup!$A$2:$H$19,6,FALSE),"")</x:f>
        <x:v>RVX Isometric Force Builder</x:v>
      </x:c>
      <x:c r="Q54" s="12" t="str">
        <x:f>IFERROR(VLOOKUP($D54&amp;"|"&amp;$K54,Recommendation_Lookup!$A$2:$H$19,7,FALSE),"")</x:f>
        <x:v>Create full-body tension and push through the floor with intent.</x:v>
      </x:c>
      <x:c r="R54" s="12" t="str">
        <x:f>IFERROR(VLOOKUP($D54&amp;"|"&amp;$K54,Recommendation_Lookup!$A$2:$H$19,8,FALSE),"")</x:f>
        <x:v>Retest after 4–6 weeks.</x:v>
      </x:c>
      <x:c r="S54" s="12"/>
      <x:c r="T54" s="12"/>
      <x:c r="U54" s="12"/>
      <x:c r="V54" s="12"/>
      <x:c r="W54" s="12" t="str">
        <x:f>IF($S54&lt;&gt;"",$S54,$K54)</x:f>
        <x:v>Equal to Norm</x:v>
      </x:c>
      <x:c r="X54" s="12" t="str">
        <x:f>IF($T54&lt;&gt;"",$T54,$L54)</x:f>
        <x:v>Increase force capacity</x:v>
      </x:c>
      <x:c r="Y54" s="12" t="str">
        <x:f>IF($U54&lt;&gt;"",$U54,$N54)</x:f>
        <x:v>Use progressive lower-body strength training with compound lifts, isometrics and unilateral work. Maintain technical quality and appropriate loading progression.</x:v>
      </x:c>
      <x:c r="Z54" s="12" t="str">
        <x:f>IF($V54&lt;&gt;"",$V54,$O54)</x:f>
        <x:v>RVX Strength Development</x:v>
      </x:c>
      <x:c r="AA54" s="12"/>
    </x:row>
    <x:row r="55">
      <x:c r="A55" s="12" t="str">
        <x:v>RVX-00009</x:v>
      </x:c>
      <x:c r="B55" s="12" t="str">
        <x:f>IFERROR(VLOOKUP($A55,Athlete_Profile!$A$2:$L$51,6,FALSE),"")</x:f>
        <x:v>Hockey</x:v>
      </x:c>
      <x:c r="C55" s="12" t="str">
        <x:f>IFERROR(VLOOKUP($A55,Athlete_Profile!$A$2:$L$51,5,FALSE),"")</x:f>
        <x:v>Female</x:v>
      </x:c>
      <x:c r="D55" s="12" t="str">
        <x:v>impulse</x:v>
      </x:c>
      <x:c r="E55" s="12" t="str">
        <x:f>IFERROR(VLOOKUP($D55,Dropdown_Lists!$K$2:$N$7,2,FALSE),"")</x:f>
        <x:v>Impulse-Momentum</x:v>
      </x:c>
      <x:c r="F55" s="12" t="str">
        <x:f>IFERROR(VLOOKUP($D55,Dropdown_Lists!$K$2:$N$7,3,FALSE),"")</x:f>
        <x:v>higher</x:v>
      </x:c>
      <x:c r="G55" s="17" t="n">
        <x:f>IFERROR(LOOKUP(2,1/((Performance_Metrics!$A$2:$A$3000=$A55)*(Performance_Metrics!$D$2:$D$3000=$D55)),Performance_Metrics!$C$2:$C$3000),"")</x:f>
        <x:v>46230</x:v>
      </x:c>
      <x:c r="H55" s="12" t="n">
        <x:f>IFERROR(LOOKUP(2,1/((Performance_Metrics!$A$2:$A$3000=$A55)*(Performance_Metrics!$D$2:$D$3000=$D55)),Performance_Metrics!$G$2:$G$3000),"")</x:f>
        <x:v>204.5</x:v>
      </x:c>
      <x:c r="I55" s="12" t="n">
        <x:f>IFERROR(SUMIFS(Normative_Data!$G$2:$G$1000,Normative_Data!$A$2:$A$1000,$B55,Normative_Data!$B$2:$B$1000,$C55,Normative_Data!$E$2:$E$1000,$D55),"")</x:f>
        <x:v>215</x:v>
      </x:c>
      <x:c r="J55" s="18" t="n">
        <x:f>IF(OR($H55="",$I55=""),"",($H55-$I55)/$I55)</x:f>
        <x:v>-0.04883720930232558</x:v>
      </x:c>
      <x:c r="K55" s="12" t="str">
        <x:f>IF(OR($H55="",$I55="",$F55=""),"",IF(ABS($J55)&lt;=0.05,"Equal to Norm",IF($F55="lower",IF($H55&lt;$I55,"Above Norm","Below Norm"),IF($H55&gt;$I55,"Above Norm","Below Norm"))))</x:f>
        <x:v>Equal to Norm</x:v>
      </x:c>
      <x:c r="L55" s="12" t="str">
        <x:f>IFERROR(VLOOKUP($D55&amp;"|"&amp;$K55,Recommendation_Lookup!$A$2:$H$19,2,FALSE),"")</x:f>
        <x:v>Improve force applied over time</x:v>
      </x:c>
      <x:c r="M55" s="12" t="str">
        <x:f>IFERROR(VLOOKUP($D55&amp;"|"&amp;$K55,Recommendation_Lookup!$A$2:$H$19,3,FALSE),"")</x:f>
        <x:v>Strength; countermovement strategy; intent; coordination; power</x:v>
      </x:c>
      <x:c r="N55" s="12" t="str">
        <x:f>IFERROR(VLOOKUP($D55&amp;"|"&amp;$K55,Recommendation_Lookup!$A$2:$H$19,4,FALSE),"")</x:f>
        <x:v>Use loaded jumps, isometrics and strength-power exercises that improve the athlete’s ability to produce and sustain force through the propulsion phase.</x:v>
      </x:c>
      <x:c r="O55" s="12" t="str">
        <x:f>IFERROR(VLOOKUP($D55&amp;"|"&amp;$K55,Recommendation_Lookup!$A$2:$H$19,5,FALSE),"")</x:f>
        <x:v>RVX Power Development</x:v>
      </x:c>
      <x:c r="P55" s="12" t="str">
        <x:f>IFERROR(VLOOKUP($D55&amp;"|"&amp;$K55,Recommendation_Lookup!$A$2:$H$19,6,FALSE),"")</x:f>
        <x:v>RVX Strength-Speed</x:v>
      </x:c>
      <x:c r="Q55" s="12" t="str">
        <x:f>IFERROR(VLOOKUP($D55&amp;"|"&amp;$K55,Recommendation_Lookup!$A$2:$H$19,7,FALSE),"")</x:f>
        <x:v>Apply force early and continue driving through take-off.</x:v>
      </x:c>
      <x:c r="R55" s="12" t="str">
        <x:f>IFERROR(VLOOKUP($D55&amp;"|"&amp;$K55,Recommendation_Lookup!$A$2:$H$19,8,FALSE),"")</x:f>
        <x:v>Retest after 4–6 weeks.</x:v>
      </x:c>
      <x:c r="S55" s="12"/>
      <x:c r="T55" s="12"/>
      <x:c r="U55" s="12"/>
      <x:c r="V55" s="12"/>
      <x:c r="W55" s="12" t="str">
        <x:f>IF($S55&lt;&gt;"",$S55,$K55)</x:f>
        <x:v>Equal to Norm</x:v>
      </x:c>
      <x:c r="X55" s="12" t="str">
        <x:f>IF($T55&lt;&gt;"",$T55,$L55)</x:f>
        <x:v>Improve force applied over time</x:v>
      </x:c>
      <x:c r="Y55" s="12" t="str">
        <x:f>IF($U55&lt;&gt;"",$U55,$N55)</x:f>
        <x:v>Use loaded jumps, isometrics and strength-power exercises that improve the athlete’s ability to produce and sustain force through the propulsion phase.</x:v>
      </x:c>
      <x:c r="Z55" s="12" t="str">
        <x:f>IF($V55&lt;&gt;"",$V55,$O55)</x:f>
        <x:v>RVX Power Development</x:v>
      </x:c>
      <x:c r="AA55" s="12"/>
    </x:row>
    <x:row r="56">
      <x:c r="A56" s="12" t="str">
        <x:v>RVX-00010</x:v>
      </x:c>
      <x:c r="B56" s="12" t="str">
        <x:f>IFERROR(VLOOKUP($A56,Athlete_Profile!$A$2:$L$51,6,FALSE),"")</x:f>
        <x:v>Hockey</x:v>
      </x:c>
      <x:c r="C56" s="12" t="str">
        <x:f>IFERROR(VLOOKUP($A56,Athlete_Profile!$A$2:$L$51,5,FALSE),"")</x:f>
        <x:v>Male</x:v>
      </x:c>
      <x:c r="D56" s="12" t="str">
        <x:v>sprint_5m</x:v>
      </x:c>
      <x:c r="E56" s="12" t="str">
        <x:f>IFERROR(VLOOKUP($D56,Dropdown_Lists!$K$2:$N$7,2,FALSE),"")</x:f>
        <x:v>5m Sprint</x:v>
      </x:c>
      <x:c r="F56" s="12" t="str">
        <x:f>IFERROR(VLOOKUP($D56,Dropdown_Lists!$K$2:$N$7,3,FALSE),"")</x:f>
        <x:v>lower</x:v>
      </x:c>
      <x:c r="G56" s="17" t="n">
        <x:f>IFERROR(LOOKUP(2,1/((Performance_Metrics!$A$2:$A$3000=$A56)*(Performance_Metrics!$D$2:$D$3000=$D56)),Performance_Metrics!$C$2:$C$3000),"")</x:f>
        <x:v>46230</x:v>
      </x:c>
      <x:c r="H56" s="12" t="n">
        <x:f>IFERROR(LOOKUP(2,1/((Performance_Metrics!$A$2:$A$3000=$A56)*(Performance_Metrics!$D$2:$D$3000=$D56)),Performance_Metrics!$G$2:$G$3000),"")</x:f>
        <x:v>0.89</x:v>
      </x:c>
      <x:c r="I56" s="12" t="n">
        <x:f>IFERROR(SUMIFS(Normative_Data!$G$2:$G$1000,Normative_Data!$A$2:$A$1000,$B56,Normative_Data!$B$2:$B$1000,$C56,Normative_Data!$E$2:$E$1000,$D56),"")</x:f>
        <x:v>1.08</x:v>
      </x:c>
      <x:c r="J56" s="18" t="n">
        <x:f>IF(OR($H56="",$I56=""),"",($H56-$I56)/$I56)</x:f>
        <x:v>-0.17592592592592596</x:v>
      </x:c>
      <x:c r="K56" s="12" t="str">
        <x:f>IF(OR($H56="",$I56="",$F56=""),"",IF(ABS($J56)&lt;=0.05,"Equal to Norm",IF($F56="lower",IF($H56&lt;$I56,"Above Norm","Below Norm"),IF($H56&gt;$I56,"Above Norm","Below Norm"))))</x:f>
        <x:v>Above Norm</x:v>
      </x:c>
      <x:c r="L56" s="12" t="str">
        <x:f>IFERROR(VLOOKUP($D56&amp;"|"&amp;$K56,Recommendation_Lookup!$A$2:$H$19,2,FALSE),"")</x:f>
        <x:v>Maintain first-step explosiveness</x:v>
      </x:c>
      <x:c r="M56" s="12" t="str">
        <x:f>IFERROR(VLOOKUP($D56&amp;"|"&amp;$K56,Recommendation_Lookup!$A$2:$H$19,3,FALSE),"")</x:f>
        <x:v>Start consistency; projection angle; horizontal force; reaction quality</x:v>
      </x:c>
      <x:c r="N56" s="12" t="str">
        <x:f>IFERROR(VLOOKUP($D56&amp;"|"&amp;$K56,Recommendation_Lookup!$A$2:$H$19,4,FALSE),"")</x:f>
        <x:v>Maintain speed with low-volume, high-quality acceleration exposures. Avoid unnecessary volume that could reduce sprint quality. Progress through resisted and reactive starts while preserving mechanics.</x:v>
      </x:c>
      <x:c r="O56" s="12" t="str">
        <x:f>IFERROR(VLOOKUP($D56&amp;"|"&amp;$K56,Recommendation_Lookup!$A$2:$H$19,5,FALSE),"")</x:f>
        <x:v>RVX Advanced Acceleration</x:v>
      </x:c>
      <x:c r="P56" s="12" t="str">
        <x:f>IFERROR(VLOOKUP($D56&amp;"|"&amp;$K56,Recommendation_Lookup!$A$2:$H$19,6,FALSE),"")</x:f>
        <x:v>RVX Explosive Starts Microdose</x:v>
      </x:c>
      <x:c r="Q56" s="12" t="str">
        <x:f>IFERROR(VLOOKUP($D56&amp;"|"&amp;$K56,Recommendation_Lookup!$A$2:$H$19,7,FALSE),"")</x:f>
        <x:v>Project forward, push the ground back, and win the first three steps.</x:v>
      </x:c>
      <x:c r="R56" s="12" t="str">
        <x:f>IFERROR(VLOOKUP($D56&amp;"|"&amp;$K56,Recommendation_Lookup!$A$2:$H$19,8,FALSE),"")</x:f>
        <x:v>Retest every 6–8 weeks or after a dedicated acceleration block.</x:v>
      </x:c>
      <x:c r="S56" s="12"/>
      <x:c r="T56" s="12"/>
      <x:c r="U56" s="12"/>
      <x:c r="V56" s="12"/>
      <x:c r="W56" s="12" t="str">
        <x:f>IF($S56&lt;&gt;"",$S56,$K56)</x:f>
        <x:v>Above Norm</x:v>
      </x:c>
      <x:c r="X56" s="12" t="str">
        <x:f>IF($T56&lt;&gt;"",$T56,$L56)</x:f>
        <x:v>Maintain first-step explosiveness</x:v>
      </x:c>
      <x:c r="Y56" s="12" t="str">
        <x:f>IF($U56&lt;&gt;"",$U56,$N56)</x:f>
        <x:v>Maintain speed with low-volume, high-quality acceleration exposures. Avoid unnecessary volume that could reduce sprint quality. Progress through resisted and reactive starts while preserving mechanics.</x:v>
      </x:c>
      <x:c r="Z56" s="12" t="str">
        <x:f>IF($V56&lt;&gt;"",$V56,$O56)</x:f>
        <x:v>RVX Advanced Acceleration</x:v>
      </x:c>
      <x:c r="AA56" s="12"/>
    </x:row>
    <x:row r="57">
      <x:c r="A57" s="12" t="str">
        <x:v>RVX-00010</x:v>
      </x:c>
      <x:c r="B57" s="12" t="str">
        <x:f>IFERROR(VLOOKUP($A57,Athlete_Profile!$A$2:$L$51,6,FALSE),"")</x:f>
        <x:v>Hockey</x:v>
      </x:c>
      <x:c r="C57" s="12" t="str">
        <x:f>IFERROR(VLOOKUP($A57,Athlete_Profile!$A$2:$L$51,5,FALSE),"")</x:f>
        <x:v>Male</x:v>
      </x:c>
      <x:c r="D57" s="12" t="str">
        <x:v>sprint_10m</x:v>
      </x:c>
      <x:c r="E57" s="12" t="str">
        <x:f>IFERROR(VLOOKUP($D57,Dropdown_Lists!$K$2:$N$7,2,FALSE),"")</x:f>
        <x:v>10m Sprint</x:v>
      </x:c>
      <x:c r="F57" s="12" t="str">
        <x:f>IFERROR(VLOOKUP($D57,Dropdown_Lists!$K$2:$N$7,3,FALSE),"")</x:f>
        <x:v>lower</x:v>
      </x:c>
      <x:c r="G57" s="17" t="n">
        <x:f>IFERROR(LOOKUP(2,1/((Performance_Metrics!$A$2:$A$3000=$A57)*(Performance_Metrics!$D$2:$D$3000=$D57)),Performance_Metrics!$C$2:$C$3000),"")</x:f>
        <x:v>46230</x:v>
      </x:c>
      <x:c r="H57" s="12" t="n">
        <x:f>IFERROR(LOOKUP(2,1/((Performance_Metrics!$A$2:$A$3000=$A57)*(Performance_Metrics!$D$2:$D$3000=$D57)),Performance_Metrics!$G$2:$G$3000),"")</x:f>
        <x:v>1.52</x:v>
      </x:c>
      <x:c r="I57" s="12" t="n">
        <x:f>IFERROR(SUMIFS(Normative_Data!$G$2:$G$1000,Normative_Data!$A$2:$A$1000,$B57,Normative_Data!$B$2:$B$1000,$C57,Normative_Data!$E$2:$E$1000,$D57),"")</x:f>
        <x:v>1.8</x:v>
      </x:c>
      <x:c r="J57" s="18" t="n">
        <x:f>IF(OR($H57="",$I57=""),"",($H57-$I57)/$I57)</x:f>
        <x:v>-0.15555555555555556</x:v>
      </x:c>
      <x:c r="K57" s="12" t="str">
        <x:f>IF(OR($H57="",$I57="",$F57=""),"",IF(ABS($J57)&lt;=0.05,"Equal to Norm",IF($F57="lower",IF($H57&lt;$I57,"Above Norm","Below Norm"),IF($H57&gt;$I57,"Above Norm","Below Norm"))))</x:f>
        <x:v>Above Norm</x:v>
      </x:c>
      <x:c r="L57" s="12" t="str">
        <x:f>IFERROR(VLOOKUP($D57&amp;"|"&amp;$K57,Recommendation_Lookup!$A$2:$H$19,2,FALSE),"")</x:f>
        <x:v>Maintain acceleration through 10 m</x:v>
      </x:c>
      <x:c r="M57" s="12" t="str">
        <x:f>IFERROR(VLOOKUP($D57&amp;"|"&amp;$K57,Recommendation_Lookup!$A$2:$H$19,3,FALSE),"")</x:f>
        <x:v>Transition mechanics; stride rhythm; stiffness; repeatability</x:v>
      </x:c>
      <x:c r="N57" s="12" t="str">
        <x:f>IFERROR(VLOOKUP($D57&amp;"|"&amp;$K57,Recommendation_Lookup!$A$2:$H$19,4,FALSE),"")</x:f>
        <x:v>Maintain one to two weekly high-quality acceleration exposures. Add varied starts and light resistance while monitoring consistency across trials.</x:v>
      </x:c>
      <x:c r="O57" s="12" t="str">
        <x:f>IFERROR(VLOOKUP($D57&amp;"|"&amp;$K57,Recommendation_Lookup!$A$2:$H$19,5,FALSE),"")</x:f>
        <x:v>RVX Advanced Acceleration</x:v>
      </x:c>
      <x:c r="P57" s="12" t="str">
        <x:f>IFERROR(VLOOKUP($D57&amp;"|"&amp;$K57,Recommendation_Lookup!$A$2:$H$19,6,FALSE),"")</x:f>
        <x:v>RVX Speed Maintenance Microdose</x:v>
      </x:c>
      <x:c r="Q57" s="12" t="str">
        <x:f>IFERROR(VLOOKUP($D57&amp;"|"&amp;$K57,Recommendation_Lookup!$A$2:$H$19,7,FALSE),"")</x:f>
        <x:v>Stay patient through acceleration and keep pushing behind the body.</x:v>
      </x:c>
      <x:c r="R57" s="12" t="str">
        <x:f>IFERROR(VLOOKUP($D57&amp;"|"&amp;$K57,Recommendation_Lookup!$A$2:$H$19,8,FALSE),"")</x:f>
        <x:v>Retest every 6–8 weeks or after a speed block.</x:v>
      </x:c>
      <x:c r="S57" s="12"/>
      <x:c r="T57" s="12"/>
      <x:c r="U57" s="12"/>
      <x:c r="V57" s="12"/>
      <x:c r="W57" s="12" t="str">
        <x:f>IF($S57&lt;&gt;"",$S57,$K57)</x:f>
        <x:v>Above Norm</x:v>
      </x:c>
      <x:c r="X57" s="12" t="str">
        <x:f>IF($T57&lt;&gt;"",$T57,$L57)</x:f>
        <x:v>Maintain acceleration through 10 m</x:v>
      </x:c>
      <x:c r="Y57" s="12" t="str">
        <x:f>IF($U57&lt;&gt;"",$U57,$N57)</x:f>
        <x:v>Maintain one to two weekly high-quality acceleration exposures. Add varied starts and light resistance while monitoring consistency across trials.</x:v>
      </x:c>
      <x:c r="Z57" s="12" t="str">
        <x:f>IF($V57&lt;&gt;"",$V57,$O57)</x:f>
        <x:v>RVX Advanced Acceleration</x:v>
      </x:c>
      <x:c r="AA57" s="12"/>
    </x:row>
    <x:row r="58">
      <x:c r="A58" s="12" t="str">
        <x:v>RVX-00010</x:v>
      </x:c>
      <x:c r="B58" s="12" t="str">
        <x:f>IFERROR(VLOOKUP($A58,Athlete_Profile!$A$2:$L$51,6,FALSE),"")</x:f>
        <x:v>Hockey</x:v>
      </x:c>
      <x:c r="C58" s="12" t="str">
        <x:f>IFERROR(VLOOKUP($A58,Athlete_Profile!$A$2:$L$51,5,FALSE),"")</x:f>
        <x:v>Male</x:v>
      </x:c>
      <x:c r="D58" s="12" t="str">
        <x:v>pro_agility</x:v>
      </x:c>
      <x:c r="E58" s="12" t="str">
        <x:f>IFERROR(VLOOKUP($D58,Dropdown_Lists!$K$2:$N$7,2,FALSE),"")</x:f>
        <x:v>5-10-5 Pro Agility</x:v>
      </x:c>
      <x:c r="F58" s="12" t="str">
        <x:f>IFERROR(VLOOKUP($D58,Dropdown_Lists!$K$2:$N$7,3,FALSE),"")</x:f>
        <x:v>lower</x:v>
      </x:c>
      <x:c r="G58" s="17" t="n">
        <x:f>IFERROR(LOOKUP(2,1/((Performance_Metrics!$A$2:$A$3000=$A58)*(Performance_Metrics!$D$2:$D$3000=$D58)),Performance_Metrics!$C$2:$C$3000),"")</x:f>
        <x:v>46230</x:v>
      </x:c>
      <x:c r="H58" s="12" t="n">
        <x:f>IFERROR(LOOKUP(2,1/((Performance_Metrics!$A$2:$A$3000=$A58)*(Performance_Metrics!$D$2:$D$3000=$D58)),Performance_Metrics!$G$2:$G$3000),"")</x:f>
        <x:v>3.88</x:v>
      </x:c>
      <x:c r="I58" s="12" t="n">
        <x:f>IFERROR(SUMIFS(Normative_Data!$G$2:$G$1000,Normative_Data!$A$2:$A$1000,$B58,Normative_Data!$B$2:$B$1000,$C58,Normative_Data!$E$2:$E$1000,$D58),"")</x:f>
        <x:v>4.63</x:v>
      </x:c>
      <x:c r="J58" s="18" t="n">
        <x:f>IF(OR($H58="",$I58=""),"",($H58-$I58)/$I58)</x:f>
        <x:v>-0.16198704103671707</x:v>
      </x:c>
      <x:c r="K58" s="12" t="str">
        <x:f>IF(OR($H58="",$I58="",$F58=""),"",IF(ABS($J58)&lt;=0.05,"Equal to Norm",IF($F58="lower",IF($H58&lt;$I58,"Above Norm","Below Norm"),IF($H58&gt;$I58,"Above Norm","Below Norm"))))</x:f>
        <x:v>Above Norm</x:v>
      </x:c>
      <x:c r="L58" s="12" t="str">
        <x:f>IFERROR(VLOOKUP($D58&amp;"|"&amp;$K58,Recommendation_Lookup!$A$2:$H$19,2,FALSE),"")</x:f>
        <x:v>Maintain change-of-direction performance</x:v>
      </x:c>
      <x:c r="M58" s="12" t="str">
        <x:f>IFERROR(VLOOKUP($D58&amp;"|"&amp;$K58,Recommendation_Lookup!$A$2:$H$19,3,FALSE),"")</x:f>
        <x:v>Reactive decision-making; braking tolerance; bilateral symmetry; movement variability</x:v>
      </x:c>
      <x:c r="N58" s="12" t="str">
        <x:f>IFERROR(VLOOKUP($D58&amp;"|"&amp;$K58,Recommendation_Lookup!$A$2:$H$19,4,FALSE),"")</x:f>
        <x:v>Maintain planned change-of-direction work and progress toward reactive agility. Use low-volume, high-quality exposures with multiple starting and turning strategies.</x:v>
      </x:c>
      <x:c r="O58" s="12" t="str">
        <x:f>IFERROR(VLOOKUP($D58&amp;"|"&amp;$K58,Recommendation_Lookup!$A$2:$H$19,5,FALSE),"")</x:f>
        <x:v>RVX Advanced Change of Direction</x:v>
      </x:c>
      <x:c r="P58" s="12" t="str">
        <x:f>IFERROR(VLOOKUP($D58&amp;"|"&amp;$K58,Recommendation_Lookup!$A$2:$H$19,6,FALSE),"")</x:f>
        <x:v>RVX Reactive Agility</x:v>
      </x:c>
      <x:c r="Q58" s="12" t="str">
        <x:f>IFERROR(VLOOKUP($D58&amp;"|"&amp;$K58,Recommendation_Lookup!$A$2:$H$19,7,FALSE),"")</x:f>
        <x:v>Brake under control, own the plant and accelerate out immediately.</x:v>
      </x:c>
      <x:c r="R58" s="12" t="str">
        <x:f>IFERROR(VLOOKUP($D58&amp;"|"&amp;$K58,Recommendation_Lookup!$A$2:$H$19,8,FALSE),"")</x:f>
        <x:v>Retest every 6–8 weeks with left and right trial review.</x:v>
      </x:c>
      <x:c r="S58" s="12"/>
      <x:c r="T58" s="12"/>
      <x:c r="U58" s="12"/>
      <x:c r="V58" s="12"/>
      <x:c r="W58" s="12" t="str">
        <x:f>IF($S58&lt;&gt;"",$S58,$K58)</x:f>
        <x:v>Above Norm</x:v>
      </x:c>
      <x:c r="X58" s="12" t="str">
        <x:f>IF($T58&lt;&gt;"",$T58,$L58)</x:f>
        <x:v>Maintain change-of-direction performance</x:v>
      </x:c>
      <x:c r="Y58" s="12" t="str">
        <x:f>IF($U58&lt;&gt;"",$U58,$N58)</x:f>
        <x:v>Maintain planned change-of-direction work and progress toward reactive agility. Use low-volume, high-quality exposures with multiple starting and turning strategies.</x:v>
      </x:c>
      <x:c r="Z58" s="12" t="str">
        <x:f>IF($V58&lt;&gt;"",$V58,$O58)</x:f>
        <x:v>RVX Advanced Change of Direction</x:v>
      </x:c>
      <x:c r="AA58" s="12"/>
    </x:row>
    <x:row r="59">
      <x:c r="A59" s="12" t="str">
        <x:v>RVX-00010</x:v>
      </x:c>
      <x:c r="B59" s="12" t="str">
        <x:f>IFERROR(VLOOKUP($A59,Athlete_Profile!$A$2:$L$51,6,FALSE),"")</x:f>
        <x:v>Hockey</x:v>
      </x:c>
      <x:c r="C59" s="12" t="str">
        <x:f>IFERROR(VLOOKUP($A59,Athlete_Profile!$A$2:$L$51,5,FALSE),"")</x:f>
        <x:v>Male</x:v>
      </x:c>
      <x:c r="D59" s="12" t="str">
        <x:v>cmj_depth</x:v>
      </x:c>
      <x:c r="E59" s="12" t="str">
        <x:f>IFERROR(VLOOKUP($D59,Dropdown_Lists!$K$2:$N$7,2,FALSE),"")</x:f>
        <x:v>Countermovement Depth</x:v>
      </x:c>
      <x:c r="F59" s="12" t="str">
        <x:f>IFERROR(VLOOKUP($D59,Dropdown_Lists!$K$2:$N$7,3,FALSE),"")</x:f>
        <x:v>higher</x:v>
      </x:c>
      <x:c r="G59" s="17" t="n">
        <x:f>IFERROR(LOOKUP(2,1/((Performance_Metrics!$A$2:$A$3000=$A59)*(Performance_Metrics!$D$2:$D$3000=$D59)),Performance_Metrics!$C$2:$C$3000),"")</x:f>
        <x:v>46230</x:v>
      </x:c>
      <x:c r="H59" s="12" t="n">
        <x:f>IFERROR(LOOKUP(2,1/((Performance_Metrics!$A$2:$A$3000=$A59)*(Performance_Metrics!$D$2:$D$3000=$D59)),Performance_Metrics!$G$2:$G$3000),"")</x:f>
        <x:v>37.5</x:v>
      </x:c>
      <x:c r="I59" s="12" t="n">
        <x:f>IFERROR(SUMIFS(Normative_Data!$G$2:$G$1000,Normative_Data!$A$2:$A$1000,$B59,Normative_Data!$B$2:$B$1000,$C59,Normative_Data!$E$2:$E$1000,$D59),"")</x:f>
        <x:v>33</x:v>
      </x:c>
      <x:c r="J59" s="18" t="n">
        <x:f>IF(OR($H59="",$I59=""),"",($H59-$I59)/$I59)</x:f>
        <x:v>0.13636363636363635</x:v>
      </x:c>
      <x:c r="K59" s="12" t="str">
        <x:f>IF(OR($H59="",$I59="",$F59=""),"",IF(ABS($J59)&lt;=0.05,"Equal to Norm",IF($F59="lower",IF($H59&lt;$I59,"Above Norm","Below Norm"),IF($H59&gt;$I59,"Above Norm","Below Norm"))))</x:f>
        <x:v>Above Norm</x:v>
      </x:c>
      <x:c r="L59" s="12" t="str">
        <x:f>IFERROR(VLOOKUP($D59&amp;"|"&amp;$K59,Recommendation_Lookup!$A$2:$H$19,2,FALSE),"")</x:f>
        <x:v>Maintain effective countermovement strategy</x:v>
      </x:c>
      <x:c r="M59" s="12" t="str">
        <x:f>IFERROR(VLOOKUP($D59&amp;"|"&amp;$K59,Recommendation_Lookup!$A$2:$H$19,3,FALSE),"")</x:f>
        <x:v>Movement efficiency; eccentric control; jump consistency; depth-to-output relationship</x:v>
      </x:c>
      <x:c r="N59" s="12" t="str">
        <x:f>IFERROR(VLOOKUP($D59&amp;"|"&amp;$K59,Recommendation_Lookup!$A$2:$H$19,4,FALSE),"")</x:f>
        <x:v>Maintain the athlete’s preferred countermovement strategy while ensuring the additional depth contributes to force and impulse rather than excessive movement time.</x:v>
      </x:c>
      <x:c r="O59" s="12" t="str">
        <x:f>IFERROR(VLOOKUP($D59&amp;"|"&amp;$K59,Recommendation_Lookup!$A$2:$H$19,5,FALSE),"")</x:f>
        <x:v>RVX Jump Performance Advanced</x:v>
      </x:c>
      <x:c r="P59" s="12" t="str">
        <x:f>IFERROR(VLOOKUP($D59&amp;"|"&amp;$K59,Recommendation_Lookup!$A$2:$H$19,6,FALSE),"")</x:f>
        <x:v>RVX Eccentric Strength Microdose</x:v>
      </x:c>
      <x:c r="Q59" s="12" t="str">
        <x:f>IFERROR(VLOOKUP($D59&amp;"|"&amp;$K59,Recommendation_Lookup!$A$2:$H$19,7,FALSE),"")</x:f>
        <x:v>Use the depth you can control, then reverse quickly and aggressively.</x:v>
      </x:c>
      <x:c r="R59" s="12" t="str">
        <x:f>IFERROR(VLOOKUP($D59&amp;"|"&amp;$K59,Recommendation_Lookup!$A$2:$H$19,8,FALSE),"")</x:f>
        <x:v>Retest every 6–8 weeks while monitoring jump height and contraction time.</x:v>
      </x:c>
      <x:c r="S59" s="12"/>
      <x:c r="T59" s="12"/>
      <x:c r="U59" s="12"/>
      <x:c r="V59" s="12"/>
      <x:c r="W59" s="12" t="str">
        <x:f>IF($S59&lt;&gt;"",$S59,$K59)</x:f>
        <x:v>Above Norm</x:v>
      </x:c>
      <x:c r="X59" s="12" t="str">
        <x:f>IF($T59&lt;&gt;"",$T59,$L59)</x:f>
        <x:v>Maintain effective countermovement strategy</x:v>
      </x:c>
      <x:c r="Y59" s="12" t="str">
        <x:f>IF($U59&lt;&gt;"",$U59,$N59)</x:f>
        <x:v>Maintain the athlete’s preferred countermovement strategy while ensuring the additional depth contributes to force and impulse rather than excessive movement time.</x:v>
      </x:c>
      <x:c r="Z59" s="12" t="str">
        <x:f>IF($V59&lt;&gt;"",$V59,$O59)</x:f>
        <x:v>RVX Jump Performance Advanced</x:v>
      </x:c>
      <x:c r="AA59" s="12"/>
    </x:row>
    <x:row r="60">
      <x:c r="A60" s="12" t="str">
        <x:v>RVX-00010</x:v>
      </x:c>
      <x:c r="B60" s="12" t="str">
        <x:f>IFERROR(VLOOKUP($A60,Athlete_Profile!$A$2:$L$51,6,FALSE),"")</x:f>
        <x:v>Hockey</x:v>
      </x:c>
      <x:c r="C60" s="12" t="str">
        <x:f>IFERROR(VLOOKUP($A60,Athlete_Profile!$A$2:$L$51,5,FALSE),"")</x:f>
        <x:v>Male</x:v>
      </x:c>
      <x:c r="D60" s="12" t="str">
        <x:v>peak_force</x:v>
      </x:c>
      <x:c r="E60" s="12" t="str">
        <x:f>IFERROR(VLOOKUP($D60,Dropdown_Lists!$K$2:$N$7,2,FALSE),"")</x:f>
        <x:v>Peak Force</x:v>
      </x:c>
      <x:c r="F60" s="12" t="str">
        <x:f>IFERROR(VLOOKUP($D60,Dropdown_Lists!$K$2:$N$7,3,FALSE),"")</x:f>
        <x:v>higher</x:v>
      </x:c>
      <x:c r="G60" s="17" t="n">
        <x:f>IFERROR(LOOKUP(2,1/((Performance_Metrics!$A$2:$A$3000=$A60)*(Performance_Metrics!$D$2:$D$3000=$D60)),Performance_Metrics!$C$2:$C$3000),"")</x:f>
        <x:v>46230</x:v>
      </x:c>
      <x:c r="H60" s="12" t="n">
        <x:f>IFERROR(LOOKUP(2,1/((Performance_Metrics!$A$2:$A$3000=$A60)*(Performance_Metrics!$D$2:$D$3000=$D60)),Performance_Metrics!$G$2:$G$3000),"")</x:f>
        <x:v>2245</x:v>
      </x:c>
      <x:c r="I60" s="12" t="n">
        <x:f>IFERROR(SUMIFS(Normative_Data!$G$2:$G$1000,Normative_Data!$A$2:$A$1000,$B60,Normative_Data!$B$2:$B$1000,$C60,Normative_Data!$E$2:$E$1000,$D60),"")</x:f>
        <x:v>1925</x:v>
      </x:c>
      <x:c r="J60" s="18" t="n">
        <x:f>IF(OR($H60="",$I60=""),"",($H60-$I60)/$I60)</x:f>
        <x:v>0.16623376623376623</x:v>
      </x:c>
      <x:c r="K60" s="12" t="str">
        <x:f>IF(OR($H60="",$I60="",$F60=""),"",IF(ABS($J60)&lt;=0.05,"Equal to Norm",IF($F60="lower",IF($H60&lt;$I60,"Above Norm","Below Norm"),IF($H60&gt;$I60,"Above Norm","Below Norm"))))</x:f>
        <x:v>Above Norm</x:v>
      </x:c>
      <x:c r="L60" s="12" t="str">
        <x:f>IFERROR(VLOOKUP($D60&amp;"|"&amp;$K60,Recommendation_Lookup!$A$2:$H$19,2,FALSE),"")</x:f>
        <x:v>Maintain maximal force qualities</x:v>
      </x:c>
      <x:c r="M60" s="12" t="str">
        <x:f>IFERROR(VLOOKUP($D60&amp;"|"&amp;$K60,Recommendation_Lookup!$A$2:$H$19,3,FALSE),"")</x:f>
        <x:v>Force application speed; asymmetry; fatigue management; sport transfer</x:v>
      </x:c>
      <x:c r="N60" s="12" t="str">
        <x:f>IFERROR(VLOOKUP($D60&amp;"|"&amp;$K60,Recommendation_Lookup!$A$2:$H$19,4,FALSE),"")</x:f>
        <x:v>Maintain maximal force with low-volume strength exposure while shifting selected work toward power and sport-specific application. Monitor asymmetry and fatigue.</x:v>
      </x:c>
      <x:c r="O60" s="12" t="str">
        <x:f>IFERROR(VLOOKUP($D60&amp;"|"&amp;$K60,Recommendation_Lookup!$A$2:$H$19,5,FALSE),"")</x:f>
        <x:v>RVX Advanced Strength-Power</x:v>
      </x:c>
      <x:c r="P60" s="12" t="str">
        <x:f>IFERROR(VLOOKUP($D60&amp;"|"&amp;$K60,Recommendation_Lookup!$A$2:$H$19,6,FALSE),"")</x:f>
        <x:v>RVX Force Maintenance Microdose</x:v>
      </x:c>
      <x:c r="Q60" s="12" t="str">
        <x:f>IFERROR(VLOOKUP($D60&amp;"|"&amp;$K60,Recommendation_Lookup!$A$2:$H$19,7,FALSE),"")</x:f>
        <x:v>Produce high force without losing position or movement speed.</x:v>
      </x:c>
      <x:c r="R60" s="12" t="str">
        <x:f>IFERROR(VLOOKUP($D60&amp;"|"&amp;$K60,Recommendation_Lookup!$A$2:$H$19,8,FALSE),"")</x:f>
        <x:v>Retest every 6–8 weeks or following a strength-power phase.</x:v>
      </x:c>
      <x:c r="S60" s="12"/>
      <x:c r="T60" s="12"/>
      <x:c r="U60" s="12"/>
      <x:c r="V60" s="12"/>
      <x:c r="W60" s="12" t="str">
        <x:f>IF($S60&lt;&gt;"",$S60,$K60)</x:f>
        <x:v>Above Norm</x:v>
      </x:c>
      <x:c r="X60" s="12" t="str">
        <x:f>IF($T60&lt;&gt;"",$T60,$L60)</x:f>
        <x:v>Maintain maximal force qualities</x:v>
      </x:c>
      <x:c r="Y60" s="12" t="str">
        <x:f>IF($U60&lt;&gt;"",$U60,$N60)</x:f>
        <x:v>Maintain maximal force with low-volume strength exposure while shifting selected work toward power and sport-specific application. Monitor asymmetry and fatigue.</x:v>
      </x:c>
      <x:c r="Z60" s="12" t="str">
        <x:f>IF($V60&lt;&gt;"",$V60,$O60)</x:f>
        <x:v>RVX Advanced Strength-Power</x:v>
      </x:c>
      <x:c r="AA60" s="12"/>
    </x:row>
    <x:row r="61">
      <x:c r="A61" s="12" t="str">
        <x:v>RVX-00010</x:v>
      </x:c>
      <x:c r="B61" s="12" t="str">
        <x:f>IFERROR(VLOOKUP($A61,Athlete_Profile!$A$2:$L$51,6,FALSE),"")</x:f>
        <x:v>Hockey</x:v>
      </x:c>
      <x:c r="C61" s="12" t="str">
        <x:f>IFERROR(VLOOKUP($A61,Athlete_Profile!$A$2:$L$51,5,FALSE),"")</x:f>
        <x:v>Male</x:v>
      </x:c>
      <x:c r="D61" s="12" t="str">
        <x:v>impulse</x:v>
      </x:c>
      <x:c r="E61" s="12" t="str">
        <x:f>IFERROR(VLOOKUP($D61,Dropdown_Lists!$K$2:$N$7,2,FALSE),"")</x:f>
        <x:v>Impulse-Momentum</x:v>
      </x:c>
      <x:c r="F61" s="12" t="str">
        <x:f>IFERROR(VLOOKUP($D61,Dropdown_Lists!$K$2:$N$7,3,FALSE),"")</x:f>
        <x:v>higher</x:v>
      </x:c>
      <x:c r="G61" s="17" t="n">
        <x:f>IFERROR(LOOKUP(2,1/((Performance_Metrics!$A$2:$A$3000=$A61)*(Performance_Metrics!$D$2:$D$3000=$D61)),Performance_Metrics!$C$2:$C$3000),"")</x:f>
        <x:v>46230</x:v>
      </x:c>
      <x:c r="H61" s="12" t="n">
        <x:f>IFERROR(LOOKUP(2,1/((Performance_Metrics!$A$2:$A$3000=$A61)*(Performance_Metrics!$D$2:$D$3000=$D61)),Performance_Metrics!$G$2:$G$3000),"")</x:f>
        <x:v>278.7</x:v>
      </x:c>
      <x:c r="I61" s="12" t="n">
        <x:f>IFERROR(SUMIFS(Normative_Data!$G$2:$G$1000,Normative_Data!$A$2:$A$1000,$B61,Normative_Data!$B$2:$B$1000,$C61,Normative_Data!$E$2:$E$1000,$D61),"")</x:f>
        <x:v>236.5</x:v>
      </x:c>
      <x:c r="J61" s="18" t="n">
        <x:f>IF(OR($H61="",$I61=""),"",($H61-$I61)/$I61)</x:f>
        <x:v>0.17843551797040164</x:v>
      </x:c>
      <x:c r="K61" s="12" t="str">
        <x:f>IF(OR($H61="",$I61="",$F61=""),"",IF(ABS($J61)&lt;=0.05,"Equal to Norm",IF($F61="lower",IF($H61&lt;$I61,"Above Norm","Below Norm"),IF($H61&gt;$I61,"Above Norm","Below Norm"))))</x:f>
        <x:v>Above Norm</x:v>
      </x:c>
      <x:c r="L61" s="12" t="str">
        <x:f>IFERROR(VLOOKUP($D61&amp;"|"&amp;$K61,Recommendation_Lookup!$A$2:$H$19,2,FALSE),"")</x:f>
        <x:v>Maintain total force-time output</x:v>
      </x:c>
      <x:c r="M61" s="12" t="str">
        <x:f>IFERROR(VLOOKUP($D61&amp;"|"&amp;$K61,Recommendation_Lookup!$A$2:$H$19,3,FALSE),"")</x:f>
        <x:v>Rate of force development; movement time; power transfer; fatigue resistance</x:v>
      </x:c>
      <x:c r="N61" s="12" t="str">
        <x:f>IFERROR(VLOOKUP($D61&amp;"|"&amp;$K61,Recommendation_Lookup!$A$2:$H$19,4,FALSE),"")</x:f>
        <x:v>Maintain impulse with strength-power microdosing and varied jump or sprint exposures. Ensure high impulse is achieved efficiently rather than through excessive movement time.</x:v>
      </x:c>
      <x:c r="O61" s="12" t="str">
        <x:f>IFERROR(VLOOKUP($D61&amp;"|"&amp;$K61,Recommendation_Lookup!$A$2:$H$19,5,FALSE),"")</x:f>
        <x:v>RVX Advanced Power Development</x:v>
      </x:c>
      <x:c r="P61" s="12" t="str">
        <x:f>IFERROR(VLOOKUP($D61&amp;"|"&amp;$K61,Recommendation_Lookup!$A$2:$H$19,6,FALSE),"")</x:f>
        <x:v>RVX Elastic Power Microdose</x:v>
      </x:c>
      <x:c r="Q61" s="12" t="str">
        <x:f>IFERROR(VLOOKUP($D61&amp;"|"&amp;$K61,Recommendation_Lookup!$A$2:$H$19,7,FALSE),"")</x:f>
        <x:v>Build force quickly and keep applying it through the full movement.</x:v>
      </x:c>
      <x:c r="R61" s="12" t="str">
        <x:f>IFERROR(VLOOKUP($D61&amp;"|"&amp;$K61,Recommendation_Lookup!$A$2:$H$19,8,FALSE),"")</x:f>
        <x:v>Retest every 6–8 weeks while reviewing contraction time and jump outcome.</x:v>
      </x:c>
      <x:c r="S61" s="12"/>
      <x:c r="T61" s="12"/>
      <x:c r="U61" s="12"/>
      <x:c r="V61" s="12"/>
      <x:c r="W61" s="12" t="str">
        <x:f>IF($S61&lt;&gt;"",$S61,$K61)</x:f>
        <x:v>Above Norm</x:v>
      </x:c>
      <x:c r="X61" s="12" t="str">
        <x:f>IF($T61&lt;&gt;"",$T61,$L61)</x:f>
        <x:v>Maintain total force-time output</x:v>
      </x:c>
      <x:c r="Y61" s="12" t="str">
        <x:f>IF($U61&lt;&gt;"",$U61,$N61)</x:f>
        <x:v>Maintain impulse with strength-power microdosing and varied jump or sprint exposures. Ensure high impulse is achieved efficiently rather than through excessive movement time.</x:v>
      </x:c>
      <x:c r="Z61" s="12" t="str">
        <x:f>IF($V61&lt;&gt;"",$V61,$O61)</x:f>
        <x:v>RVX Advanced Power Development</x:v>
      </x:c>
      <x:c r="AA61" s="12"/>
    </x:row>
    <x:row r="62">
      <x:c r="A62" s="12" t="str">
        <x:v>RVX-00011</x:v>
      </x:c>
      <x:c r="B62" s="12" t="str">
        <x:f>IFERROR(VLOOKUP($A62,Athlete_Profile!$A$2:$L$51,6,FALSE),"")</x:f>
        <x:v>Hockey</x:v>
      </x:c>
      <x:c r="C62" s="12" t="str">
        <x:f>IFERROR(VLOOKUP($A62,Athlete_Profile!$A$2:$L$51,5,FALSE),"")</x:f>
        <x:v>Female</x:v>
      </x:c>
      <x:c r="D62" s="12" t="str">
        <x:v>sprint_5m</x:v>
      </x:c>
      <x:c r="E62" s="12" t="str">
        <x:f>IFERROR(VLOOKUP($D62,Dropdown_Lists!$K$2:$N$7,2,FALSE),"")</x:f>
        <x:v>5m Sprint</x:v>
      </x:c>
      <x:c r="F62" s="12" t="str">
        <x:f>IFERROR(VLOOKUP($D62,Dropdown_Lists!$K$2:$N$7,3,FALSE),"")</x:f>
        <x:v>lower</x:v>
      </x:c>
      <x:c r="G62" s="17" t="n">
        <x:f>IFERROR(LOOKUP(2,1/((Performance_Metrics!$A$2:$A$3000=$A62)*(Performance_Metrics!$D$2:$D$3000=$D62)),Performance_Metrics!$C$2:$C$3000),"")</x:f>
        <x:v>46230</x:v>
      </x:c>
      <x:c r="H62" s="12" t="n">
        <x:f>IFERROR(LOOKUP(2,1/((Performance_Metrics!$A$2:$A$3000=$A62)*(Performance_Metrics!$D$2:$D$3000=$D62)),Performance_Metrics!$G$2:$G$3000),"")</x:f>
        <x:v>1.08</x:v>
      </x:c>
      <x:c r="I62" s="12" t="n">
        <x:f>IFERROR(SUMIFS(Normative_Data!$G$2:$G$1000,Normative_Data!$A$2:$A$1000,$B62,Normative_Data!$B$2:$B$1000,$C62,Normative_Data!$E$2:$E$1000,$D62),"")</x:f>
        <x:v>1.12</x:v>
      </x:c>
      <x:c r="J62" s="18" t="n">
        <x:f>IF(OR($H62="",$I62=""),"",($H62-$I62)/$I62)</x:f>
        <x:v>-0.03571428571428574</x:v>
      </x:c>
      <x:c r="K62" s="12" t="str">
        <x:f>IF(OR($H62="",$I62="",$F62=""),"",IF(ABS($J62)&lt;=0.05,"Equal to Norm",IF($F62="lower",IF($H62&lt;$I62,"Above Norm","Below Norm"),IF($H62&gt;$I62,"Above Norm","Below Norm"))))</x:f>
        <x:v>Equal to Norm</x:v>
      </x:c>
      <x:c r="L62" s="12" t="str">
        <x:f>IFERROR(VLOOKUP($D62&amp;"|"&amp;$K62,Recommendation_Lookup!$A$2:$H$19,2,FALSE),"")</x:f>
        <x:v>Improve acceleration efficiency</x:v>
      </x:c>
      <x:c r="M62" s="12" t="str">
        <x:f>IFERROR(VLOOKUP($D62&amp;"|"&amp;$K62,Recommendation_Lookup!$A$2:$H$19,3,FALSE),"")</x:f>
        <x:v>Starting posture; shin angle; first-step direction; arm action</x:v>
      </x:c>
      <x:c r="N62" s="12" t="str">
        <x:f>IFERROR(VLOOKUP($D62&amp;"|"&amp;$K62,Recommendation_Lookup!$A$2:$H$19,4,FALSE),"")</x:f>
        <x:v>Use a focused acceleration-development block emphasizing starting position, projection and force application. Keep repetitions short with full recovery.</x:v>
      </x:c>
      <x:c r="O62" s="12" t="str">
        <x:f>IFERROR(VLOOKUP($D62&amp;"|"&amp;$K62,Recommendation_Lookup!$A$2:$H$19,5,FALSE),"")</x:f>
        <x:v>RVX Acceleration Foundations</x:v>
      </x:c>
      <x:c r="P62" s="12" t="str">
        <x:f>IFERROR(VLOOKUP($D62&amp;"|"&amp;$K62,Recommendation_Lookup!$A$2:$H$19,6,FALSE),"")</x:f>
        <x:v>RVX Sprint Mechanics</x:v>
      </x:c>
      <x:c r="Q62" s="12" t="str">
        <x:f>IFERROR(VLOOKUP($D62&amp;"|"&amp;$K62,Recommendation_Lookup!$A$2:$H$19,7,FALSE),"")</x:f>
        <x:v>Push out, not up. Keep the first steps powerful and connected.</x:v>
      </x:c>
      <x:c r="R62" s="12" t="str">
        <x:f>IFERROR(VLOOKUP($D62&amp;"|"&amp;$K62,Recommendation_Lookup!$A$2:$H$19,8,FALSE),"")</x:f>
        <x:v>Retest after 4–6 weeks of focused acceleration work.</x:v>
      </x:c>
      <x:c r="S62" s="12"/>
      <x:c r="T62" s="12"/>
      <x:c r="U62" s="12"/>
      <x:c r="V62" s="12"/>
      <x:c r="W62" s="12" t="str">
        <x:f>IF($S62&lt;&gt;"",$S62,$K62)</x:f>
        <x:v>Equal to Norm</x:v>
      </x:c>
      <x:c r="X62" s="12" t="str">
        <x:f>IF($T62&lt;&gt;"",$T62,$L62)</x:f>
        <x:v>Improve acceleration efficiency</x:v>
      </x:c>
      <x:c r="Y62" s="12" t="str">
        <x:f>IF($U62&lt;&gt;"",$U62,$N62)</x:f>
        <x:v>Use a focused acceleration-development block emphasizing starting position, projection and force application. Keep repetitions short with full recovery.</x:v>
      </x:c>
      <x:c r="Z62" s="12" t="str">
        <x:f>IF($V62&lt;&gt;"",$V62,$O62)</x:f>
        <x:v>RVX Acceleration Foundations</x:v>
      </x:c>
      <x:c r="AA62" s="12"/>
    </x:row>
    <x:row r="63">
      <x:c r="A63" s="12" t="str">
        <x:v>RVX-00011</x:v>
      </x:c>
      <x:c r="B63" s="12" t="str">
        <x:f>IFERROR(VLOOKUP($A63,Athlete_Profile!$A$2:$L$51,6,FALSE),"")</x:f>
        <x:v>Hockey</x:v>
      </x:c>
      <x:c r="C63" s="12" t="str">
        <x:f>IFERROR(VLOOKUP($A63,Athlete_Profile!$A$2:$L$51,5,FALSE),"")</x:f>
        <x:v>Female</x:v>
      </x:c>
      <x:c r="D63" s="12" t="str">
        <x:v>sprint_10m</x:v>
      </x:c>
      <x:c r="E63" s="12" t="str">
        <x:f>IFERROR(VLOOKUP($D63,Dropdown_Lists!$K$2:$N$7,2,FALSE),"")</x:f>
        <x:v>10m Sprint</x:v>
      </x:c>
      <x:c r="F63" s="12" t="str">
        <x:f>IFERROR(VLOOKUP($D63,Dropdown_Lists!$K$2:$N$7,3,FALSE),"")</x:f>
        <x:v>lower</x:v>
      </x:c>
      <x:c r="G63" s="17" t="n">
        <x:f>IFERROR(LOOKUP(2,1/((Performance_Metrics!$A$2:$A$3000=$A63)*(Performance_Metrics!$D$2:$D$3000=$D63)),Performance_Metrics!$C$2:$C$3000),"")</x:f>
        <x:v>46230</x:v>
      </x:c>
      <x:c r="H63" s="12" t="n">
        <x:f>IFERROR(LOOKUP(2,1/((Performance_Metrics!$A$2:$A$3000=$A63)*(Performance_Metrics!$D$2:$D$3000=$D63)),Performance_Metrics!$G$2:$G$3000),"")</x:f>
        <x:v>1.81</x:v>
      </x:c>
      <x:c r="I63" s="12" t="n">
        <x:f>IFERROR(SUMIFS(Normative_Data!$G$2:$G$1000,Normative_Data!$A$2:$A$1000,$B63,Normative_Data!$B$2:$B$1000,$C63,Normative_Data!$E$2:$E$1000,$D63),"")</x:f>
        <x:v>1.88</x:v>
      </x:c>
      <x:c r="J63" s="18" t="n">
        <x:f>IF(OR($H63="",$I63=""),"",($H63-$I63)/$I63)</x:f>
        <x:v>-0.037234042553191404</x:v>
      </x:c>
      <x:c r="K63" s="12" t="str">
        <x:f>IF(OR($H63="",$I63="",$F63=""),"",IF(ABS($J63)&lt;=0.05,"Equal to Norm",IF($F63="lower",IF($H63&lt;$I63,"Above Norm","Below Norm"),IF($H63&gt;$I63,"Above Norm","Below Norm"))))</x:f>
        <x:v>Equal to Norm</x:v>
      </x:c>
      <x:c r="L63" s="12" t="str">
        <x:f>IFERROR(VLOOKUP($D63&amp;"|"&amp;$K63,Recommendation_Lookup!$A$2:$H$19,2,FALSE),"")</x:f>
        <x:v>Improve acceleration continuation</x:v>
      </x:c>
      <x:c r="M63" s="12" t="str">
        <x:f>IFERROR(VLOOKUP($D63&amp;"|"&amp;$K63,Recommendation_Lookup!$A$2:$H$19,3,FALSE),"")</x:f>
        <x:v>Projection; force orientation; step rhythm; trunk control</x:v>
      </x:c>
      <x:c r="N63" s="12" t="str">
        <x:f>IFERROR(VLOOKUP($D63&amp;"|"&amp;$K63,Recommendation_Lookup!$A$2:$H$19,4,FALSE),"")</x:f>
        <x:v>Build acceleration from 0–10 m using split starts, falling starts and progressive resisted sprints. Emphasize full recovery and technical consistency.</x:v>
      </x:c>
      <x:c r="O63" s="12" t="str">
        <x:f>IFERROR(VLOOKUP($D63&amp;"|"&amp;$K63,Recommendation_Lookup!$A$2:$H$19,5,FALSE),"")</x:f>
        <x:v>RVX Acceleration Development</x:v>
      </x:c>
      <x:c r="P63" s="12" t="str">
        <x:f>IFERROR(VLOOKUP($D63&amp;"|"&amp;$K63,Recommendation_Lookup!$A$2:$H$19,6,FALSE),"")</x:f>
        <x:v>RVX Sprint Mechanics</x:v>
      </x:c>
      <x:c r="Q63" s="12" t="str">
        <x:f>IFERROR(VLOOKUP($D63&amp;"|"&amp;$K63,Recommendation_Lookup!$A$2:$H$19,7,FALSE),"")</x:f>
        <x:v>Keep building speed through the line; do not stand up too early.</x:v>
      </x:c>
      <x:c r="R63" s="12" t="str">
        <x:f>IFERROR(VLOOKUP($D63&amp;"|"&amp;$K63,Recommendation_Lookup!$A$2:$H$19,8,FALSE),"")</x:f>
        <x:v>Retest after 4–6 weeks.</x:v>
      </x:c>
      <x:c r="S63" s="12"/>
      <x:c r="T63" s="12"/>
      <x:c r="U63" s="12"/>
      <x:c r="V63" s="12"/>
      <x:c r="W63" s="12" t="str">
        <x:f>IF($S63&lt;&gt;"",$S63,$K63)</x:f>
        <x:v>Equal to Norm</x:v>
      </x:c>
      <x:c r="X63" s="12" t="str">
        <x:f>IF($T63&lt;&gt;"",$T63,$L63)</x:f>
        <x:v>Improve acceleration continuation</x:v>
      </x:c>
      <x:c r="Y63" s="12" t="str">
        <x:f>IF($U63&lt;&gt;"",$U63,$N63)</x:f>
        <x:v>Build acceleration from 0–10 m using split starts, falling starts and progressive resisted sprints. Emphasize full recovery and technical consistency.</x:v>
      </x:c>
      <x:c r="Z63" s="12" t="str">
        <x:f>IF($V63&lt;&gt;"",$V63,$O63)</x:f>
        <x:v>RVX Acceleration Development</x:v>
      </x:c>
      <x:c r="AA63" s="12"/>
    </x:row>
    <x:row r="64">
      <x:c r="A64" s="12" t="str">
        <x:v>RVX-00011</x:v>
      </x:c>
      <x:c r="B64" s="12" t="str">
        <x:f>IFERROR(VLOOKUP($A64,Athlete_Profile!$A$2:$L$51,6,FALSE),"")</x:f>
        <x:v>Hockey</x:v>
      </x:c>
      <x:c r="C64" s="12" t="str">
        <x:f>IFERROR(VLOOKUP($A64,Athlete_Profile!$A$2:$L$51,5,FALSE),"")</x:f>
        <x:v>Female</x:v>
      </x:c>
      <x:c r="D64" s="12" t="str">
        <x:v>pro_agility</x:v>
      </x:c>
      <x:c r="E64" s="12" t="str">
        <x:f>IFERROR(VLOOKUP($D64,Dropdown_Lists!$K$2:$N$7,2,FALSE),"")</x:f>
        <x:v>5-10-5 Pro Agility</x:v>
      </x:c>
      <x:c r="F64" s="12" t="str">
        <x:f>IFERROR(VLOOKUP($D64,Dropdown_Lists!$K$2:$N$7,3,FALSE),"")</x:f>
        <x:v>lower</x:v>
      </x:c>
      <x:c r="G64" s="17" t="n">
        <x:f>IFERROR(LOOKUP(2,1/((Performance_Metrics!$A$2:$A$3000=$A64)*(Performance_Metrics!$D$2:$D$3000=$D64)),Performance_Metrics!$C$2:$C$3000),"")</x:f>
        <x:v>46230</x:v>
      </x:c>
      <x:c r="H64" s="12" t="n">
        <x:f>IFERROR(LOOKUP(2,1/((Performance_Metrics!$A$2:$A$3000=$A64)*(Performance_Metrics!$D$2:$D$3000=$D64)),Performance_Metrics!$G$2:$G$3000),"")</x:f>
        <x:v>4.48</x:v>
      </x:c>
      <x:c r="I64" s="12" t="n">
        <x:f>IFERROR(SUMIFS(Normative_Data!$G$2:$G$1000,Normative_Data!$A$2:$A$1000,$B64,Normative_Data!$B$2:$B$1000,$C64,Normative_Data!$E$2:$E$1000,$D64),"")</x:f>
        <x:v>4.82</x:v>
      </x:c>
      <x:c r="J64" s="18" t="n">
        <x:f>IF(OR($H64="",$I64=""),"",($H64-$I64)/$I64)</x:f>
        <x:v>-0.0705394190871369</x:v>
      </x:c>
      <x:c r="K64" s="12" t="str">
        <x:f>IF(OR($H64="",$I64="",$F64=""),"",IF(ABS($J64)&lt;=0.05,"Equal to Norm",IF($F64="lower",IF($H64&lt;$I64,"Above Norm","Below Norm"),IF($H64&gt;$I64,"Above Norm","Below Norm"))))</x:f>
        <x:v>Above Norm</x:v>
      </x:c>
      <x:c r="L64" s="12" t="str">
        <x:f>IFERROR(VLOOKUP($D64&amp;"|"&amp;$K64,Recommendation_Lookup!$A$2:$H$19,2,FALSE),"")</x:f>
        <x:v>Maintain change-of-direction performance</x:v>
      </x:c>
      <x:c r="M64" s="12" t="str">
        <x:f>IFERROR(VLOOKUP($D64&amp;"|"&amp;$K64,Recommendation_Lookup!$A$2:$H$19,3,FALSE),"")</x:f>
        <x:v>Reactive decision-making; braking tolerance; bilateral symmetry; movement variability</x:v>
      </x:c>
      <x:c r="N64" s="12" t="str">
        <x:f>IFERROR(VLOOKUP($D64&amp;"|"&amp;$K64,Recommendation_Lookup!$A$2:$H$19,4,FALSE),"")</x:f>
        <x:v>Maintain planned change-of-direction work and progress toward reactive agility. Use low-volume, high-quality exposures with multiple starting and turning strategies.</x:v>
      </x:c>
      <x:c r="O64" s="12" t="str">
        <x:f>IFERROR(VLOOKUP($D64&amp;"|"&amp;$K64,Recommendation_Lookup!$A$2:$H$19,5,FALSE),"")</x:f>
        <x:v>RVX Advanced Change of Direction</x:v>
      </x:c>
      <x:c r="P64" s="12" t="str">
        <x:f>IFERROR(VLOOKUP($D64&amp;"|"&amp;$K64,Recommendation_Lookup!$A$2:$H$19,6,FALSE),"")</x:f>
        <x:v>RVX Reactive Agility</x:v>
      </x:c>
      <x:c r="Q64" s="12" t="str">
        <x:f>IFERROR(VLOOKUP($D64&amp;"|"&amp;$K64,Recommendation_Lookup!$A$2:$H$19,7,FALSE),"")</x:f>
        <x:v>Brake under control, own the plant and accelerate out immediately.</x:v>
      </x:c>
      <x:c r="R64" s="12" t="str">
        <x:f>IFERROR(VLOOKUP($D64&amp;"|"&amp;$K64,Recommendation_Lookup!$A$2:$H$19,8,FALSE),"")</x:f>
        <x:v>Retest every 6–8 weeks with left and right trial review.</x:v>
      </x:c>
      <x:c r="S64" s="12"/>
      <x:c r="T64" s="12"/>
      <x:c r="U64" s="12"/>
      <x:c r="V64" s="12"/>
      <x:c r="W64" s="12" t="str">
        <x:f>IF($S64&lt;&gt;"",$S64,$K64)</x:f>
        <x:v>Above Norm</x:v>
      </x:c>
      <x:c r="X64" s="12" t="str">
        <x:f>IF($T64&lt;&gt;"",$T64,$L64)</x:f>
        <x:v>Maintain change-of-direction performance</x:v>
      </x:c>
      <x:c r="Y64" s="12" t="str">
        <x:f>IF($U64&lt;&gt;"",$U64,$N64)</x:f>
        <x:v>Maintain planned change-of-direction work and progress toward reactive agility. Use low-volume, high-quality exposures with multiple starting and turning strategies.</x:v>
      </x:c>
      <x:c r="Z64" s="12" t="str">
        <x:f>IF($V64&lt;&gt;"",$V64,$O64)</x:f>
        <x:v>RVX Advanced Change of Direction</x:v>
      </x:c>
      <x:c r="AA64" s="12"/>
    </x:row>
    <x:row r="65">
      <x:c r="A65" s="12" t="str">
        <x:v>RVX-00011</x:v>
      </x:c>
      <x:c r="B65" s="12" t="str">
        <x:f>IFERROR(VLOOKUP($A65,Athlete_Profile!$A$2:$L$51,6,FALSE),"")</x:f>
        <x:v>Hockey</x:v>
      </x:c>
      <x:c r="C65" s="12" t="str">
        <x:f>IFERROR(VLOOKUP($A65,Athlete_Profile!$A$2:$L$51,5,FALSE),"")</x:f>
        <x:v>Female</x:v>
      </x:c>
      <x:c r="D65" s="12" t="str">
        <x:v>cmj_depth</x:v>
      </x:c>
      <x:c r="E65" s="12" t="str">
        <x:f>IFERROR(VLOOKUP($D65,Dropdown_Lists!$K$2:$N$7,2,FALSE),"")</x:f>
        <x:v>Countermovement Depth</x:v>
      </x:c>
      <x:c r="F65" s="12" t="str">
        <x:f>IFERROR(VLOOKUP($D65,Dropdown_Lists!$K$2:$N$7,3,FALSE),"")</x:f>
        <x:v>higher</x:v>
      </x:c>
      <x:c r="G65" s="17" t="n">
        <x:f>IFERROR(LOOKUP(2,1/((Performance_Metrics!$A$2:$A$3000=$A65)*(Performance_Metrics!$D$2:$D$3000=$D65)),Performance_Metrics!$C$2:$C$3000),"")</x:f>
        <x:v>46230</x:v>
      </x:c>
      <x:c r="H65" s="12" t="n">
        <x:f>IFERROR(LOOKUP(2,1/((Performance_Metrics!$A$2:$A$3000=$A65)*(Performance_Metrics!$D$2:$D$3000=$D65)),Performance_Metrics!$G$2:$G$3000),"")</x:f>
        <x:v>31.7</x:v>
      </x:c>
      <x:c r="I65" s="12" t="n">
        <x:f>IFERROR(SUMIFS(Normative_Data!$G$2:$G$1000,Normative_Data!$A$2:$A$1000,$B65,Normative_Data!$B$2:$B$1000,$C65,Normative_Data!$E$2:$E$1000,$D65),"")</x:f>
        <x:v>30</x:v>
      </x:c>
      <x:c r="J65" s="18" t="n">
        <x:f>IF(OR($H65="",$I65=""),"",($H65-$I65)/$I65)</x:f>
        <x:v>0.05666666666666664</x:v>
      </x:c>
      <x:c r="K65" s="12" t="str">
        <x:f>IF(OR($H65="",$I65="",$F65=""),"",IF(ABS($J65)&lt;=0.05,"Equal to Norm",IF($F65="lower",IF($H65&lt;$I65,"Above Norm","Below Norm"),IF($H65&gt;$I65,"Above Norm","Below Norm"))))</x:f>
        <x:v>Above Norm</x:v>
      </x:c>
      <x:c r="L65" s="12" t="str">
        <x:f>IFERROR(VLOOKUP($D65&amp;"|"&amp;$K65,Recommendation_Lookup!$A$2:$H$19,2,FALSE),"")</x:f>
        <x:v>Maintain effective countermovement strategy</x:v>
      </x:c>
      <x:c r="M65" s="12" t="str">
        <x:f>IFERROR(VLOOKUP($D65&amp;"|"&amp;$K65,Recommendation_Lookup!$A$2:$H$19,3,FALSE),"")</x:f>
        <x:v>Movement efficiency; eccentric control; jump consistency; depth-to-output relationship</x:v>
      </x:c>
      <x:c r="N65" s="12" t="str">
        <x:f>IFERROR(VLOOKUP($D65&amp;"|"&amp;$K65,Recommendation_Lookup!$A$2:$H$19,4,FALSE),"")</x:f>
        <x:v>Maintain the athlete’s preferred countermovement strategy while ensuring the additional depth contributes to force and impulse rather than excessive movement time.</x:v>
      </x:c>
      <x:c r="O65" s="12" t="str">
        <x:f>IFERROR(VLOOKUP($D65&amp;"|"&amp;$K65,Recommendation_Lookup!$A$2:$H$19,5,FALSE),"")</x:f>
        <x:v>RVX Jump Performance Advanced</x:v>
      </x:c>
      <x:c r="P65" s="12" t="str">
        <x:f>IFERROR(VLOOKUP($D65&amp;"|"&amp;$K65,Recommendation_Lookup!$A$2:$H$19,6,FALSE),"")</x:f>
        <x:v>RVX Eccentric Strength Microdose</x:v>
      </x:c>
      <x:c r="Q65" s="12" t="str">
        <x:f>IFERROR(VLOOKUP($D65&amp;"|"&amp;$K65,Recommendation_Lookup!$A$2:$H$19,7,FALSE),"")</x:f>
        <x:v>Use the depth you can control, then reverse quickly and aggressively.</x:v>
      </x:c>
      <x:c r="R65" s="12" t="str">
        <x:f>IFERROR(VLOOKUP($D65&amp;"|"&amp;$K65,Recommendation_Lookup!$A$2:$H$19,8,FALSE),"")</x:f>
        <x:v>Retest every 6–8 weeks while monitoring jump height and contraction time.</x:v>
      </x:c>
      <x:c r="S65" s="12"/>
      <x:c r="T65" s="12"/>
      <x:c r="U65" s="12"/>
      <x:c r="V65" s="12"/>
      <x:c r="W65" s="12" t="str">
        <x:f>IF($S65&lt;&gt;"",$S65,$K65)</x:f>
        <x:v>Above Norm</x:v>
      </x:c>
      <x:c r="X65" s="12" t="str">
        <x:f>IF($T65&lt;&gt;"",$T65,$L65)</x:f>
        <x:v>Maintain effective countermovement strategy</x:v>
      </x:c>
      <x:c r="Y65" s="12" t="str">
        <x:f>IF($U65&lt;&gt;"",$U65,$N65)</x:f>
        <x:v>Maintain the athlete’s preferred countermovement strategy while ensuring the additional depth contributes to force and impulse rather than excessive movement time.</x:v>
      </x:c>
      <x:c r="Z65" s="12" t="str">
        <x:f>IF($V65&lt;&gt;"",$V65,$O65)</x:f>
        <x:v>RVX Jump Performance Advanced</x:v>
      </x:c>
      <x:c r="AA65" s="12"/>
    </x:row>
    <x:row r="66">
      <x:c r="A66" s="12" t="str">
        <x:v>RVX-00011</x:v>
      </x:c>
      <x:c r="B66" s="12" t="str">
        <x:f>IFERROR(VLOOKUP($A66,Athlete_Profile!$A$2:$L$51,6,FALSE),"")</x:f>
        <x:v>Hockey</x:v>
      </x:c>
      <x:c r="C66" s="12" t="str">
        <x:f>IFERROR(VLOOKUP($A66,Athlete_Profile!$A$2:$L$51,5,FALSE),"")</x:f>
        <x:v>Female</x:v>
      </x:c>
      <x:c r="D66" s="12" t="str">
        <x:v>peak_force</x:v>
      </x:c>
      <x:c r="E66" s="12" t="str">
        <x:f>IFERROR(VLOOKUP($D66,Dropdown_Lists!$K$2:$N$7,2,FALSE),"")</x:f>
        <x:v>Peak Force</x:v>
      </x:c>
      <x:c r="F66" s="12" t="str">
        <x:f>IFERROR(VLOOKUP($D66,Dropdown_Lists!$K$2:$N$7,3,FALSE),"")</x:f>
        <x:v>higher</x:v>
      </x:c>
      <x:c r="G66" s="17" t="n">
        <x:f>IFERROR(LOOKUP(2,1/((Performance_Metrics!$A$2:$A$3000=$A66)*(Performance_Metrics!$D$2:$D$3000=$D66)),Performance_Metrics!$C$2:$C$3000),"")</x:f>
        <x:v>46230</x:v>
      </x:c>
      <x:c r="H66" s="12" t="n">
        <x:f>IFERROR(LOOKUP(2,1/((Performance_Metrics!$A$2:$A$3000=$A66)*(Performance_Metrics!$D$2:$D$3000=$D66)),Performance_Metrics!$G$2:$G$3000),"")</x:f>
        <x:v>1838</x:v>
      </x:c>
      <x:c r="I66" s="12" t="n">
        <x:f>IFERROR(SUMIFS(Normative_Data!$G$2:$G$1000,Normative_Data!$A$2:$A$1000,$B66,Normative_Data!$B$2:$B$1000,$C66,Normative_Data!$E$2:$E$1000,$D66),"")</x:f>
        <x:v>1750</x:v>
      </x:c>
      <x:c r="J66" s="18" t="n">
        <x:f>IF(OR($H66="",$I66=""),"",($H66-$I66)/$I66)</x:f>
        <x:v>0.05028571428571429</x:v>
      </x:c>
      <x:c r="K66" s="12" t="str">
        <x:f>IF(OR($H66="",$I66="",$F66=""),"",IF(ABS($J66)&lt;=0.05,"Equal to Norm",IF($F66="lower",IF($H66&lt;$I66,"Above Norm","Below Norm"),IF($H66&gt;$I66,"Above Norm","Below Norm"))))</x:f>
        <x:v>Above Norm</x:v>
      </x:c>
      <x:c r="L66" s="12" t="str">
        <x:f>IFERROR(VLOOKUP($D66&amp;"|"&amp;$K66,Recommendation_Lookup!$A$2:$H$19,2,FALSE),"")</x:f>
        <x:v>Maintain maximal force qualities</x:v>
      </x:c>
      <x:c r="M66" s="12" t="str">
        <x:f>IFERROR(VLOOKUP($D66&amp;"|"&amp;$K66,Recommendation_Lookup!$A$2:$H$19,3,FALSE),"")</x:f>
        <x:v>Force application speed; asymmetry; fatigue management; sport transfer</x:v>
      </x:c>
      <x:c r="N66" s="12" t="str">
        <x:f>IFERROR(VLOOKUP($D66&amp;"|"&amp;$K66,Recommendation_Lookup!$A$2:$H$19,4,FALSE),"")</x:f>
        <x:v>Maintain maximal force with low-volume strength exposure while shifting selected work toward power and sport-specific application. Monitor asymmetry and fatigue.</x:v>
      </x:c>
      <x:c r="O66" s="12" t="str">
        <x:f>IFERROR(VLOOKUP($D66&amp;"|"&amp;$K66,Recommendation_Lookup!$A$2:$H$19,5,FALSE),"")</x:f>
        <x:v>RVX Advanced Strength-Power</x:v>
      </x:c>
      <x:c r="P66" s="12" t="str">
        <x:f>IFERROR(VLOOKUP($D66&amp;"|"&amp;$K66,Recommendation_Lookup!$A$2:$H$19,6,FALSE),"")</x:f>
        <x:v>RVX Force Maintenance Microdose</x:v>
      </x:c>
      <x:c r="Q66" s="12" t="str">
        <x:f>IFERROR(VLOOKUP($D66&amp;"|"&amp;$K66,Recommendation_Lookup!$A$2:$H$19,7,FALSE),"")</x:f>
        <x:v>Produce high force without losing position or movement speed.</x:v>
      </x:c>
      <x:c r="R66" s="12" t="str">
        <x:f>IFERROR(VLOOKUP($D66&amp;"|"&amp;$K66,Recommendation_Lookup!$A$2:$H$19,8,FALSE),"")</x:f>
        <x:v>Retest every 6–8 weeks or following a strength-power phase.</x:v>
      </x:c>
      <x:c r="S66" s="12"/>
      <x:c r="T66" s="12"/>
      <x:c r="U66" s="12"/>
      <x:c r="V66" s="12"/>
      <x:c r="W66" s="12" t="str">
        <x:f>IF($S66&lt;&gt;"",$S66,$K66)</x:f>
        <x:v>Above Norm</x:v>
      </x:c>
      <x:c r="X66" s="12" t="str">
        <x:f>IF($T66&lt;&gt;"",$T66,$L66)</x:f>
        <x:v>Maintain maximal force qualities</x:v>
      </x:c>
      <x:c r="Y66" s="12" t="str">
        <x:f>IF($U66&lt;&gt;"",$U66,$N66)</x:f>
        <x:v>Maintain maximal force with low-volume strength exposure while shifting selected work toward power and sport-specific application. Monitor asymmetry and fatigue.</x:v>
      </x:c>
      <x:c r="Z66" s="12" t="str">
        <x:f>IF($V66&lt;&gt;"",$V66,$O66)</x:f>
        <x:v>RVX Advanced Strength-Power</x:v>
      </x:c>
      <x:c r="AA66" s="12"/>
    </x:row>
    <x:row r="67">
      <x:c r="A67" s="12" t="str">
        <x:v>RVX-00011</x:v>
      </x:c>
      <x:c r="B67" s="12" t="str">
        <x:f>IFERROR(VLOOKUP($A67,Athlete_Profile!$A$2:$L$51,6,FALSE),"")</x:f>
        <x:v>Hockey</x:v>
      </x:c>
      <x:c r="C67" s="12" t="str">
        <x:f>IFERROR(VLOOKUP($A67,Athlete_Profile!$A$2:$L$51,5,FALSE),"")</x:f>
        <x:v>Female</x:v>
      </x:c>
      <x:c r="D67" s="12" t="str">
        <x:v>impulse</x:v>
      </x:c>
      <x:c r="E67" s="12" t="str">
        <x:f>IFERROR(VLOOKUP($D67,Dropdown_Lists!$K$2:$N$7,2,FALSE),"")</x:f>
        <x:v>Impulse-Momentum</x:v>
      </x:c>
      <x:c r="F67" s="12" t="str">
        <x:f>IFERROR(VLOOKUP($D67,Dropdown_Lists!$K$2:$N$7,3,FALSE),"")</x:f>
        <x:v>higher</x:v>
      </x:c>
      <x:c r="G67" s="17" t="n">
        <x:f>IFERROR(LOOKUP(2,1/((Performance_Metrics!$A$2:$A$3000=$A67)*(Performance_Metrics!$D$2:$D$3000=$D67)),Performance_Metrics!$C$2:$C$3000),"")</x:f>
        <x:v>46230</x:v>
      </x:c>
      <x:c r="H67" s="12" t="n">
        <x:f>IFERROR(LOOKUP(2,1/((Performance_Metrics!$A$2:$A$3000=$A67)*(Performance_Metrics!$D$2:$D$3000=$D67)),Performance_Metrics!$G$2:$G$3000),"")</x:f>
        <x:v>226.9</x:v>
      </x:c>
      <x:c r="I67" s="12" t="n">
        <x:f>IFERROR(SUMIFS(Normative_Data!$G$2:$G$1000,Normative_Data!$A$2:$A$1000,$B67,Normative_Data!$B$2:$B$1000,$C67,Normative_Data!$E$2:$E$1000,$D67),"")</x:f>
        <x:v>215</x:v>
      </x:c>
      <x:c r="J67" s="18" t="n">
        <x:f>IF(OR($H67="",$I67=""),"",($H67-$I67)/$I67)</x:f>
        <x:v>0.05534883720930235</x:v>
      </x:c>
      <x:c r="K67" s="12" t="str">
        <x:f>IF(OR($H67="",$I67="",$F67=""),"",IF(ABS($J67)&lt;=0.05,"Equal to Norm",IF($F67="lower",IF($H67&lt;$I67,"Above Norm","Below Norm"),IF($H67&gt;$I67,"Above Norm","Below Norm"))))</x:f>
        <x:v>Above Norm</x:v>
      </x:c>
      <x:c r="L67" s="12" t="str">
        <x:f>IFERROR(VLOOKUP($D67&amp;"|"&amp;$K67,Recommendation_Lookup!$A$2:$H$19,2,FALSE),"")</x:f>
        <x:v>Maintain total force-time output</x:v>
      </x:c>
      <x:c r="M67" s="12" t="str">
        <x:f>IFERROR(VLOOKUP($D67&amp;"|"&amp;$K67,Recommendation_Lookup!$A$2:$H$19,3,FALSE),"")</x:f>
        <x:v>Rate of force development; movement time; power transfer; fatigue resistance</x:v>
      </x:c>
      <x:c r="N67" s="12" t="str">
        <x:f>IFERROR(VLOOKUP($D67&amp;"|"&amp;$K67,Recommendation_Lookup!$A$2:$H$19,4,FALSE),"")</x:f>
        <x:v>Maintain impulse with strength-power microdosing and varied jump or sprint exposures. Ensure high impulse is achieved efficiently rather than through excessive movement time.</x:v>
      </x:c>
      <x:c r="O67" s="12" t="str">
        <x:f>IFERROR(VLOOKUP($D67&amp;"|"&amp;$K67,Recommendation_Lookup!$A$2:$H$19,5,FALSE),"")</x:f>
        <x:v>RVX Advanced Power Development</x:v>
      </x:c>
      <x:c r="P67" s="12" t="str">
        <x:f>IFERROR(VLOOKUP($D67&amp;"|"&amp;$K67,Recommendation_Lookup!$A$2:$H$19,6,FALSE),"")</x:f>
        <x:v>RVX Elastic Power Microdose</x:v>
      </x:c>
      <x:c r="Q67" s="12" t="str">
        <x:f>IFERROR(VLOOKUP($D67&amp;"|"&amp;$K67,Recommendation_Lookup!$A$2:$H$19,7,FALSE),"")</x:f>
        <x:v>Build force quickly and keep applying it through the full movement.</x:v>
      </x:c>
      <x:c r="R67" s="12" t="str">
        <x:f>IFERROR(VLOOKUP($D67&amp;"|"&amp;$K67,Recommendation_Lookup!$A$2:$H$19,8,FALSE),"")</x:f>
        <x:v>Retest every 6–8 weeks while reviewing contraction time and jump outcome.</x:v>
      </x:c>
      <x:c r="S67" s="12"/>
      <x:c r="T67" s="12"/>
      <x:c r="U67" s="12"/>
      <x:c r="V67" s="12"/>
      <x:c r="W67" s="12" t="str">
        <x:f>IF($S67&lt;&gt;"",$S67,$K67)</x:f>
        <x:v>Above Norm</x:v>
      </x:c>
      <x:c r="X67" s="12" t="str">
        <x:f>IF($T67&lt;&gt;"",$T67,$L67)</x:f>
        <x:v>Maintain total force-time output</x:v>
      </x:c>
      <x:c r="Y67" s="12" t="str">
        <x:f>IF($U67&lt;&gt;"",$U67,$N67)</x:f>
        <x:v>Maintain impulse with strength-power microdosing and varied jump or sprint exposures. Ensure high impulse is achieved efficiently rather than through excessive movement time.</x:v>
      </x:c>
      <x:c r="Z67" s="12" t="str">
        <x:f>IF($V67&lt;&gt;"",$V67,$O67)</x:f>
        <x:v>RVX Advanced Power Development</x:v>
      </x:c>
      <x:c r="AA67" s="12"/>
    </x:row>
    <x:row r="68">
      <x:c r="A68" s="12" t="str">
        <x:v>RVX-00012</x:v>
      </x:c>
      <x:c r="B68" s="12" t="str">
        <x:f>IFERROR(VLOOKUP($A68,Athlete_Profile!$A$2:$L$51,6,FALSE),"")</x:f>
        <x:v>Hockey</x:v>
      </x:c>
      <x:c r="C68" s="12" t="str">
        <x:f>IFERROR(VLOOKUP($A68,Athlete_Profile!$A$2:$L$51,5,FALSE),"")</x:f>
        <x:v>Male</x:v>
      </x:c>
      <x:c r="D68" s="12" t="str">
        <x:v>sprint_5m</x:v>
      </x:c>
      <x:c r="E68" s="12" t="str">
        <x:f>IFERROR(VLOOKUP($D68,Dropdown_Lists!$K$2:$N$7,2,FALSE),"")</x:f>
        <x:v>5m Sprint</x:v>
      </x:c>
      <x:c r="F68" s="12" t="str">
        <x:f>IFERROR(VLOOKUP($D68,Dropdown_Lists!$K$2:$N$7,3,FALSE),"")</x:f>
        <x:v>lower</x:v>
      </x:c>
      <x:c r="G68" s="17" t="n">
        <x:f>IFERROR(LOOKUP(2,1/((Performance_Metrics!$A$2:$A$3000=$A68)*(Performance_Metrics!$D$2:$D$3000=$D68)),Performance_Metrics!$C$2:$C$3000),"")</x:f>
        <x:v>46230</x:v>
      </x:c>
      <x:c r="H68" s="12" t="n">
        <x:f>IFERROR(LOOKUP(2,1/((Performance_Metrics!$A$2:$A$3000=$A68)*(Performance_Metrics!$D$2:$D$3000=$D68)),Performance_Metrics!$G$2:$G$3000),"")</x:f>
        <x:v>1.15</x:v>
      </x:c>
      <x:c r="I68" s="12" t="n">
        <x:f>IFERROR(SUMIFS(Normative_Data!$G$2:$G$1000,Normative_Data!$A$2:$A$1000,$B68,Normative_Data!$B$2:$B$1000,$C68,Normative_Data!$E$2:$E$1000,$D68),"")</x:f>
        <x:v>1.08</x:v>
      </x:c>
      <x:c r="J68" s="18" t="n">
        <x:f>IF(OR($H68="",$I68=""),"",($H68-$I68)/$I68)</x:f>
        <x:v>0.06481481481481466</x:v>
      </x:c>
      <x:c r="K68" s="12" t="str">
        <x:f>IF(OR($H68="",$I68="",$F68=""),"",IF(ABS($J68)&lt;=0.05,"Equal to Norm",IF($F68="lower",IF($H68&lt;$I68,"Above Norm","Below Norm"),IF($H68&gt;$I68,"Above Norm","Below Norm"))))</x:f>
        <x:v>Below Norm</x:v>
      </x:c>
      <x:c r="L68" s="12" t="str">
        <x:f>IFERROR(VLOOKUP($D68&amp;"|"&amp;$K68,Recommendation_Lookup!$A$2:$H$19,2,FALSE),"")</x:f>
        <x:v>Develop first-step acceleration</x:v>
      </x:c>
      <x:c r="M68" s="12" t="str">
        <x:f>IFERROR(VLOOKUP($D68&amp;"|"&amp;$K68,Recommendation_Lookup!$A$2:$H$19,3,FALSE),"")</x:f>
        <x:v>Relative strength; horizontal force; start mechanics; stiffness; coordination</x:v>
      </x:c>
      <x:c r="N68" s="12" t="str">
        <x:f>IFERROR(VLOOKUP($D68&amp;"|"&amp;$K68,Recommendation_Lookup!$A$2:$H$19,4,FALSE),"")</x:f>
        <x:v>Prioritize acceleration fundamentals and lower-body force capacity. Use resisted marches, wall drills, short sled accelerations and controlled 5 m sprint exposures.</x:v>
      </x:c>
      <x:c r="O68" s="12" t="str">
        <x:f>IFERROR(VLOOKUP($D68&amp;"|"&amp;$K68,Recommendation_Lookup!$A$2:$H$19,5,FALSE),"")</x:f>
        <x:v>RVX Acceleration Foundations</x:v>
      </x:c>
      <x:c r="P68" s="12" t="str">
        <x:f>IFERROR(VLOOKUP($D68&amp;"|"&amp;$K68,Recommendation_Lookup!$A$2:$H$19,6,FALSE),"")</x:f>
        <x:v>RVX Lower-Body Strength Foundations</x:v>
      </x:c>
      <x:c r="Q68" s="12" t="str">
        <x:f>IFERROR(VLOOKUP($D68&amp;"|"&amp;$K68,Recommendation_Lookup!$A$2:$H$19,7,FALSE),"")</x:f>
        <x:v>Create a strong angle, drive through the ground, and accelerate with intent.</x:v>
      </x:c>
      <x:c r="R68" s="12" t="str">
        <x:f>IFERROR(VLOOKUP($D68&amp;"|"&amp;$K68,Recommendation_Lookup!$A$2:$H$19,8,FALSE),"")</x:f>
        <x:v>Retest after 4 weeks; review technique video before increasing sprint volume.</x:v>
      </x:c>
      <x:c r="S68" s="12"/>
      <x:c r="T68" s="12"/>
      <x:c r="U68" s="12"/>
      <x:c r="V68" s="12"/>
      <x:c r="W68" s="12" t="str">
        <x:f>IF($S68&lt;&gt;"",$S68,$K68)</x:f>
        <x:v>Below Norm</x:v>
      </x:c>
      <x:c r="X68" s="12" t="str">
        <x:f>IF($T68&lt;&gt;"",$T68,$L68)</x:f>
        <x:v>Develop first-step acceleration</x:v>
      </x:c>
      <x:c r="Y68" s="12" t="str">
        <x:f>IF($U68&lt;&gt;"",$U68,$N68)</x:f>
        <x:v>Prioritize acceleration fundamentals and lower-body force capacity. Use resisted marches, wall drills, short sled accelerations and controlled 5 m sprint exposures.</x:v>
      </x:c>
      <x:c r="Z68" s="12" t="str">
        <x:f>IF($V68&lt;&gt;"",$V68,$O68)</x:f>
        <x:v>RVX Acceleration Foundations</x:v>
      </x:c>
      <x:c r="AA68" s="12"/>
    </x:row>
    <x:row r="69">
      <x:c r="A69" s="12" t="str">
        <x:v>RVX-00012</x:v>
      </x:c>
      <x:c r="B69" s="12" t="str">
        <x:f>IFERROR(VLOOKUP($A69,Athlete_Profile!$A$2:$L$51,6,FALSE),"")</x:f>
        <x:v>Hockey</x:v>
      </x:c>
      <x:c r="C69" s="12" t="str">
        <x:f>IFERROR(VLOOKUP($A69,Athlete_Profile!$A$2:$L$51,5,FALSE),"")</x:f>
        <x:v>Male</x:v>
      </x:c>
      <x:c r="D69" s="12" t="str">
        <x:v>sprint_10m</x:v>
      </x:c>
      <x:c r="E69" s="12" t="str">
        <x:f>IFERROR(VLOOKUP($D69,Dropdown_Lists!$K$2:$N$7,2,FALSE),"")</x:f>
        <x:v>10m Sprint</x:v>
      </x:c>
      <x:c r="F69" s="12" t="str">
        <x:f>IFERROR(VLOOKUP($D69,Dropdown_Lists!$K$2:$N$7,3,FALSE),"")</x:f>
        <x:v>lower</x:v>
      </x:c>
      <x:c r="G69" s="17" t="n">
        <x:f>IFERROR(LOOKUP(2,1/((Performance_Metrics!$A$2:$A$3000=$A69)*(Performance_Metrics!$D$2:$D$3000=$D69)),Performance_Metrics!$C$2:$C$3000),"")</x:f>
        <x:v>46230</x:v>
      </x:c>
      <x:c r="H69" s="12" t="n">
        <x:f>IFERROR(LOOKUP(2,1/((Performance_Metrics!$A$2:$A$3000=$A69)*(Performance_Metrics!$D$2:$D$3000=$D69)),Performance_Metrics!$G$2:$G$3000),"")</x:f>
        <x:v>1.89</x:v>
      </x:c>
      <x:c r="I69" s="12" t="n">
        <x:f>IFERROR(SUMIFS(Normative_Data!$G$2:$G$1000,Normative_Data!$A$2:$A$1000,$B69,Normative_Data!$B$2:$B$1000,$C69,Normative_Data!$E$2:$E$1000,$D69),"")</x:f>
        <x:v>1.8</x:v>
      </x:c>
      <x:c r="J69" s="18" t="n">
        <x:f>IF(OR($H69="",$I69=""),"",($H69-$I69)/$I69)</x:f>
        <x:v>0.04999999999999992</x:v>
      </x:c>
      <x:c r="K69" s="12" t="str">
        <x:f>IF(OR($H69="",$I69="",$F69=""),"",IF(ABS($J69)&lt;=0.05,"Equal to Norm",IF($F69="lower",IF($H69&lt;$I69,"Above Norm","Below Norm"),IF($H69&gt;$I69,"Above Norm","Below Norm"))))</x:f>
        <x:v>Equal to Norm</x:v>
      </x:c>
      <x:c r="L69" s="12" t="str">
        <x:f>IFERROR(VLOOKUP($D69&amp;"|"&amp;$K69,Recommendation_Lookup!$A$2:$H$19,2,FALSE),"")</x:f>
        <x:v>Improve acceleration continuation</x:v>
      </x:c>
      <x:c r="M69" s="12" t="str">
        <x:f>IFERROR(VLOOKUP($D69&amp;"|"&amp;$K69,Recommendation_Lookup!$A$2:$H$19,3,FALSE),"")</x:f>
        <x:v>Projection; force orientation; step rhythm; trunk control</x:v>
      </x:c>
      <x:c r="N69" s="12" t="str">
        <x:f>IFERROR(VLOOKUP($D69&amp;"|"&amp;$K69,Recommendation_Lookup!$A$2:$H$19,4,FALSE),"")</x:f>
        <x:v>Build acceleration from 0–10 m using split starts, falling starts and progressive resisted sprints. Emphasize full recovery and technical consistency.</x:v>
      </x:c>
      <x:c r="O69" s="12" t="str">
        <x:f>IFERROR(VLOOKUP($D69&amp;"|"&amp;$K69,Recommendation_Lookup!$A$2:$H$19,5,FALSE),"")</x:f>
        <x:v>RVX Acceleration Development</x:v>
      </x:c>
      <x:c r="P69" s="12" t="str">
        <x:f>IFERROR(VLOOKUP($D69&amp;"|"&amp;$K69,Recommendation_Lookup!$A$2:$H$19,6,FALSE),"")</x:f>
        <x:v>RVX Sprint Mechanics</x:v>
      </x:c>
      <x:c r="Q69" s="12" t="str">
        <x:f>IFERROR(VLOOKUP($D69&amp;"|"&amp;$K69,Recommendation_Lookup!$A$2:$H$19,7,FALSE),"")</x:f>
        <x:v>Keep building speed through the line; do not stand up too early.</x:v>
      </x:c>
      <x:c r="R69" s="12" t="str">
        <x:f>IFERROR(VLOOKUP($D69&amp;"|"&amp;$K69,Recommendation_Lookup!$A$2:$H$19,8,FALSE),"")</x:f>
        <x:v>Retest after 4–6 weeks.</x:v>
      </x:c>
      <x:c r="S69" s="12"/>
      <x:c r="T69" s="12"/>
      <x:c r="U69" s="12"/>
      <x:c r="V69" s="12"/>
      <x:c r="W69" s="12" t="str">
        <x:f>IF($S69&lt;&gt;"",$S69,$K69)</x:f>
        <x:v>Equal to Norm</x:v>
      </x:c>
      <x:c r="X69" s="12" t="str">
        <x:f>IF($T69&lt;&gt;"",$T69,$L69)</x:f>
        <x:v>Improve acceleration continuation</x:v>
      </x:c>
      <x:c r="Y69" s="12" t="str">
        <x:f>IF($U69&lt;&gt;"",$U69,$N69)</x:f>
        <x:v>Build acceleration from 0–10 m using split starts, falling starts and progressive resisted sprints. Emphasize full recovery and technical consistency.</x:v>
      </x:c>
      <x:c r="Z69" s="12" t="str">
        <x:f>IF($V69&lt;&gt;"",$V69,$O69)</x:f>
        <x:v>RVX Acceleration Development</x:v>
      </x:c>
      <x:c r="AA69" s="12"/>
    </x:row>
    <x:row r="70">
      <x:c r="A70" s="12" t="str">
        <x:v>RVX-00012</x:v>
      </x:c>
      <x:c r="B70" s="12" t="str">
        <x:f>IFERROR(VLOOKUP($A70,Athlete_Profile!$A$2:$L$51,6,FALSE),"")</x:f>
        <x:v>Hockey</x:v>
      </x:c>
      <x:c r="C70" s="12" t="str">
        <x:f>IFERROR(VLOOKUP($A70,Athlete_Profile!$A$2:$L$51,5,FALSE),"")</x:f>
        <x:v>Male</x:v>
      </x:c>
      <x:c r="D70" s="12" t="str">
        <x:v>pro_agility</x:v>
      </x:c>
      <x:c r="E70" s="12" t="str">
        <x:f>IFERROR(VLOOKUP($D70,Dropdown_Lists!$K$2:$N$7,2,FALSE),"")</x:f>
        <x:v>5-10-5 Pro Agility</x:v>
      </x:c>
      <x:c r="F70" s="12" t="str">
        <x:f>IFERROR(VLOOKUP($D70,Dropdown_Lists!$K$2:$N$7,3,FALSE),"")</x:f>
        <x:v>lower</x:v>
      </x:c>
      <x:c r="G70" s="17" t="n">
        <x:f>IFERROR(LOOKUP(2,1/((Performance_Metrics!$A$2:$A$3000=$A70)*(Performance_Metrics!$D$2:$D$3000=$D70)),Performance_Metrics!$C$2:$C$3000),"")</x:f>
        <x:v>46230</x:v>
      </x:c>
      <x:c r="H70" s="12" t="n">
        <x:f>IFERROR(LOOKUP(2,1/((Performance_Metrics!$A$2:$A$3000=$A70)*(Performance_Metrics!$D$2:$D$3000=$D70)),Performance_Metrics!$G$2:$G$3000),"")</x:f>
        <x:v>4.76</x:v>
      </x:c>
      <x:c r="I70" s="12" t="n">
        <x:f>IFERROR(SUMIFS(Normative_Data!$G$2:$G$1000,Normative_Data!$A$2:$A$1000,$B70,Normative_Data!$B$2:$B$1000,$C70,Normative_Data!$E$2:$E$1000,$D70),"")</x:f>
        <x:v>4.63</x:v>
      </x:c>
      <x:c r="J70" s="18" t="n">
        <x:f>IF(OR($H70="",$I70=""),"",($H70-$I70)/$I70)</x:f>
        <x:v>0.028077753779697602</x:v>
      </x:c>
      <x:c r="K70" s="12" t="str">
        <x:f>IF(OR($H70="",$I70="",$F70=""),"",IF(ABS($J70)&lt;=0.05,"Equal to Norm",IF($F70="lower",IF($H70&lt;$I70,"Above Norm","Below Norm"),IF($H70&gt;$I70,"Above Norm","Below Norm"))))</x:f>
        <x:v>Equal to Norm</x:v>
      </x:c>
      <x:c r="L70" s="12" t="str">
        <x:f>IFERROR(VLOOKUP($D70&amp;"|"&amp;$K70,Recommendation_Lookup!$A$2:$H$19,2,FALSE),"")</x:f>
        <x:v>Improve braking and re-acceleration</x:v>
      </x:c>
      <x:c r="M70" s="12" t="str">
        <x:f>IFERROR(VLOOKUP($D70&amp;"|"&amp;$K70,Recommendation_Lookup!$A$2:$H$19,3,FALSE),"")</x:f>
        <x:v>Deceleration mechanics; foot placement; hip position; crossover efficiency</x:v>
      </x:c>
      <x:c r="N70" s="12" t="str">
        <x:f>IFERROR(VLOOKUP($D70&amp;"|"&amp;$K70,Recommendation_Lookup!$A$2:$H$19,4,FALSE),"")</x:f>
        <x:v>Use a structured change-of-direction block emphasizing braking positions, plant-foot control and efficient re-acceleration on both sides.</x:v>
      </x:c>
      <x:c r="O70" s="12" t="str">
        <x:f>IFERROR(VLOOKUP($D70&amp;"|"&amp;$K70,Recommendation_Lookup!$A$2:$H$19,5,FALSE),"")</x:f>
        <x:v>RVX Change of Direction Development</x:v>
      </x:c>
      <x:c r="P70" s="12" t="str">
        <x:f>IFERROR(VLOOKUP($D70&amp;"|"&amp;$K70,Recommendation_Lookup!$A$2:$H$19,6,FALSE),"")</x:f>
        <x:v>RVX Deceleration Mechanics</x:v>
      </x:c>
      <x:c r="Q70" s="12" t="str">
        <x:f>IFERROR(VLOOKUP($D70&amp;"|"&amp;$K70,Recommendation_Lookup!$A$2:$H$19,7,FALSE),"")</x:f>
        <x:v>Lower the centre of mass before the turn and push away from the plant.</x:v>
      </x:c>
      <x:c r="R70" s="12" t="str">
        <x:f>IFERROR(VLOOKUP($D70&amp;"|"&amp;$K70,Recommendation_Lookup!$A$2:$H$19,8,FALSE),"")</x:f>
        <x:v>Retest after 4–6 weeks and review directional splits if available.</x:v>
      </x:c>
      <x:c r="S70" s="12"/>
      <x:c r="T70" s="12"/>
      <x:c r="U70" s="12"/>
      <x:c r="V70" s="12"/>
      <x:c r="W70" s="12" t="str">
        <x:f>IF($S70&lt;&gt;"",$S70,$K70)</x:f>
        <x:v>Equal to Norm</x:v>
      </x:c>
      <x:c r="X70" s="12" t="str">
        <x:f>IF($T70&lt;&gt;"",$T70,$L70)</x:f>
        <x:v>Improve braking and re-acceleration</x:v>
      </x:c>
      <x:c r="Y70" s="12" t="str">
        <x:f>IF($U70&lt;&gt;"",$U70,$N70)</x:f>
        <x:v>Use a structured change-of-direction block emphasizing braking positions, plant-foot control and efficient re-acceleration on both sides.</x:v>
      </x:c>
      <x:c r="Z70" s="12" t="str">
        <x:f>IF($V70&lt;&gt;"",$V70,$O70)</x:f>
        <x:v>RVX Change of Direction Development</x:v>
      </x:c>
      <x:c r="AA70" s="12"/>
    </x:row>
    <x:row r="71">
      <x:c r="A71" s="12" t="str">
        <x:v>RVX-00012</x:v>
      </x:c>
      <x:c r="B71" s="12" t="str">
        <x:f>IFERROR(VLOOKUP($A71,Athlete_Profile!$A$2:$L$51,6,FALSE),"")</x:f>
        <x:v>Hockey</x:v>
      </x:c>
      <x:c r="C71" s="12" t="str">
        <x:f>IFERROR(VLOOKUP($A71,Athlete_Profile!$A$2:$L$51,5,FALSE),"")</x:f>
        <x:v>Male</x:v>
      </x:c>
      <x:c r="D71" s="12" t="str">
        <x:v>cmj_depth</x:v>
      </x:c>
      <x:c r="E71" s="12" t="str">
        <x:f>IFERROR(VLOOKUP($D71,Dropdown_Lists!$K$2:$N$7,2,FALSE),"")</x:f>
        <x:v>Countermovement Depth</x:v>
      </x:c>
      <x:c r="F71" s="12" t="str">
        <x:f>IFERROR(VLOOKUP($D71,Dropdown_Lists!$K$2:$N$7,3,FALSE),"")</x:f>
        <x:v>higher</x:v>
      </x:c>
      <x:c r="G71" s="17" t="n">
        <x:f>IFERROR(LOOKUP(2,1/((Performance_Metrics!$A$2:$A$3000=$A71)*(Performance_Metrics!$D$2:$D$3000=$D71)),Performance_Metrics!$C$2:$C$3000),"")</x:f>
        <x:v>46230</x:v>
      </x:c>
      <x:c r="H71" s="12" t="n">
        <x:f>IFERROR(LOOKUP(2,1/((Performance_Metrics!$A$2:$A$3000=$A71)*(Performance_Metrics!$D$2:$D$3000=$D71)),Performance_Metrics!$G$2:$G$3000),"")</x:f>
        <x:v>32.1</x:v>
      </x:c>
      <x:c r="I71" s="12" t="n">
        <x:f>IFERROR(SUMIFS(Normative_Data!$G$2:$G$1000,Normative_Data!$A$2:$A$1000,$B71,Normative_Data!$B$2:$B$1000,$C71,Normative_Data!$E$2:$E$1000,$D71),"")</x:f>
        <x:v>33</x:v>
      </x:c>
      <x:c r="J71" s="18" t="n">
        <x:f>IF(OR($H71="",$I71=""),"",($H71-$I71)/$I71)</x:f>
        <x:v>-0.02727272727272723</x:v>
      </x:c>
      <x:c r="K71" s="12" t="str">
        <x:f>IF(OR($H71="",$I71="",$F71=""),"",IF(ABS($J71)&lt;=0.05,"Equal to Norm",IF($F71="lower",IF($H71&lt;$I71,"Above Norm","Below Norm"),IF($H71&gt;$I71,"Above Norm","Below Norm"))))</x:f>
        <x:v>Equal to Norm</x:v>
      </x:c>
      <x:c r="L71" s="12" t="str">
        <x:f>IFERROR(VLOOKUP($D71&amp;"|"&amp;$K71,Recommendation_Lookup!$A$2:$H$19,2,FALSE),"")</x:f>
        <x:v>Optimize countermovement strategy</x:v>
      </x:c>
      <x:c r="M71" s="12" t="str">
        <x:f>IFERROR(VLOOKUP($D71&amp;"|"&amp;$K71,Recommendation_Lookup!$A$2:$H$19,3,FALSE),"")</x:f>
        <x:v>Eccentric control; trunk position; reversal timing; mobility</x:v>
      </x:c>
      <x:c r="N71" s="12" t="str">
        <x:f>IFERROR(VLOOKUP($D71&amp;"|"&amp;$K71,Recommendation_Lookup!$A$2:$H$19,4,FALSE),"")</x:f>
        <x:v>Use controlled countermovement drills and landing-to-jump progressions. Determine whether additional or reduced depth improves the athlete’s overall jump output.</x:v>
      </x:c>
      <x:c r="O71" s="12" t="str">
        <x:f>IFERROR(VLOOKUP($D71&amp;"|"&amp;$K71,Recommendation_Lookup!$A$2:$H$19,5,FALSE),"")</x:f>
        <x:v>RVX Jump Mechanics</x:v>
      </x:c>
      <x:c r="P71" s="12" t="str">
        <x:f>IFERROR(VLOOKUP($D71&amp;"|"&amp;$K71,Recommendation_Lookup!$A$2:$H$19,6,FALSE),"")</x:f>
        <x:v>RVX Eccentric Control</x:v>
      </x:c>
      <x:c r="Q71" s="12" t="str">
        <x:f>IFERROR(VLOOKUP($D71&amp;"|"&amp;$K71,Recommendation_Lookup!$A$2:$H$19,7,FALSE),"")</x:f>
        <x:v>Sit into the movement under control and reverse without losing posture.</x:v>
      </x:c>
      <x:c r="R71" s="12" t="str">
        <x:f>IFERROR(VLOOKUP($D71&amp;"|"&amp;$K71,Recommendation_Lookup!$A$2:$H$19,8,FALSE),"")</x:f>
        <x:v>Retest after 4–6 weeks with jump height and impulse reviewed together.</x:v>
      </x:c>
      <x:c r="S71" s="12"/>
      <x:c r="T71" s="12"/>
      <x:c r="U71" s="12"/>
      <x:c r="V71" s="12"/>
      <x:c r="W71" s="12" t="str">
        <x:f>IF($S71&lt;&gt;"",$S71,$K71)</x:f>
        <x:v>Equal to Norm</x:v>
      </x:c>
      <x:c r="X71" s="12" t="str">
        <x:f>IF($T71&lt;&gt;"",$T71,$L71)</x:f>
        <x:v>Optimize countermovement strategy</x:v>
      </x:c>
      <x:c r="Y71" s="12" t="str">
        <x:f>IF($U71&lt;&gt;"",$U71,$N71)</x:f>
        <x:v>Use controlled countermovement drills and landing-to-jump progressions. Determine whether additional or reduced depth improves the athlete’s overall jump output.</x:v>
      </x:c>
      <x:c r="Z71" s="12" t="str">
        <x:f>IF($V71&lt;&gt;"",$V71,$O71)</x:f>
        <x:v>RVX Jump Mechanics</x:v>
      </x:c>
      <x:c r="AA71" s="12"/>
    </x:row>
    <x:row r="72">
      <x:c r="A72" s="12" t="str">
        <x:v>RVX-00012</x:v>
      </x:c>
      <x:c r="B72" s="12" t="str">
        <x:f>IFERROR(VLOOKUP($A72,Athlete_Profile!$A$2:$L$51,6,FALSE),"")</x:f>
        <x:v>Hockey</x:v>
      </x:c>
      <x:c r="C72" s="12" t="str">
        <x:f>IFERROR(VLOOKUP($A72,Athlete_Profile!$A$2:$L$51,5,FALSE),"")</x:f>
        <x:v>Male</x:v>
      </x:c>
      <x:c r="D72" s="12" t="str">
        <x:v>peak_force</x:v>
      </x:c>
      <x:c r="E72" s="12" t="str">
        <x:f>IFERROR(VLOOKUP($D72,Dropdown_Lists!$K$2:$N$7,2,FALSE),"")</x:f>
        <x:v>Peak Force</x:v>
      </x:c>
      <x:c r="F72" s="12" t="str">
        <x:f>IFERROR(VLOOKUP($D72,Dropdown_Lists!$K$2:$N$7,3,FALSE),"")</x:f>
        <x:v>higher</x:v>
      </x:c>
      <x:c r="G72" s="17" t="n">
        <x:f>IFERROR(LOOKUP(2,1/((Performance_Metrics!$A$2:$A$3000=$A72)*(Performance_Metrics!$D$2:$D$3000=$D72)),Performance_Metrics!$C$2:$C$3000),"")</x:f>
        <x:v>46230</x:v>
      </x:c>
      <x:c r="H72" s="12" t="n">
        <x:f>IFERROR(LOOKUP(2,1/((Performance_Metrics!$A$2:$A$3000=$A72)*(Performance_Metrics!$D$2:$D$3000=$D72)),Performance_Metrics!$G$2:$G$3000),"")</x:f>
        <x:v>1820</x:v>
      </x:c>
      <x:c r="I72" s="12" t="n">
        <x:f>IFERROR(SUMIFS(Normative_Data!$G$2:$G$1000,Normative_Data!$A$2:$A$1000,$B72,Normative_Data!$B$2:$B$1000,$C72,Normative_Data!$E$2:$E$1000,$D72),"")</x:f>
        <x:v>1925</x:v>
      </x:c>
      <x:c r="J72" s="18" t="n">
        <x:f>IF(OR($H72="",$I72=""),"",($H72-$I72)/$I72)</x:f>
        <x:v>-0.05454545454545454</x:v>
      </x:c>
      <x:c r="K72" s="12" t="str">
        <x:f>IF(OR($H72="",$I72="",$F72=""),"",IF(ABS($J72)&lt;=0.05,"Equal to Norm",IF($F72="lower",IF($H72&lt;$I72,"Above Norm","Below Norm"),IF($H72&gt;$I72,"Above Norm","Below Norm"))))</x:f>
        <x:v>Below Norm</x:v>
      </x:c>
      <x:c r="L72" s="12" t="str">
        <x:f>IFERROR(VLOOKUP($D72&amp;"|"&amp;$K72,Recommendation_Lookup!$A$2:$H$19,2,FALSE),"")</x:f>
        <x:v>Build foundational force production</x:v>
      </x:c>
      <x:c r="M72" s="12" t="str">
        <x:f>IFERROR(VLOOKUP($D72&amp;"|"&amp;$K72,Recommendation_Lookup!$A$2:$H$19,3,FALSE),"")</x:f>
        <x:v>Relative strength; technique; tendon capacity; trunk stability; unilateral strength</x:v>
      </x:c>
      <x:c r="N72" s="12" t="str">
        <x:f>IFERROR(VLOOKUP($D72&amp;"|"&amp;$K72,Recommendation_Lookup!$A$2:$H$19,4,FALSE),"")</x:f>
        <x:v>Prioritize foundational strength and positional competency. Use progressive resistance, isometrics and unilateral patterns before advanced power methods.</x:v>
      </x:c>
      <x:c r="O72" s="12" t="str">
        <x:f>IFERROR(VLOOKUP($D72&amp;"|"&amp;$K72,Recommendation_Lookup!$A$2:$H$19,5,FALSE),"")</x:f>
        <x:v>RVX Strength Foundations</x:v>
      </x:c>
      <x:c r="P72" s="12" t="str">
        <x:f>IFERROR(VLOOKUP($D72&amp;"|"&amp;$K72,Recommendation_Lookup!$A$2:$H$19,6,FALSE),"")</x:f>
        <x:v>RVX Lower-Body Capacity</x:v>
      </x:c>
      <x:c r="Q72" s="12" t="str">
        <x:f>IFERROR(VLOOKUP($D72&amp;"|"&amp;$K72,Recommendation_Lookup!$A$2:$H$19,7,FALSE),"")</x:f>
        <x:v>Own the position first, then increase force with consistent intent.</x:v>
      </x:c>
      <x:c r="R72" s="12" t="str">
        <x:f>IFERROR(VLOOKUP($D72&amp;"|"&amp;$K72,Recommendation_Lookup!$A$2:$H$19,8,FALSE),"")</x:f>
        <x:v>Retest after 4–6 weeks; review body-mass-relative force when possible.</x:v>
      </x:c>
      <x:c r="S72" s="12"/>
      <x:c r="T72" s="12"/>
      <x:c r="U72" s="12"/>
      <x:c r="V72" s="12"/>
      <x:c r="W72" s="12" t="str">
        <x:f>IF($S72&lt;&gt;"",$S72,$K72)</x:f>
        <x:v>Below Norm</x:v>
      </x:c>
      <x:c r="X72" s="12" t="str">
        <x:f>IF($T72&lt;&gt;"",$T72,$L72)</x:f>
        <x:v>Build foundational force production</x:v>
      </x:c>
      <x:c r="Y72" s="12" t="str">
        <x:f>IF($U72&lt;&gt;"",$U72,$N72)</x:f>
        <x:v>Prioritize foundational strength and positional competency. Use progressive resistance, isometrics and unilateral patterns before advanced power methods.</x:v>
      </x:c>
      <x:c r="Z72" s="12" t="str">
        <x:f>IF($V72&lt;&gt;"",$V72,$O72)</x:f>
        <x:v>RVX Strength Foundations</x:v>
      </x:c>
      <x:c r="AA72" s="12"/>
    </x:row>
    <x:row r="73">
      <x:c r="A73" s="12" t="str">
        <x:v>RVX-00012</x:v>
      </x:c>
      <x:c r="B73" s="12" t="str">
        <x:f>IFERROR(VLOOKUP($A73,Athlete_Profile!$A$2:$L$51,6,FALSE),"")</x:f>
        <x:v>Hockey</x:v>
      </x:c>
      <x:c r="C73" s="12" t="str">
        <x:f>IFERROR(VLOOKUP($A73,Athlete_Profile!$A$2:$L$51,5,FALSE),"")</x:f>
        <x:v>Male</x:v>
      </x:c>
      <x:c r="D73" s="12" t="str">
        <x:v>impulse</x:v>
      </x:c>
      <x:c r="E73" s="12" t="str">
        <x:f>IFERROR(VLOOKUP($D73,Dropdown_Lists!$K$2:$N$7,2,FALSE),"")</x:f>
        <x:v>Impulse-Momentum</x:v>
      </x:c>
      <x:c r="F73" s="12" t="str">
        <x:f>IFERROR(VLOOKUP($D73,Dropdown_Lists!$K$2:$N$7,3,FALSE),"")</x:f>
        <x:v>higher</x:v>
      </x:c>
      <x:c r="G73" s="17" t="n">
        <x:f>IFERROR(LOOKUP(2,1/((Performance_Metrics!$A$2:$A$3000=$A73)*(Performance_Metrics!$D$2:$D$3000=$D73)),Performance_Metrics!$C$2:$C$3000),"")</x:f>
        <x:v>46230</x:v>
      </x:c>
      <x:c r="H73" s="12" t="n">
        <x:f>IFERROR(LOOKUP(2,1/((Performance_Metrics!$A$2:$A$3000=$A73)*(Performance_Metrics!$D$2:$D$3000=$D73)),Performance_Metrics!$G$2:$G$3000),"")</x:f>
        <x:v>231.2</x:v>
      </x:c>
      <x:c r="I73" s="12" t="n">
        <x:f>IFERROR(SUMIFS(Normative_Data!$G$2:$G$1000,Normative_Data!$A$2:$A$1000,$B73,Normative_Data!$B$2:$B$1000,$C73,Normative_Data!$E$2:$E$1000,$D73),"")</x:f>
        <x:v>236.5</x:v>
      </x:c>
      <x:c r="J73" s="18" t="n">
        <x:f>IF(OR($H73="",$I73=""),"",($H73-$I73)/$I73)</x:f>
        <x:v>-0.022410147991543387</x:v>
      </x:c>
      <x:c r="K73" s="12" t="str">
        <x:f>IF(OR($H73="",$I73="",$F73=""),"",IF(ABS($J73)&lt;=0.05,"Equal to Norm",IF($F73="lower",IF($H73&lt;$I73,"Above Norm","Below Norm"),IF($H73&gt;$I73,"Above Norm","Below Norm"))))</x:f>
        <x:v>Equal to Norm</x:v>
      </x:c>
      <x:c r="L73" s="12" t="str">
        <x:f>IFERROR(VLOOKUP($D73&amp;"|"&amp;$K73,Recommendation_Lookup!$A$2:$H$19,2,FALSE),"")</x:f>
        <x:v>Improve force applied over time</x:v>
      </x:c>
      <x:c r="M73" s="12" t="str">
        <x:f>IFERROR(VLOOKUP($D73&amp;"|"&amp;$K73,Recommendation_Lookup!$A$2:$H$19,3,FALSE),"")</x:f>
        <x:v>Strength; countermovement strategy; intent; coordination; power</x:v>
      </x:c>
      <x:c r="N73" s="12" t="str">
        <x:f>IFERROR(VLOOKUP($D73&amp;"|"&amp;$K73,Recommendation_Lookup!$A$2:$H$19,4,FALSE),"")</x:f>
        <x:v>Use loaded jumps, isometrics and strength-power exercises that improve the athlete’s ability to produce and sustain force through the propulsion phase.</x:v>
      </x:c>
      <x:c r="O73" s="12" t="str">
        <x:f>IFERROR(VLOOKUP($D73&amp;"|"&amp;$K73,Recommendation_Lookup!$A$2:$H$19,5,FALSE),"")</x:f>
        <x:v>RVX Power Development</x:v>
      </x:c>
      <x:c r="P73" s="12" t="str">
        <x:f>IFERROR(VLOOKUP($D73&amp;"|"&amp;$K73,Recommendation_Lookup!$A$2:$H$19,6,FALSE),"")</x:f>
        <x:v>RVX Strength-Speed</x:v>
      </x:c>
      <x:c r="Q73" s="12" t="str">
        <x:f>IFERROR(VLOOKUP($D73&amp;"|"&amp;$K73,Recommendation_Lookup!$A$2:$H$19,7,FALSE),"")</x:f>
        <x:v>Apply force early and continue driving through take-off.</x:v>
      </x:c>
      <x:c r="R73" s="12" t="str">
        <x:f>IFERROR(VLOOKUP($D73&amp;"|"&amp;$K73,Recommendation_Lookup!$A$2:$H$19,8,FALSE),"")</x:f>
        <x:v>Retest after 4–6 weeks.</x:v>
      </x:c>
      <x:c r="S73" s="12"/>
      <x:c r="T73" s="12"/>
      <x:c r="U73" s="12"/>
      <x:c r="V73" s="12"/>
      <x:c r="W73" s="12" t="str">
        <x:f>IF($S73&lt;&gt;"",$S73,$K73)</x:f>
        <x:v>Equal to Norm</x:v>
      </x:c>
      <x:c r="X73" s="12" t="str">
        <x:f>IF($T73&lt;&gt;"",$T73,$L73)</x:f>
        <x:v>Improve force applied over time</x:v>
      </x:c>
      <x:c r="Y73" s="12" t="str">
        <x:f>IF($U73&lt;&gt;"",$U73,$N73)</x:f>
        <x:v>Use loaded jumps, isometrics and strength-power exercises that improve the athlete’s ability to produce and sustain force through the propulsion phase.</x:v>
      </x:c>
      <x:c r="Z73" s="12" t="str">
        <x:f>IF($V73&lt;&gt;"",$V73,$O73)</x:f>
        <x:v>RVX Power Development</x:v>
      </x:c>
      <x:c r="AA73" s="12"/>
    </x:row>
    <x:row r="74">
      <x:c r="A74" s="12" t="str">
        <x:v>RVX-00013</x:v>
      </x:c>
      <x:c r="B74" s="12" t="str">
        <x:f>IFERROR(VLOOKUP($A74,Athlete_Profile!$A$2:$L$51,6,FALSE),"")</x:f>
        <x:v>Hockey</x:v>
      </x:c>
      <x:c r="C74" s="12" t="str">
        <x:f>IFERROR(VLOOKUP($A74,Athlete_Profile!$A$2:$L$51,5,FALSE),"")</x:f>
        <x:v>Female</x:v>
      </x:c>
      <x:c r="D74" s="12" t="str">
        <x:v>sprint_5m</x:v>
      </x:c>
      <x:c r="E74" s="12" t="str">
        <x:f>IFERROR(VLOOKUP($D74,Dropdown_Lists!$K$2:$N$7,2,FALSE),"")</x:f>
        <x:v>5m Sprint</x:v>
      </x:c>
      <x:c r="F74" s="12" t="str">
        <x:f>IFERROR(VLOOKUP($D74,Dropdown_Lists!$K$2:$N$7,3,FALSE),"")</x:f>
        <x:v>lower</x:v>
      </x:c>
      <x:c r="G74" s="17" t="n">
        <x:f>IFERROR(LOOKUP(2,1/((Performance_Metrics!$A$2:$A$3000=$A74)*(Performance_Metrics!$D$2:$D$3000=$D74)),Performance_Metrics!$C$2:$C$3000),"")</x:f>
        <x:v>46230</x:v>
      </x:c>
      <x:c r="H74" s="12" t="n">
        <x:f>IFERROR(LOOKUP(2,1/((Performance_Metrics!$A$2:$A$3000=$A74)*(Performance_Metrics!$D$2:$D$3000=$D74)),Performance_Metrics!$G$2:$G$3000),"")</x:f>
        <x:v>0.96</x:v>
      </x:c>
      <x:c r="I74" s="12" t="n">
        <x:f>IFERROR(SUMIFS(Normative_Data!$G$2:$G$1000,Normative_Data!$A$2:$A$1000,$B74,Normative_Data!$B$2:$B$1000,$C74,Normative_Data!$E$2:$E$1000,$D74),"")</x:f>
        <x:v>1.12</x:v>
      </x:c>
      <x:c r="J74" s="18" t="n">
        <x:f>IF(OR($H74="",$I74=""),"",($H74-$I74)/$I74)</x:f>
        <x:v>-0.14285714285714296</x:v>
      </x:c>
      <x:c r="K74" s="12" t="str">
        <x:f>IF(OR($H74="",$I74="",$F74=""),"",IF(ABS($J74)&lt;=0.05,"Equal to Norm",IF($F74="lower",IF($H74&lt;$I74,"Above Norm","Below Norm"),IF($H74&gt;$I74,"Above Norm","Below Norm"))))</x:f>
        <x:v>Above Norm</x:v>
      </x:c>
      <x:c r="L74" s="12" t="str">
        <x:f>IFERROR(VLOOKUP($D74&amp;"|"&amp;$K74,Recommendation_Lookup!$A$2:$H$19,2,FALSE),"")</x:f>
        <x:v>Maintain first-step explosiveness</x:v>
      </x:c>
      <x:c r="M74" s="12" t="str">
        <x:f>IFERROR(VLOOKUP($D74&amp;"|"&amp;$K74,Recommendation_Lookup!$A$2:$H$19,3,FALSE),"")</x:f>
        <x:v>Start consistency; projection angle; horizontal force; reaction quality</x:v>
      </x:c>
      <x:c r="N74" s="12" t="str">
        <x:f>IFERROR(VLOOKUP($D74&amp;"|"&amp;$K74,Recommendation_Lookup!$A$2:$H$19,4,FALSE),"")</x:f>
        <x:v>Maintain speed with low-volume, high-quality acceleration exposures. Avoid unnecessary volume that could reduce sprint quality. Progress through resisted and reactive starts while preserving mechanics.</x:v>
      </x:c>
      <x:c r="O74" s="12" t="str">
        <x:f>IFERROR(VLOOKUP($D74&amp;"|"&amp;$K74,Recommendation_Lookup!$A$2:$H$19,5,FALSE),"")</x:f>
        <x:v>RVX Advanced Acceleration</x:v>
      </x:c>
      <x:c r="P74" s="12" t="str">
        <x:f>IFERROR(VLOOKUP($D74&amp;"|"&amp;$K74,Recommendation_Lookup!$A$2:$H$19,6,FALSE),"")</x:f>
        <x:v>RVX Explosive Starts Microdose</x:v>
      </x:c>
      <x:c r="Q74" s="12" t="str">
        <x:f>IFERROR(VLOOKUP($D74&amp;"|"&amp;$K74,Recommendation_Lookup!$A$2:$H$19,7,FALSE),"")</x:f>
        <x:v>Project forward, push the ground back, and win the first three steps.</x:v>
      </x:c>
      <x:c r="R74" s="12" t="str">
        <x:f>IFERROR(VLOOKUP($D74&amp;"|"&amp;$K74,Recommendation_Lookup!$A$2:$H$19,8,FALSE),"")</x:f>
        <x:v>Retest every 6–8 weeks or after a dedicated acceleration block.</x:v>
      </x:c>
      <x:c r="S74" s="12"/>
      <x:c r="T74" s="12"/>
      <x:c r="U74" s="12"/>
      <x:c r="V74" s="12"/>
      <x:c r="W74" s="12" t="str">
        <x:f>IF($S74&lt;&gt;"",$S74,$K74)</x:f>
        <x:v>Above Norm</x:v>
      </x:c>
      <x:c r="X74" s="12" t="str">
        <x:f>IF($T74&lt;&gt;"",$T74,$L74)</x:f>
        <x:v>Maintain first-step explosiveness</x:v>
      </x:c>
      <x:c r="Y74" s="12" t="str">
        <x:f>IF($U74&lt;&gt;"",$U74,$N74)</x:f>
        <x:v>Maintain speed with low-volume, high-quality acceleration exposures. Avoid unnecessary volume that could reduce sprint quality. Progress through resisted and reactive starts while preserving mechanics.</x:v>
      </x:c>
      <x:c r="Z74" s="12" t="str">
        <x:f>IF($V74&lt;&gt;"",$V74,$O74)</x:f>
        <x:v>RVX Advanced Acceleration</x:v>
      </x:c>
      <x:c r="AA74" s="12"/>
    </x:row>
    <x:row r="75">
      <x:c r="A75" s="12" t="str">
        <x:v>RVX-00013</x:v>
      </x:c>
      <x:c r="B75" s="12" t="str">
        <x:f>IFERROR(VLOOKUP($A75,Athlete_Profile!$A$2:$L$51,6,FALSE),"")</x:f>
        <x:v>Hockey</x:v>
      </x:c>
      <x:c r="C75" s="12" t="str">
        <x:f>IFERROR(VLOOKUP($A75,Athlete_Profile!$A$2:$L$51,5,FALSE),"")</x:f>
        <x:v>Female</x:v>
      </x:c>
      <x:c r="D75" s="12" t="str">
        <x:v>sprint_10m</x:v>
      </x:c>
      <x:c r="E75" s="12" t="str">
        <x:f>IFERROR(VLOOKUP($D75,Dropdown_Lists!$K$2:$N$7,2,FALSE),"")</x:f>
        <x:v>10m Sprint</x:v>
      </x:c>
      <x:c r="F75" s="12" t="str">
        <x:f>IFERROR(VLOOKUP($D75,Dropdown_Lists!$K$2:$N$7,3,FALSE),"")</x:f>
        <x:v>lower</x:v>
      </x:c>
      <x:c r="G75" s="17" t="n">
        <x:f>IFERROR(LOOKUP(2,1/((Performance_Metrics!$A$2:$A$3000=$A75)*(Performance_Metrics!$D$2:$D$3000=$D75)),Performance_Metrics!$C$2:$C$3000),"")</x:f>
        <x:v>46230</x:v>
      </x:c>
      <x:c r="H75" s="12" t="n">
        <x:f>IFERROR(LOOKUP(2,1/((Performance_Metrics!$A$2:$A$3000=$A75)*(Performance_Metrics!$D$2:$D$3000=$D75)),Performance_Metrics!$G$2:$G$3000),"")</x:f>
        <x:v>1.56</x:v>
      </x:c>
      <x:c r="I75" s="12" t="n">
        <x:f>IFERROR(SUMIFS(Normative_Data!$G$2:$G$1000,Normative_Data!$A$2:$A$1000,$B75,Normative_Data!$B$2:$B$1000,$C75,Normative_Data!$E$2:$E$1000,$D75),"")</x:f>
        <x:v>1.88</x:v>
      </x:c>
      <x:c r="J75" s="18" t="n">
        <x:f>IF(OR($H75="",$I75=""),"",($H75-$I75)/$I75)</x:f>
        <x:v>-0.17021276595744672</x:v>
      </x:c>
      <x:c r="K75" s="12" t="str">
        <x:f>IF(OR($H75="",$I75="",$F75=""),"",IF(ABS($J75)&lt;=0.05,"Equal to Norm",IF($F75="lower",IF($H75&lt;$I75,"Above Norm","Below Norm"),IF($H75&gt;$I75,"Above Norm","Below Norm"))))</x:f>
        <x:v>Above Norm</x:v>
      </x:c>
      <x:c r="L75" s="12" t="str">
        <x:f>IFERROR(VLOOKUP($D75&amp;"|"&amp;$K75,Recommendation_Lookup!$A$2:$H$19,2,FALSE),"")</x:f>
        <x:v>Maintain acceleration through 10 m</x:v>
      </x:c>
      <x:c r="M75" s="12" t="str">
        <x:f>IFERROR(VLOOKUP($D75&amp;"|"&amp;$K75,Recommendation_Lookup!$A$2:$H$19,3,FALSE),"")</x:f>
        <x:v>Transition mechanics; stride rhythm; stiffness; repeatability</x:v>
      </x:c>
      <x:c r="N75" s="12" t="str">
        <x:f>IFERROR(VLOOKUP($D75&amp;"|"&amp;$K75,Recommendation_Lookup!$A$2:$H$19,4,FALSE),"")</x:f>
        <x:v>Maintain one to two weekly high-quality acceleration exposures. Add varied starts and light resistance while monitoring consistency across trials.</x:v>
      </x:c>
      <x:c r="O75" s="12" t="str">
        <x:f>IFERROR(VLOOKUP($D75&amp;"|"&amp;$K75,Recommendation_Lookup!$A$2:$H$19,5,FALSE),"")</x:f>
        <x:v>RVX Advanced Acceleration</x:v>
      </x:c>
      <x:c r="P75" s="12" t="str">
        <x:f>IFERROR(VLOOKUP($D75&amp;"|"&amp;$K75,Recommendation_Lookup!$A$2:$H$19,6,FALSE),"")</x:f>
        <x:v>RVX Speed Maintenance Microdose</x:v>
      </x:c>
      <x:c r="Q75" s="12" t="str">
        <x:f>IFERROR(VLOOKUP($D75&amp;"|"&amp;$K75,Recommendation_Lookup!$A$2:$H$19,7,FALSE),"")</x:f>
        <x:v>Stay patient through acceleration and keep pushing behind the body.</x:v>
      </x:c>
      <x:c r="R75" s="12" t="str">
        <x:f>IFERROR(VLOOKUP($D75&amp;"|"&amp;$K75,Recommendation_Lookup!$A$2:$H$19,8,FALSE),"")</x:f>
        <x:v>Retest every 6–8 weeks or after a speed block.</x:v>
      </x:c>
      <x:c r="S75" s="12"/>
      <x:c r="T75" s="12"/>
      <x:c r="U75" s="12"/>
      <x:c r="V75" s="12"/>
      <x:c r="W75" s="12" t="str">
        <x:f>IF($S75&lt;&gt;"",$S75,$K75)</x:f>
        <x:v>Above Norm</x:v>
      </x:c>
      <x:c r="X75" s="12" t="str">
        <x:f>IF($T75&lt;&gt;"",$T75,$L75)</x:f>
        <x:v>Maintain acceleration through 10 m</x:v>
      </x:c>
      <x:c r="Y75" s="12" t="str">
        <x:f>IF($U75&lt;&gt;"",$U75,$N75)</x:f>
        <x:v>Maintain one to two weekly high-quality acceleration exposures. Add varied starts and light resistance while monitoring consistency across trials.</x:v>
      </x:c>
      <x:c r="Z75" s="12" t="str">
        <x:f>IF($V75&lt;&gt;"",$V75,$O75)</x:f>
        <x:v>RVX Advanced Acceleration</x:v>
      </x:c>
      <x:c r="AA75" s="12"/>
    </x:row>
    <x:row r="76">
      <x:c r="A76" s="12" t="str">
        <x:v>RVX-00013</x:v>
      </x:c>
      <x:c r="B76" s="12" t="str">
        <x:f>IFERROR(VLOOKUP($A76,Athlete_Profile!$A$2:$L$51,6,FALSE),"")</x:f>
        <x:v>Hockey</x:v>
      </x:c>
      <x:c r="C76" s="12" t="str">
        <x:f>IFERROR(VLOOKUP($A76,Athlete_Profile!$A$2:$L$51,5,FALSE),"")</x:f>
        <x:v>Female</x:v>
      </x:c>
      <x:c r="D76" s="12" t="str">
        <x:v>pro_agility</x:v>
      </x:c>
      <x:c r="E76" s="12" t="str">
        <x:f>IFERROR(VLOOKUP($D76,Dropdown_Lists!$K$2:$N$7,2,FALSE),"")</x:f>
        <x:v>5-10-5 Pro Agility</x:v>
      </x:c>
      <x:c r="F76" s="12" t="str">
        <x:f>IFERROR(VLOOKUP($D76,Dropdown_Lists!$K$2:$N$7,3,FALSE),"")</x:f>
        <x:v>lower</x:v>
      </x:c>
      <x:c r="G76" s="17" t="n">
        <x:f>IFERROR(LOOKUP(2,1/((Performance_Metrics!$A$2:$A$3000=$A76)*(Performance_Metrics!$D$2:$D$3000=$D76)),Performance_Metrics!$C$2:$C$3000),"")</x:f>
        <x:v>46230</x:v>
      </x:c>
      <x:c r="H76" s="12" t="n">
        <x:f>IFERROR(LOOKUP(2,1/((Performance_Metrics!$A$2:$A$3000=$A76)*(Performance_Metrics!$D$2:$D$3000=$D76)),Performance_Metrics!$G$2:$G$3000),"")</x:f>
        <x:v>4.02</x:v>
      </x:c>
      <x:c r="I76" s="12" t="n">
        <x:f>IFERROR(SUMIFS(Normative_Data!$G$2:$G$1000,Normative_Data!$A$2:$A$1000,$B76,Normative_Data!$B$2:$B$1000,$C76,Normative_Data!$E$2:$E$1000,$D76),"")</x:f>
        <x:v>4.82</x:v>
      </x:c>
      <x:c r="J76" s="18" t="n">
        <x:f>IF(OR($H76="",$I76=""),"",($H76-$I76)/$I76)</x:f>
        <x:v>-0.16597510373443997</x:v>
      </x:c>
      <x:c r="K76" s="12" t="str">
        <x:f>IF(OR($H76="",$I76="",$F76=""),"",IF(ABS($J76)&lt;=0.05,"Equal to Norm",IF($F76="lower",IF($H76&lt;$I76,"Above Norm","Below Norm"),IF($H76&gt;$I76,"Above Norm","Below Norm"))))</x:f>
        <x:v>Above Norm</x:v>
      </x:c>
      <x:c r="L76" s="12" t="str">
        <x:f>IFERROR(VLOOKUP($D76&amp;"|"&amp;$K76,Recommendation_Lookup!$A$2:$H$19,2,FALSE),"")</x:f>
        <x:v>Maintain change-of-direction performance</x:v>
      </x:c>
      <x:c r="M76" s="12" t="str">
        <x:f>IFERROR(VLOOKUP($D76&amp;"|"&amp;$K76,Recommendation_Lookup!$A$2:$H$19,3,FALSE),"")</x:f>
        <x:v>Reactive decision-making; braking tolerance; bilateral symmetry; movement variability</x:v>
      </x:c>
      <x:c r="N76" s="12" t="str">
        <x:f>IFERROR(VLOOKUP($D76&amp;"|"&amp;$K76,Recommendation_Lookup!$A$2:$H$19,4,FALSE),"")</x:f>
        <x:v>Maintain planned change-of-direction work and progress toward reactive agility. Use low-volume, high-quality exposures with multiple starting and turning strategies.</x:v>
      </x:c>
      <x:c r="O76" s="12" t="str">
        <x:f>IFERROR(VLOOKUP($D76&amp;"|"&amp;$K76,Recommendation_Lookup!$A$2:$H$19,5,FALSE),"")</x:f>
        <x:v>RVX Advanced Change of Direction</x:v>
      </x:c>
      <x:c r="P76" s="12" t="str">
        <x:f>IFERROR(VLOOKUP($D76&amp;"|"&amp;$K76,Recommendation_Lookup!$A$2:$H$19,6,FALSE),"")</x:f>
        <x:v>RVX Reactive Agility</x:v>
      </x:c>
      <x:c r="Q76" s="12" t="str">
        <x:f>IFERROR(VLOOKUP($D76&amp;"|"&amp;$K76,Recommendation_Lookup!$A$2:$H$19,7,FALSE),"")</x:f>
        <x:v>Brake under control, own the plant and accelerate out immediately.</x:v>
      </x:c>
      <x:c r="R76" s="12" t="str">
        <x:f>IFERROR(VLOOKUP($D76&amp;"|"&amp;$K76,Recommendation_Lookup!$A$2:$H$19,8,FALSE),"")</x:f>
        <x:v>Retest every 6–8 weeks with left and right trial review.</x:v>
      </x:c>
      <x:c r="S76" s="12"/>
      <x:c r="T76" s="12"/>
      <x:c r="U76" s="12"/>
      <x:c r="V76" s="12"/>
      <x:c r="W76" s="12" t="str">
        <x:f>IF($S76&lt;&gt;"",$S76,$K76)</x:f>
        <x:v>Above Norm</x:v>
      </x:c>
      <x:c r="X76" s="12" t="str">
        <x:f>IF($T76&lt;&gt;"",$T76,$L76)</x:f>
        <x:v>Maintain change-of-direction performance</x:v>
      </x:c>
      <x:c r="Y76" s="12" t="str">
        <x:f>IF($U76&lt;&gt;"",$U76,$N76)</x:f>
        <x:v>Maintain planned change-of-direction work and progress toward reactive agility. Use low-volume, high-quality exposures with multiple starting and turning strategies.</x:v>
      </x:c>
      <x:c r="Z76" s="12" t="str">
        <x:f>IF($V76&lt;&gt;"",$V76,$O76)</x:f>
        <x:v>RVX Advanced Change of Direction</x:v>
      </x:c>
      <x:c r="AA76" s="12"/>
    </x:row>
    <x:row r="77">
      <x:c r="A77" s="12" t="str">
        <x:v>RVX-00013</x:v>
      </x:c>
      <x:c r="B77" s="12" t="str">
        <x:f>IFERROR(VLOOKUP($A77,Athlete_Profile!$A$2:$L$51,6,FALSE),"")</x:f>
        <x:v>Hockey</x:v>
      </x:c>
      <x:c r="C77" s="12" t="str">
        <x:f>IFERROR(VLOOKUP($A77,Athlete_Profile!$A$2:$L$51,5,FALSE),"")</x:f>
        <x:v>Female</x:v>
      </x:c>
      <x:c r="D77" s="12" t="str">
        <x:v>cmj_depth</x:v>
      </x:c>
      <x:c r="E77" s="12" t="str">
        <x:f>IFERROR(VLOOKUP($D77,Dropdown_Lists!$K$2:$N$7,2,FALSE),"")</x:f>
        <x:v>Countermovement Depth</x:v>
      </x:c>
      <x:c r="F77" s="12" t="str">
        <x:f>IFERROR(VLOOKUP($D77,Dropdown_Lists!$K$2:$N$7,3,FALSE),"")</x:f>
        <x:v>higher</x:v>
      </x:c>
      <x:c r="G77" s="17" t="n">
        <x:f>IFERROR(LOOKUP(2,1/((Performance_Metrics!$A$2:$A$3000=$A77)*(Performance_Metrics!$D$2:$D$3000=$D77)),Performance_Metrics!$C$2:$C$3000),"")</x:f>
        <x:v>46230</x:v>
      </x:c>
      <x:c r="H77" s="12" t="n">
        <x:f>IFERROR(LOOKUP(2,1/((Performance_Metrics!$A$2:$A$3000=$A77)*(Performance_Metrics!$D$2:$D$3000=$D77)),Performance_Metrics!$G$2:$G$3000),"")</x:f>
        <x:v>35.3</x:v>
      </x:c>
      <x:c r="I77" s="12" t="n">
        <x:f>IFERROR(SUMIFS(Normative_Data!$G$2:$G$1000,Normative_Data!$A$2:$A$1000,$B77,Normative_Data!$B$2:$B$1000,$C77,Normative_Data!$E$2:$E$1000,$D77),"")</x:f>
        <x:v>30</x:v>
      </x:c>
      <x:c r="J77" s="18" t="n">
        <x:f>IF(OR($H77="",$I77=""),"",($H77-$I77)/$I77)</x:f>
        <x:v>0.17666666666666658</x:v>
      </x:c>
      <x:c r="K77" s="12" t="str">
        <x:f>IF(OR($H77="",$I77="",$F77=""),"",IF(ABS($J77)&lt;=0.05,"Equal to Norm",IF($F77="lower",IF($H77&lt;$I77,"Above Norm","Below Norm"),IF($H77&gt;$I77,"Above Norm","Below Norm"))))</x:f>
        <x:v>Above Norm</x:v>
      </x:c>
      <x:c r="L77" s="12" t="str">
        <x:f>IFERROR(VLOOKUP($D77&amp;"|"&amp;$K77,Recommendation_Lookup!$A$2:$H$19,2,FALSE),"")</x:f>
        <x:v>Maintain effective countermovement strategy</x:v>
      </x:c>
      <x:c r="M77" s="12" t="str">
        <x:f>IFERROR(VLOOKUP($D77&amp;"|"&amp;$K77,Recommendation_Lookup!$A$2:$H$19,3,FALSE),"")</x:f>
        <x:v>Movement efficiency; eccentric control; jump consistency; depth-to-output relationship</x:v>
      </x:c>
      <x:c r="N77" s="12" t="str">
        <x:f>IFERROR(VLOOKUP($D77&amp;"|"&amp;$K77,Recommendation_Lookup!$A$2:$H$19,4,FALSE),"")</x:f>
        <x:v>Maintain the athlete’s preferred countermovement strategy while ensuring the additional depth contributes to force and impulse rather than excessive movement time.</x:v>
      </x:c>
      <x:c r="O77" s="12" t="str">
        <x:f>IFERROR(VLOOKUP($D77&amp;"|"&amp;$K77,Recommendation_Lookup!$A$2:$H$19,5,FALSE),"")</x:f>
        <x:v>RVX Jump Performance Advanced</x:v>
      </x:c>
      <x:c r="P77" s="12" t="str">
        <x:f>IFERROR(VLOOKUP($D77&amp;"|"&amp;$K77,Recommendation_Lookup!$A$2:$H$19,6,FALSE),"")</x:f>
        <x:v>RVX Eccentric Strength Microdose</x:v>
      </x:c>
      <x:c r="Q77" s="12" t="str">
        <x:f>IFERROR(VLOOKUP($D77&amp;"|"&amp;$K77,Recommendation_Lookup!$A$2:$H$19,7,FALSE),"")</x:f>
        <x:v>Use the depth you can control, then reverse quickly and aggressively.</x:v>
      </x:c>
      <x:c r="R77" s="12" t="str">
        <x:f>IFERROR(VLOOKUP($D77&amp;"|"&amp;$K77,Recommendation_Lookup!$A$2:$H$19,8,FALSE),"")</x:f>
        <x:v>Retest every 6–8 weeks while monitoring jump height and contraction time.</x:v>
      </x:c>
      <x:c r="S77" s="12"/>
      <x:c r="T77" s="12"/>
      <x:c r="U77" s="12"/>
      <x:c r="V77" s="12"/>
      <x:c r="W77" s="12" t="str">
        <x:f>IF($S77&lt;&gt;"",$S77,$K77)</x:f>
        <x:v>Above Norm</x:v>
      </x:c>
      <x:c r="X77" s="12" t="str">
        <x:f>IF($T77&lt;&gt;"",$T77,$L77)</x:f>
        <x:v>Maintain effective countermovement strategy</x:v>
      </x:c>
      <x:c r="Y77" s="12" t="str">
        <x:f>IF($U77&lt;&gt;"",$U77,$N77)</x:f>
        <x:v>Maintain the athlete’s preferred countermovement strategy while ensuring the additional depth contributes to force and impulse rather than excessive movement time.</x:v>
      </x:c>
      <x:c r="Z77" s="12" t="str">
        <x:f>IF($V77&lt;&gt;"",$V77,$O77)</x:f>
        <x:v>RVX Jump Performance Advanced</x:v>
      </x:c>
      <x:c r="AA77" s="12"/>
    </x:row>
    <x:row r="78">
      <x:c r="A78" s="12" t="str">
        <x:v>RVX-00013</x:v>
      </x:c>
      <x:c r="B78" s="12" t="str">
        <x:f>IFERROR(VLOOKUP($A78,Athlete_Profile!$A$2:$L$51,6,FALSE),"")</x:f>
        <x:v>Hockey</x:v>
      </x:c>
      <x:c r="C78" s="12" t="str">
        <x:f>IFERROR(VLOOKUP($A78,Athlete_Profile!$A$2:$L$51,5,FALSE),"")</x:f>
        <x:v>Female</x:v>
      </x:c>
      <x:c r="D78" s="12" t="str">
        <x:v>peak_force</x:v>
      </x:c>
      <x:c r="E78" s="12" t="str">
        <x:f>IFERROR(VLOOKUP($D78,Dropdown_Lists!$K$2:$N$7,2,FALSE),"")</x:f>
        <x:v>Peak Force</x:v>
      </x:c>
      <x:c r="F78" s="12" t="str">
        <x:f>IFERROR(VLOOKUP($D78,Dropdown_Lists!$K$2:$N$7,3,FALSE),"")</x:f>
        <x:v>higher</x:v>
      </x:c>
      <x:c r="G78" s="17" t="n">
        <x:f>IFERROR(LOOKUP(2,1/((Performance_Metrics!$A$2:$A$3000=$A78)*(Performance_Metrics!$D$2:$D$3000=$D78)),Performance_Metrics!$C$2:$C$3000),"")</x:f>
        <x:v>46230</x:v>
      </x:c>
      <x:c r="H78" s="12" t="n">
        <x:f>IFERROR(LOOKUP(2,1/((Performance_Metrics!$A$2:$A$3000=$A78)*(Performance_Metrics!$D$2:$D$3000=$D78)),Performance_Metrics!$G$2:$G$3000),"")</x:f>
        <x:v>1980</x:v>
      </x:c>
      <x:c r="I78" s="12" t="n">
        <x:f>IFERROR(SUMIFS(Normative_Data!$G$2:$G$1000,Normative_Data!$A$2:$A$1000,$B78,Normative_Data!$B$2:$B$1000,$C78,Normative_Data!$E$2:$E$1000,$D78),"")</x:f>
        <x:v>1750</x:v>
      </x:c>
      <x:c r="J78" s="18" t="n">
        <x:f>IF(OR($H78="",$I78=""),"",($H78-$I78)/$I78)</x:f>
        <x:v>0.13142857142857142</x:v>
      </x:c>
      <x:c r="K78" s="12" t="str">
        <x:f>IF(OR($H78="",$I78="",$F78=""),"",IF(ABS($J78)&lt;=0.05,"Equal to Norm",IF($F78="lower",IF($H78&lt;$I78,"Above Norm","Below Norm"),IF($H78&gt;$I78,"Above Norm","Below Norm"))))</x:f>
        <x:v>Above Norm</x:v>
      </x:c>
      <x:c r="L78" s="12" t="str">
        <x:f>IFERROR(VLOOKUP($D78&amp;"|"&amp;$K78,Recommendation_Lookup!$A$2:$H$19,2,FALSE),"")</x:f>
        <x:v>Maintain maximal force qualities</x:v>
      </x:c>
      <x:c r="M78" s="12" t="str">
        <x:f>IFERROR(VLOOKUP($D78&amp;"|"&amp;$K78,Recommendation_Lookup!$A$2:$H$19,3,FALSE),"")</x:f>
        <x:v>Force application speed; asymmetry; fatigue management; sport transfer</x:v>
      </x:c>
      <x:c r="N78" s="12" t="str">
        <x:f>IFERROR(VLOOKUP($D78&amp;"|"&amp;$K78,Recommendation_Lookup!$A$2:$H$19,4,FALSE),"")</x:f>
        <x:v>Maintain maximal force with low-volume strength exposure while shifting selected work toward power and sport-specific application. Monitor asymmetry and fatigue.</x:v>
      </x:c>
      <x:c r="O78" s="12" t="str">
        <x:f>IFERROR(VLOOKUP($D78&amp;"|"&amp;$K78,Recommendation_Lookup!$A$2:$H$19,5,FALSE),"")</x:f>
        <x:v>RVX Advanced Strength-Power</x:v>
      </x:c>
      <x:c r="P78" s="12" t="str">
        <x:f>IFERROR(VLOOKUP($D78&amp;"|"&amp;$K78,Recommendation_Lookup!$A$2:$H$19,6,FALSE),"")</x:f>
        <x:v>RVX Force Maintenance Microdose</x:v>
      </x:c>
      <x:c r="Q78" s="12" t="str">
        <x:f>IFERROR(VLOOKUP($D78&amp;"|"&amp;$K78,Recommendation_Lookup!$A$2:$H$19,7,FALSE),"")</x:f>
        <x:v>Produce high force without losing position or movement speed.</x:v>
      </x:c>
      <x:c r="R78" s="12" t="str">
        <x:f>IFERROR(VLOOKUP($D78&amp;"|"&amp;$K78,Recommendation_Lookup!$A$2:$H$19,8,FALSE),"")</x:f>
        <x:v>Retest every 6–8 weeks or following a strength-power phase.</x:v>
      </x:c>
      <x:c r="S78" s="12"/>
      <x:c r="T78" s="12"/>
      <x:c r="U78" s="12"/>
      <x:c r="V78" s="12"/>
      <x:c r="W78" s="12" t="str">
        <x:f>IF($S78&lt;&gt;"",$S78,$K78)</x:f>
        <x:v>Above Norm</x:v>
      </x:c>
      <x:c r="X78" s="12" t="str">
        <x:f>IF($T78&lt;&gt;"",$T78,$L78)</x:f>
        <x:v>Maintain maximal force qualities</x:v>
      </x:c>
      <x:c r="Y78" s="12" t="str">
        <x:f>IF($U78&lt;&gt;"",$U78,$N78)</x:f>
        <x:v>Maintain maximal force with low-volume strength exposure while shifting selected work toward power and sport-specific application. Monitor asymmetry and fatigue.</x:v>
      </x:c>
      <x:c r="Z78" s="12" t="str">
        <x:f>IF($V78&lt;&gt;"",$V78,$O78)</x:f>
        <x:v>RVX Advanced Strength-Power</x:v>
      </x:c>
      <x:c r="AA78" s="12"/>
    </x:row>
    <x:row r="79">
      <x:c r="A79" s="12" t="str">
        <x:v>RVX-00013</x:v>
      </x:c>
      <x:c r="B79" s="12" t="str">
        <x:f>IFERROR(VLOOKUP($A79,Athlete_Profile!$A$2:$L$51,6,FALSE),"")</x:f>
        <x:v>Hockey</x:v>
      </x:c>
      <x:c r="C79" s="12" t="str">
        <x:f>IFERROR(VLOOKUP($A79,Athlete_Profile!$A$2:$L$51,5,FALSE),"")</x:f>
        <x:v>Female</x:v>
      </x:c>
      <x:c r="D79" s="12" t="str">
        <x:v>impulse</x:v>
      </x:c>
      <x:c r="E79" s="12" t="str">
        <x:f>IFERROR(VLOOKUP($D79,Dropdown_Lists!$K$2:$N$7,2,FALSE),"")</x:f>
        <x:v>Impulse-Momentum</x:v>
      </x:c>
      <x:c r="F79" s="12" t="str">
        <x:f>IFERROR(VLOOKUP($D79,Dropdown_Lists!$K$2:$N$7,3,FALSE),"")</x:f>
        <x:v>higher</x:v>
      </x:c>
      <x:c r="G79" s="17" t="n">
        <x:f>IFERROR(LOOKUP(2,1/((Performance_Metrics!$A$2:$A$3000=$A79)*(Performance_Metrics!$D$2:$D$3000=$D79)),Performance_Metrics!$C$2:$C$3000),"")</x:f>
        <x:v>46230</x:v>
      </x:c>
      <x:c r="H79" s="12" t="n">
        <x:f>IFERROR(LOOKUP(2,1/((Performance_Metrics!$A$2:$A$3000=$A79)*(Performance_Metrics!$D$2:$D$3000=$D79)),Performance_Metrics!$G$2:$G$3000),"")</x:f>
        <x:v>252.3</x:v>
      </x:c>
      <x:c r="I79" s="12" t="n">
        <x:f>IFERROR(SUMIFS(Normative_Data!$G$2:$G$1000,Normative_Data!$A$2:$A$1000,$B79,Normative_Data!$B$2:$B$1000,$C79,Normative_Data!$E$2:$E$1000,$D79),"")</x:f>
        <x:v>215</x:v>
      </x:c>
      <x:c r="J79" s="18" t="n">
        <x:f>IF(OR($H79="",$I79=""),"",($H79-$I79)/$I79)</x:f>
        <x:v>0.1734883720930233</x:v>
      </x:c>
      <x:c r="K79" s="12" t="str">
        <x:f>IF(OR($H79="",$I79="",$F79=""),"",IF(ABS($J79)&lt;=0.05,"Equal to Norm",IF($F79="lower",IF($H79&lt;$I79,"Above Norm","Below Norm"),IF($H79&gt;$I79,"Above Norm","Below Norm"))))</x:f>
        <x:v>Above Norm</x:v>
      </x:c>
      <x:c r="L79" s="12" t="str">
        <x:f>IFERROR(VLOOKUP($D79&amp;"|"&amp;$K79,Recommendation_Lookup!$A$2:$H$19,2,FALSE),"")</x:f>
        <x:v>Maintain total force-time output</x:v>
      </x:c>
      <x:c r="M79" s="12" t="str">
        <x:f>IFERROR(VLOOKUP($D79&amp;"|"&amp;$K79,Recommendation_Lookup!$A$2:$H$19,3,FALSE),"")</x:f>
        <x:v>Rate of force development; movement time; power transfer; fatigue resistance</x:v>
      </x:c>
      <x:c r="N79" s="12" t="str">
        <x:f>IFERROR(VLOOKUP($D79&amp;"|"&amp;$K79,Recommendation_Lookup!$A$2:$H$19,4,FALSE),"")</x:f>
        <x:v>Maintain impulse with strength-power microdosing and varied jump or sprint exposures. Ensure high impulse is achieved efficiently rather than through excessive movement time.</x:v>
      </x:c>
      <x:c r="O79" s="12" t="str">
        <x:f>IFERROR(VLOOKUP($D79&amp;"|"&amp;$K79,Recommendation_Lookup!$A$2:$H$19,5,FALSE),"")</x:f>
        <x:v>RVX Advanced Power Development</x:v>
      </x:c>
      <x:c r="P79" s="12" t="str">
        <x:f>IFERROR(VLOOKUP($D79&amp;"|"&amp;$K79,Recommendation_Lookup!$A$2:$H$19,6,FALSE),"")</x:f>
        <x:v>RVX Elastic Power Microdose</x:v>
      </x:c>
      <x:c r="Q79" s="12" t="str">
        <x:f>IFERROR(VLOOKUP($D79&amp;"|"&amp;$K79,Recommendation_Lookup!$A$2:$H$19,7,FALSE),"")</x:f>
        <x:v>Build force quickly and keep applying it through the full movement.</x:v>
      </x:c>
      <x:c r="R79" s="12" t="str">
        <x:f>IFERROR(VLOOKUP($D79&amp;"|"&amp;$K79,Recommendation_Lookup!$A$2:$H$19,8,FALSE),"")</x:f>
        <x:v>Retest every 6–8 weeks while reviewing contraction time and jump outcome.</x:v>
      </x:c>
      <x:c r="S79" s="12"/>
      <x:c r="T79" s="12"/>
      <x:c r="U79" s="12"/>
      <x:c r="V79" s="12"/>
      <x:c r="W79" s="12" t="str">
        <x:f>IF($S79&lt;&gt;"",$S79,$K79)</x:f>
        <x:v>Above Norm</x:v>
      </x:c>
      <x:c r="X79" s="12" t="str">
        <x:f>IF($T79&lt;&gt;"",$T79,$L79)</x:f>
        <x:v>Maintain total force-time output</x:v>
      </x:c>
      <x:c r="Y79" s="12" t="str">
        <x:f>IF($U79&lt;&gt;"",$U79,$N79)</x:f>
        <x:v>Maintain impulse with strength-power microdosing and varied jump or sprint exposures. Ensure high impulse is achieved efficiently rather than through excessive movement time.</x:v>
      </x:c>
      <x:c r="Z79" s="12" t="str">
        <x:f>IF($V79&lt;&gt;"",$V79,$O79)</x:f>
        <x:v>RVX Advanced Power Development</x:v>
      </x:c>
      <x:c r="AA79" s="12"/>
    </x:row>
    <x:row r="80">
      <x:c r="A80" s="12" t="str">
        <x:v>RVX-00014</x:v>
      </x:c>
      <x:c r="B80" s="12" t="str">
        <x:f>IFERROR(VLOOKUP($A80,Athlete_Profile!$A$2:$L$51,6,FALSE),"")</x:f>
        <x:v>Hockey</x:v>
      </x:c>
      <x:c r="C80" s="12" t="str">
        <x:f>IFERROR(VLOOKUP($A80,Athlete_Profile!$A$2:$L$51,5,FALSE),"")</x:f>
        <x:v>Male</x:v>
      </x:c>
      <x:c r="D80" s="12" t="str">
        <x:v>sprint_5m</x:v>
      </x:c>
      <x:c r="E80" s="12" t="str">
        <x:f>IFERROR(VLOOKUP($D80,Dropdown_Lists!$K$2:$N$7,2,FALSE),"")</x:f>
        <x:v>5m Sprint</x:v>
      </x:c>
      <x:c r="F80" s="12" t="str">
        <x:f>IFERROR(VLOOKUP($D80,Dropdown_Lists!$K$2:$N$7,3,FALSE),"")</x:f>
        <x:v>lower</x:v>
      </x:c>
      <x:c r="G80" s="17" t="n">
        <x:f>IFERROR(LOOKUP(2,1/((Performance_Metrics!$A$2:$A$3000=$A80)*(Performance_Metrics!$D$2:$D$3000=$D80)),Performance_Metrics!$C$2:$C$3000),"")</x:f>
        <x:v>46230</x:v>
      </x:c>
      <x:c r="H80" s="12" t="n">
        <x:f>IFERROR(LOOKUP(2,1/((Performance_Metrics!$A$2:$A$3000=$A80)*(Performance_Metrics!$D$2:$D$3000=$D80)),Performance_Metrics!$G$2:$G$3000),"")</x:f>
        <x:v>0.99</x:v>
      </x:c>
      <x:c r="I80" s="12" t="n">
        <x:f>IFERROR(SUMIFS(Normative_Data!$G$2:$G$1000,Normative_Data!$A$2:$A$1000,$B80,Normative_Data!$B$2:$B$1000,$C80,Normative_Data!$E$2:$E$1000,$D80),"")</x:f>
        <x:v>1.08</x:v>
      </x:c>
      <x:c r="J80" s="18" t="n">
        <x:f>IF(OR($H80="",$I80=""),"",($H80-$I80)/$I80)</x:f>
        <x:v>-0.0833333333333334</x:v>
      </x:c>
      <x:c r="K80" s="12" t="str">
        <x:f>IF(OR($H80="",$I80="",$F80=""),"",IF(ABS($J80)&lt;=0.05,"Equal to Norm",IF($F80="lower",IF($H80&lt;$I80,"Above Norm","Below Norm"),IF($H80&gt;$I80,"Above Norm","Below Norm"))))</x:f>
        <x:v>Above Norm</x:v>
      </x:c>
      <x:c r="L80" s="12" t="str">
        <x:f>IFERROR(VLOOKUP($D80&amp;"|"&amp;$K80,Recommendation_Lookup!$A$2:$H$19,2,FALSE),"")</x:f>
        <x:v>Maintain first-step explosiveness</x:v>
      </x:c>
      <x:c r="M80" s="12" t="str">
        <x:f>IFERROR(VLOOKUP($D80&amp;"|"&amp;$K80,Recommendation_Lookup!$A$2:$H$19,3,FALSE),"")</x:f>
        <x:v>Start consistency; projection angle; horizontal force; reaction quality</x:v>
      </x:c>
      <x:c r="N80" s="12" t="str">
        <x:f>IFERROR(VLOOKUP($D80&amp;"|"&amp;$K80,Recommendation_Lookup!$A$2:$H$19,4,FALSE),"")</x:f>
        <x:v>Maintain speed with low-volume, high-quality acceleration exposures. Avoid unnecessary volume that could reduce sprint quality. Progress through resisted and reactive starts while preserving mechanics.</x:v>
      </x:c>
      <x:c r="O80" s="12" t="str">
        <x:f>IFERROR(VLOOKUP($D80&amp;"|"&amp;$K80,Recommendation_Lookup!$A$2:$H$19,5,FALSE),"")</x:f>
        <x:v>RVX Advanced Acceleration</x:v>
      </x:c>
      <x:c r="P80" s="12" t="str">
        <x:f>IFERROR(VLOOKUP($D80&amp;"|"&amp;$K80,Recommendation_Lookup!$A$2:$H$19,6,FALSE),"")</x:f>
        <x:v>RVX Explosive Starts Microdose</x:v>
      </x:c>
      <x:c r="Q80" s="12" t="str">
        <x:f>IFERROR(VLOOKUP($D80&amp;"|"&amp;$K80,Recommendation_Lookup!$A$2:$H$19,7,FALSE),"")</x:f>
        <x:v>Project forward, push the ground back, and win the first three steps.</x:v>
      </x:c>
      <x:c r="R80" s="12" t="str">
        <x:f>IFERROR(VLOOKUP($D80&amp;"|"&amp;$K80,Recommendation_Lookup!$A$2:$H$19,8,FALSE),"")</x:f>
        <x:v>Retest every 6–8 weeks or after a dedicated acceleration block.</x:v>
      </x:c>
      <x:c r="S80" s="12"/>
      <x:c r="T80" s="12"/>
      <x:c r="U80" s="12"/>
      <x:c r="V80" s="12"/>
      <x:c r="W80" s="12" t="str">
        <x:f>IF($S80&lt;&gt;"",$S80,$K80)</x:f>
        <x:v>Above Norm</x:v>
      </x:c>
      <x:c r="X80" s="12" t="str">
        <x:f>IF($T80&lt;&gt;"",$T80,$L80)</x:f>
        <x:v>Maintain first-step explosiveness</x:v>
      </x:c>
      <x:c r="Y80" s="12" t="str">
        <x:f>IF($U80&lt;&gt;"",$U80,$N80)</x:f>
        <x:v>Maintain speed with low-volume, high-quality acceleration exposures. Avoid unnecessary volume that could reduce sprint quality. Progress through resisted and reactive starts while preserving mechanics.</x:v>
      </x:c>
      <x:c r="Z80" s="12" t="str">
        <x:f>IF($V80&lt;&gt;"",$V80,$O80)</x:f>
        <x:v>RVX Advanced Acceleration</x:v>
      </x:c>
      <x:c r="AA80" s="12"/>
    </x:row>
    <x:row r="81">
      <x:c r="A81" s="12" t="str">
        <x:v>RVX-00014</x:v>
      </x:c>
      <x:c r="B81" s="12" t="str">
        <x:f>IFERROR(VLOOKUP($A81,Athlete_Profile!$A$2:$L$51,6,FALSE),"")</x:f>
        <x:v>Hockey</x:v>
      </x:c>
      <x:c r="C81" s="12" t="str">
        <x:f>IFERROR(VLOOKUP($A81,Athlete_Profile!$A$2:$L$51,5,FALSE),"")</x:f>
        <x:v>Male</x:v>
      </x:c>
      <x:c r="D81" s="12" t="str">
        <x:v>sprint_10m</x:v>
      </x:c>
      <x:c r="E81" s="12" t="str">
        <x:f>IFERROR(VLOOKUP($D81,Dropdown_Lists!$K$2:$N$7,2,FALSE),"")</x:f>
        <x:v>10m Sprint</x:v>
      </x:c>
      <x:c r="F81" s="12" t="str">
        <x:f>IFERROR(VLOOKUP($D81,Dropdown_Lists!$K$2:$N$7,3,FALSE),"")</x:f>
        <x:v>lower</x:v>
      </x:c>
      <x:c r="G81" s="17" t="n">
        <x:f>IFERROR(LOOKUP(2,1/((Performance_Metrics!$A$2:$A$3000=$A81)*(Performance_Metrics!$D$2:$D$3000=$D81)),Performance_Metrics!$C$2:$C$3000),"")</x:f>
        <x:v>46230</x:v>
      </x:c>
      <x:c r="H81" s="12" t="n">
        <x:f>IFERROR(LOOKUP(2,1/((Performance_Metrics!$A$2:$A$3000=$A81)*(Performance_Metrics!$D$2:$D$3000=$D81)),Performance_Metrics!$G$2:$G$3000),"")</x:f>
        <x:v>1.69</x:v>
      </x:c>
      <x:c r="I81" s="12" t="n">
        <x:f>IFERROR(SUMIFS(Normative_Data!$G$2:$G$1000,Normative_Data!$A$2:$A$1000,$B81,Normative_Data!$B$2:$B$1000,$C81,Normative_Data!$E$2:$E$1000,$D81),"")</x:f>
        <x:v>1.8</x:v>
      </x:c>
      <x:c r="J81" s="18" t="n">
        <x:f>IF(OR($H81="",$I81=""),"",($H81-$I81)/$I81)</x:f>
        <x:v>-0.061111111111111165</x:v>
      </x:c>
      <x:c r="K81" s="12" t="str">
        <x:f>IF(OR($H81="",$I81="",$F81=""),"",IF(ABS($J81)&lt;=0.05,"Equal to Norm",IF($F81="lower",IF($H81&lt;$I81,"Above Norm","Below Norm"),IF($H81&gt;$I81,"Above Norm","Below Norm"))))</x:f>
        <x:v>Above Norm</x:v>
      </x:c>
      <x:c r="L81" s="12" t="str">
        <x:f>IFERROR(VLOOKUP($D81&amp;"|"&amp;$K81,Recommendation_Lookup!$A$2:$H$19,2,FALSE),"")</x:f>
        <x:v>Maintain acceleration through 10 m</x:v>
      </x:c>
      <x:c r="M81" s="12" t="str">
        <x:f>IFERROR(VLOOKUP($D81&amp;"|"&amp;$K81,Recommendation_Lookup!$A$2:$H$19,3,FALSE),"")</x:f>
        <x:v>Transition mechanics; stride rhythm; stiffness; repeatability</x:v>
      </x:c>
      <x:c r="N81" s="12" t="str">
        <x:f>IFERROR(VLOOKUP($D81&amp;"|"&amp;$K81,Recommendation_Lookup!$A$2:$H$19,4,FALSE),"")</x:f>
        <x:v>Maintain one to two weekly high-quality acceleration exposures. Add varied starts and light resistance while monitoring consistency across trials.</x:v>
      </x:c>
      <x:c r="O81" s="12" t="str">
        <x:f>IFERROR(VLOOKUP($D81&amp;"|"&amp;$K81,Recommendation_Lookup!$A$2:$H$19,5,FALSE),"")</x:f>
        <x:v>RVX Advanced Acceleration</x:v>
      </x:c>
      <x:c r="P81" s="12" t="str">
        <x:f>IFERROR(VLOOKUP($D81&amp;"|"&amp;$K81,Recommendation_Lookup!$A$2:$H$19,6,FALSE),"")</x:f>
        <x:v>RVX Speed Maintenance Microdose</x:v>
      </x:c>
      <x:c r="Q81" s="12" t="str">
        <x:f>IFERROR(VLOOKUP($D81&amp;"|"&amp;$K81,Recommendation_Lookup!$A$2:$H$19,7,FALSE),"")</x:f>
        <x:v>Stay patient through acceleration and keep pushing behind the body.</x:v>
      </x:c>
      <x:c r="R81" s="12" t="str">
        <x:f>IFERROR(VLOOKUP($D81&amp;"|"&amp;$K81,Recommendation_Lookup!$A$2:$H$19,8,FALSE),"")</x:f>
        <x:v>Retest every 6–8 weeks or after a speed block.</x:v>
      </x:c>
      <x:c r="S81" s="12"/>
      <x:c r="T81" s="12"/>
      <x:c r="U81" s="12"/>
      <x:c r="V81" s="12"/>
      <x:c r="W81" s="12" t="str">
        <x:f>IF($S81&lt;&gt;"",$S81,$K81)</x:f>
        <x:v>Above Norm</x:v>
      </x:c>
      <x:c r="X81" s="12" t="str">
        <x:f>IF($T81&lt;&gt;"",$T81,$L81)</x:f>
        <x:v>Maintain acceleration through 10 m</x:v>
      </x:c>
      <x:c r="Y81" s="12" t="str">
        <x:f>IF($U81&lt;&gt;"",$U81,$N81)</x:f>
        <x:v>Maintain one to two weekly high-quality acceleration exposures. Add varied starts and light resistance while monitoring consistency across trials.</x:v>
      </x:c>
      <x:c r="Z81" s="12" t="str">
        <x:f>IF($V81&lt;&gt;"",$V81,$O81)</x:f>
        <x:v>RVX Advanced Acceleration</x:v>
      </x:c>
      <x:c r="AA81" s="12"/>
    </x:row>
    <x:row r="82">
      <x:c r="A82" s="12" t="str">
        <x:v>RVX-00014</x:v>
      </x:c>
      <x:c r="B82" s="12" t="str">
        <x:f>IFERROR(VLOOKUP($A82,Athlete_Profile!$A$2:$L$51,6,FALSE),"")</x:f>
        <x:v>Hockey</x:v>
      </x:c>
      <x:c r="C82" s="12" t="str">
        <x:f>IFERROR(VLOOKUP($A82,Athlete_Profile!$A$2:$L$51,5,FALSE),"")</x:f>
        <x:v>Male</x:v>
      </x:c>
      <x:c r="D82" s="12" t="str">
        <x:v>pro_agility</x:v>
      </x:c>
      <x:c r="E82" s="12" t="str">
        <x:f>IFERROR(VLOOKUP($D82,Dropdown_Lists!$K$2:$N$7,2,FALSE),"")</x:f>
        <x:v>5-10-5 Pro Agility</x:v>
      </x:c>
      <x:c r="F82" s="12" t="str">
        <x:f>IFERROR(VLOOKUP($D82,Dropdown_Lists!$K$2:$N$7,3,FALSE),"")</x:f>
        <x:v>lower</x:v>
      </x:c>
      <x:c r="G82" s="17" t="n">
        <x:f>IFERROR(LOOKUP(2,1/((Performance_Metrics!$A$2:$A$3000=$A82)*(Performance_Metrics!$D$2:$D$3000=$D82)),Performance_Metrics!$C$2:$C$3000),"")</x:f>
        <x:v>46230</x:v>
      </x:c>
      <x:c r="H82" s="12" t="n">
        <x:f>IFERROR(LOOKUP(2,1/((Performance_Metrics!$A$2:$A$3000=$A82)*(Performance_Metrics!$D$2:$D$3000=$D82)),Performance_Metrics!$G$2:$G$3000),"")</x:f>
        <x:v>4.3</x:v>
      </x:c>
      <x:c r="I82" s="12" t="n">
        <x:f>IFERROR(SUMIFS(Normative_Data!$G$2:$G$1000,Normative_Data!$A$2:$A$1000,$B82,Normative_Data!$B$2:$B$1000,$C82,Normative_Data!$E$2:$E$1000,$D82),"")</x:f>
        <x:v>4.63</x:v>
      </x:c>
      <x:c r="J82" s="18" t="n">
        <x:f>IF(OR($H82="",$I82=""),"",($H82-$I82)/$I82)</x:f>
        <x:v>-0.07127429805615552</x:v>
      </x:c>
      <x:c r="K82" s="12" t="str">
        <x:f>IF(OR($H82="",$I82="",$F82=""),"",IF(ABS($J82)&lt;=0.05,"Equal to Norm",IF($F82="lower",IF($H82&lt;$I82,"Above Norm","Below Norm"),IF($H82&gt;$I82,"Above Norm","Below Norm"))))</x:f>
        <x:v>Above Norm</x:v>
      </x:c>
      <x:c r="L82" s="12" t="str">
        <x:f>IFERROR(VLOOKUP($D82&amp;"|"&amp;$K82,Recommendation_Lookup!$A$2:$H$19,2,FALSE),"")</x:f>
        <x:v>Maintain change-of-direction performance</x:v>
      </x:c>
      <x:c r="M82" s="12" t="str">
        <x:f>IFERROR(VLOOKUP($D82&amp;"|"&amp;$K82,Recommendation_Lookup!$A$2:$H$19,3,FALSE),"")</x:f>
        <x:v>Reactive decision-making; braking tolerance; bilateral symmetry; movement variability</x:v>
      </x:c>
      <x:c r="N82" s="12" t="str">
        <x:f>IFERROR(VLOOKUP($D82&amp;"|"&amp;$K82,Recommendation_Lookup!$A$2:$H$19,4,FALSE),"")</x:f>
        <x:v>Maintain planned change-of-direction work and progress toward reactive agility. Use low-volume, high-quality exposures with multiple starting and turning strategies.</x:v>
      </x:c>
      <x:c r="O82" s="12" t="str">
        <x:f>IFERROR(VLOOKUP($D82&amp;"|"&amp;$K82,Recommendation_Lookup!$A$2:$H$19,5,FALSE),"")</x:f>
        <x:v>RVX Advanced Change of Direction</x:v>
      </x:c>
      <x:c r="P82" s="12" t="str">
        <x:f>IFERROR(VLOOKUP($D82&amp;"|"&amp;$K82,Recommendation_Lookup!$A$2:$H$19,6,FALSE),"")</x:f>
        <x:v>RVX Reactive Agility</x:v>
      </x:c>
      <x:c r="Q82" s="12" t="str">
        <x:f>IFERROR(VLOOKUP($D82&amp;"|"&amp;$K82,Recommendation_Lookup!$A$2:$H$19,7,FALSE),"")</x:f>
        <x:v>Brake under control, own the plant and accelerate out immediately.</x:v>
      </x:c>
      <x:c r="R82" s="12" t="str">
        <x:f>IFERROR(VLOOKUP($D82&amp;"|"&amp;$K82,Recommendation_Lookup!$A$2:$H$19,8,FALSE),"")</x:f>
        <x:v>Retest every 6–8 weeks with left and right trial review.</x:v>
      </x:c>
      <x:c r="S82" s="12"/>
      <x:c r="T82" s="12"/>
      <x:c r="U82" s="12"/>
      <x:c r="V82" s="12"/>
      <x:c r="W82" s="12" t="str">
        <x:f>IF($S82&lt;&gt;"",$S82,$K82)</x:f>
        <x:v>Above Norm</x:v>
      </x:c>
      <x:c r="X82" s="12" t="str">
        <x:f>IF($T82&lt;&gt;"",$T82,$L82)</x:f>
        <x:v>Maintain change-of-direction performance</x:v>
      </x:c>
      <x:c r="Y82" s="12" t="str">
        <x:f>IF($U82&lt;&gt;"",$U82,$N82)</x:f>
        <x:v>Maintain planned change-of-direction work and progress toward reactive agility. Use low-volume, high-quality exposures with multiple starting and turning strategies.</x:v>
      </x:c>
      <x:c r="Z82" s="12" t="str">
        <x:f>IF($V82&lt;&gt;"",$V82,$O82)</x:f>
        <x:v>RVX Advanced Change of Direction</x:v>
      </x:c>
      <x:c r="AA82" s="12"/>
    </x:row>
    <x:row r="83">
      <x:c r="A83" s="12" t="str">
        <x:v>RVX-00014</x:v>
      </x:c>
      <x:c r="B83" s="12" t="str">
        <x:f>IFERROR(VLOOKUP($A83,Athlete_Profile!$A$2:$L$51,6,FALSE),"")</x:f>
        <x:v>Hockey</x:v>
      </x:c>
      <x:c r="C83" s="12" t="str">
        <x:f>IFERROR(VLOOKUP($A83,Athlete_Profile!$A$2:$L$51,5,FALSE),"")</x:f>
        <x:v>Male</x:v>
      </x:c>
      <x:c r="D83" s="12" t="str">
        <x:v>cmj_depth</x:v>
      </x:c>
      <x:c r="E83" s="12" t="str">
        <x:f>IFERROR(VLOOKUP($D83,Dropdown_Lists!$K$2:$N$7,2,FALSE),"")</x:f>
        <x:v>Countermovement Depth</x:v>
      </x:c>
      <x:c r="F83" s="12" t="str">
        <x:f>IFERROR(VLOOKUP($D83,Dropdown_Lists!$K$2:$N$7,3,FALSE),"")</x:f>
        <x:v>higher</x:v>
      </x:c>
      <x:c r="G83" s="17" t="n">
        <x:f>IFERROR(LOOKUP(2,1/((Performance_Metrics!$A$2:$A$3000=$A83)*(Performance_Metrics!$D$2:$D$3000=$D83)),Performance_Metrics!$C$2:$C$3000),"")</x:f>
        <x:v>46230</x:v>
      </x:c>
      <x:c r="H83" s="12" t="n">
        <x:f>IFERROR(LOOKUP(2,1/((Performance_Metrics!$A$2:$A$3000=$A83)*(Performance_Metrics!$D$2:$D$3000=$D83)),Performance_Metrics!$G$2:$G$3000),"")</x:f>
        <x:v>34.8</x:v>
      </x:c>
      <x:c r="I83" s="12" t="n">
        <x:f>IFERROR(SUMIFS(Normative_Data!$G$2:$G$1000,Normative_Data!$A$2:$A$1000,$B83,Normative_Data!$B$2:$B$1000,$C83,Normative_Data!$E$2:$E$1000,$D83),"")</x:f>
        <x:v>33</x:v>
      </x:c>
      <x:c r="J83" s="18" t="n">
        <x:f>IF(OR($H83="",$I83=""),"",($H83-$I83)/$I83)</x:f>
        <x:v>0.05454545454545446</x:v>
      </x:c>
      <x:c r="K83" s="12" t="str">
        <x:f>IF(OR($H83="",$I83="",$F83=""),"",IF(ABS($J83)&lt;=0.05,"Equal to Norm",IF($F83="lower",IF($H83&lt;$I83,"Above Norm","Below Norm"),IF($H83&gt;$I83,"Above Norm","Below Norm"))))</x:f>
        <x:v>Above Norm</x:v>
      </x:c>
      <x:c r="L83" s="12" t="str">
        <x:f>IFERROR(VLOOKUP($D83&amp;"|"&amp;$K83,Recommendation_Lookup!$A$2:$H$19,2,FALSE),"")</x:f>
        <x:v>Maintain effective countermovement strategy</x:v>
      </x:c>
      <x:c r="M83" s="12" t="str">
        <x:f>IFERROR(VLOOKUP($D83&amp;"|"&amp;$K83,Recommendation_Lookup!$A$2:$H$19,3,FALSE),"")</x:f>
        <x:v>Movement efficiency; eccentric control; jump consistency; depth-to-output relationship</x:v>
      </x:c>
      <x:c r="N83" s="12" t="str">
        <x:f>IFERROR(VLOOKUP($D83&amp;"|"&amp;$K83,Recommendation_Lookup!$A$2:$H$19,4,FALSE),"")</x:f>
        <x:v>Maintain the athlete’s preferred countermovement strategy while ensuring the additional depth contributes to force and impulse rather than excessive movement time.</x:v>
      </x:c>
      <x:c r="O83" s="12" t="str">
        <x:f>IFERROR(VLOOKUP($D83&amp;"|"&amp;$K83,Recommendation_Lookup!$A$2:$H$19,5,FALSE),"")</x:f>
        <x:v>RVX Jump Performance Advanced</x:v>
      </x:c>
      <x:c r="P83" s="12" t="str">
        <x:f>IFERROR(VLOOKUP($D83&amp;"|"&amp;$K83,Recommendation_Lookup!$A$2:$H$19,6,FALSE),"")</x:f>
        <x:v>RVX Eccentric Strength Microdose</x:v>
      </x:c>
      <x:c r="Q83" s="12" t="str">
        <x:f>IFERROR(VLOOKUP($D83&amp;"|"&amp;$K83,Recommendation_Lookup!$A$2:$H$19,7,FALSE),"")</x:f>
        <x:v>Use the depth you can control, then reverse quickly and aggressively.</x:v>
      </x:c>
      <x:c r="R83" s="12" t="str">
        <x:f>IFERROR(VLOOKUP($D83&amp;"|"&amp;$K83,Recommendation_Lookup!$A$2:$H$19,8,FALSE),"")</x:f>
        <x:v>Retest every 6–8 weeks while monitoring jump height and contraction time.</x:v>
      </x:c>
      <x:c r="S83" s="12"/>
      <x:c r="T83" s="12"/>
      <x:c r="U83" s="12"/>
      <x:c r="V83" s="12"/>
      <x:c r="W83" s="12" t="str">
        <x:f>IF($S83&lt;&gt;"",$S83,$K83)</x:f>
        <x:v>Above Norm</x:v>
      </x:c>
      <x:c r="X83" s="12" t="str">
        <x:f>IF($T83&lt;&gt;"",$T83,$L83)</x:f>
        <x:v>Maintain effective countermovement strategy</x:v>
      </x:c>
      <x:c r="Y83" s="12" t="str">
        <x:f>IF($U83&lt;&gt;"",$U83,$N83)</x:f>
        <x:v>Maintain the athlete’s preferred countermovement strategy while ensuring the additional depth contributes to force and impulse rather than excessive movement time.</x:v>
      </x:c>
      <x:c r="Z83" s="12" t="str">
        <x:f>IF($V83&lt;&gt;"",$V83,$O83)</x:f>
        <x:v>RVX Jump Performance Advanced</x:v>
      </x:c>
      <x:c r="AA83" s="12"/>
    </x:row>
    <x:row r="84">
      <x:c r="A84" s="12" t="str">
        <x:v>RVX-00014</x:v>
      </x:c>
      <x:c r="B84" s="12" t="str">
        <x:f>IFERROR(VLOOKUP($A84,Athlete_Profile!$A$2:$L$51,6,FALSE),"")</x:f>
        <x:v>Hockey</x:v>
      </x:c>
      <x:c r="C84" s="12" t="str">
        <x:f>IFERROR(VLOOKUP($A84,Athlete_Profile!$A$2:$L$51,5,FALSE),"")</x:f>
        <x:v>Male</x:v>
      </x:c>
      <x:c r="D84" s="12" t="str">
        <x:v>peak_force</x:v>
      </x:c>
      <x:c r="E84" s="12" t="str">
        <x:f>IFERROR(VLOOKUP($D84,Dropdown_Lists!$K$2:$N$7,2,FALSE),"")</x:f>
        <x:v>Peak Force</x:v>
      </x:c>
      <x:c r="F84" s="12" t="str">
        <x:f>IFERROR(VLOOKUP($D84,Dropdown_Lists!$K$2:$N$7,3,FALSE),"")</x:f>
        <x:v>higher</x:v>
      </x:c>
      <x:c r="G84" s="17" t="n">
        <x:f>IFERROR(LOOKUP(2,1/((Performance_Metrics!$A$2:$A$3000=$A84)*(Performance_Metrics!$D$2:$D$3000=$D84)),Performance_Metrics!$C$2:$C$3000),"")</x:f>
        <x:v>46230</x:v>
      </x:c>
      <x:c r="H84" s="12" t="n">
        <x:f>IFERROR(LOOKUP(2,1/((Performance_Metrics!$A$2:$A$3000=$A84)*(Performance_Metrics!$D$2:$D$3000=$D84)),Performance_Metrics!$G$2:$G$3000),"")</x:f>
        <x:v>2066</x:v>
      </x:c>
      <x:c r="I84" s="12" t="n">
        <x:f>IFERROR(SUMIFS(Normative_Data!$G$2:$G$1000,Normative_Data!$A$2:$A$1000,$B84,Normative_Data!$B$2:$B$1000,$C84,Normative_Data!$E$2:$E$1000,$D84),"")</x:f>
        <x:v>1925</x:v>
      </x:c>
      <x:c r="J84" s="18" t="n">
        <x:f>IF(OR($H84="",$I84=""),"",($H84-$I84)/$I84)</x:f>
        <x:v>0.07324675324675324</x:v>
      </x:c>
      <x:c r="K84" s="12" t="str">
        <x:f>IF(OR($H84="",$I84="",$F84=""),"",IF(ABS($J84)&lt;=0.05,"Equal to Norm",IF($F84="lower",IF($H84&lt;$I84,"Above Norm","Below Norm"),IF($H84&gt;$I84,"Above Norm","Below Norm"))))</x:f>
        <x:v>Above Norm</x:v>
      </x:c>
      <x:c r="L84" s="12" t="str">
        <x:f>IFERROR(VLOOKUP($D84&amp;"|"&amp;$K84,Recommendation_Lookup!$A$2:$H$19,2,FALSE),"")</x:f>
        <x:v>Maintain maximal force qualities</x:v>
      </x:c>
      <x:c r="M84" s="12" t="str">
        <x:f>IFERROR(VLOOKUP($D84&amp;"|"&amp;$K84,Recommendation_Lookup!$A$2:$H$19,3,FALSE),"")</x:f>
        <x:v>Force application speed; asymmetry; fatigue management; sport transfer</x:v>
      </x:c>
      <x:c r="N84" s="12" t="str">
        <x:f>IFERROR(VLOOKUP($D84&amp;"|"&amp;$K84,Recommendation_Lookup!$A$2:$H$19,4,FALSE),"")</x:f>
        <x:v>Maintain maximal force with low-volume strength exposure while shifting selected work toward power and sport-specific application. Monitor asymmetry and fatigue.</x:v>
      </x:c>
      <x:c r="O84" s="12" t="str">
        <x:f>IFERROR(VLOOKUP($D84&amp;"|"&amp;$K84,Recommendation_Lookup!$A$2:$H$19,5,FALSE),"")</x:f>
        <x:v>RVX Advanced Strength-Power</x:v>
      </x:c>
      <x:c r="P84" s="12" t="str">
        <x:f>IFERROR(VLOOKUP($D84&amp;"|"&amp;$K84,Recommendation_Lookup!$A$2:$H$19,6,FALSE),"")</x:f>
        <x:v>RVX Force Maintenance Microdose</x:v>
      </x:c>
      <x:c r="Q84" s="12" t="str">
        <x:f>IFERROR(VLOOKUP($D84&amp;"|"&amp;$K84,Recommendation_Lookup!$A$2:$H$19,7,FALSE),"")</x:f>
        <x:v>Produce high force without losing position or movement speed.</x:v>
      </x:c>
      <x:c r="R84" s="12" t="str">
        <x:f>IFERROR(VLOOKUP($D84&amp;"|"&amp;$K84,Recommendation_Lookup!$A$2:$H$19,8,FALSE),"")</x:f>
        <x:v>Retest every 6–8 weeks or following a strength-power phase.</x:v>
      </x:c>
      <x:c r="S84" s="12"/>
      <x:c r="T84" s="12"/>
      <x:c r="U84" s="12"/>
      <x:c r="V84" s="12"/>
      <x:c r="W84" s="12" t="str">
        <x:f>IF($S84&lt;&gt;"",$S84,$K84)</x:f>
        <x:v>Above Norm</x:v>
      </x:c>
      <x:c r="X84" s="12" t="str">
        <x:f>IF($T84&lt;&gt;"",$T84,$L84)</x:f>
        <x:v>Maintain maximal force qualities</x:v>
      </x:c>
      <x:c r="Y84" s="12" t="str">
        <x:f>IF($U84&lt;&gt;"",$U84,$N84)</x:f>
        <x:v>Maintain maximal force with low-volume strength exposure while shifting selected work toward power and sport-specific application. Monitor asymmetry and fatigue.</x:v>
      </x:c>
      <x:c r="Z84" s="12" t="str">
        <x:f>IF($V84&lt;&gt;"",$V84,$O84)</x:f>
        <x:v>RVX Advanced Strength-Power</x:v>
      </x:c>
      <x:c r="AA84" s="12"/>
    </x:row>
    <x:row r="85">
      <x:c r="A85" s="12" t="str">
        <x:v>RVX-00014</x:v>
      </x:c>
      <x:c r="B85" s="12" t="str">
        <x:f>IFERROR(VLOOKUP($A85,Athlete_Profile!$A$2:$L$51,6,FALSE),"")</x:f>
        <x:v>Hockey</x:v>
      </x:c>
      <x:c r="C85" s="12" t="str">
        <x:f>IFERROR(VLOOKUP($A85,Athlete_Profile!$A$2:$L$51,5,FALSE),"")</x:f>
        <x:v>Male</x:v>
      </x:c>
      <x:c r="D85" s="12" t="str">
        <x:v>impulse</x:v>
      </x:c>
      <x:c r="E85" s="12" t="str">
        <x:f>IFERROR(VLOOKUP($D85,Dropdown_Lists!$K$2:$N$7,2,FALSE),"")</x:f>
        <x:v>Impulse-Momentum</x:v>
      </x:c>
      <x:c r="F85" s="12" t="str">
        <x:f>IFERROR(VLOOKUP($D85,Dropdown_Lists!$K$2:$N$7,3,FALSE),"")</x:f>
        <x:v>higher</x:v>
      </x:c>
      <x:c r="G85" s="17" t="n">
        <x:f>IFERROR(LOOKUP(2,1/((Performance_Metrics!$A$2:$A$3000=$A85)*(Performance_Metrics!$D$2:$D$3000=$D85)),Performance_Metrics!$C$2:$C$3000),"")</x:f>
        <x:v>46230</x:v>
      </x:c>
      <x:c r="H85" s="12" t="n">
        <x:f>IFERROR(LOOKUP(2,1/((Performance_Metrics!$A$2:$A$3000=$A85)*(Performance_Metrics!$D$2:$D$3000=$D85)),Performance_Metrics!$G$2:$G$3000),"")</x:f>
        <x:v>250.1</x:v>
      </x:c>
      <x:c r="I85" s="12" t="n">
        <x:f>IFERROR(SUMIFS(Normative_Data!$G$2:$G$1000,Normative_Data!$A$2:$A$1000,$B85,Normative_Data!$B$2:$B$1000,$C85,Normative_Data!$E$2:$E$1000,$D85),"")</x:f>
        <x:v>236.5</x:v>
      </x:c>
      <x:c r="J85" s="18" t="n">
        <x:f>IF(OR($H85="",$I85=""),"",($H85-$I85)/$I85)</x:f>
        <x:v>0.05750528541226213</x:v>
      </x:c>
      <x:c r="K85" s="12" t="str">
        <x:f>IF(OR($H85="",$I85="",$F85=""),"",IF(ABS($J85)&lt;=0.05,"Equal to Norm",IF($F85="lower",IF($H85&lt;$I85,"Above Norm","Below Norm"),IF($H85&gt;$I85,"Above Norm","Below Norm"))))</x:f>
        <x:v>Above Norm</x:v>
      </x:c>
      <x:c r="L85" s="12" t="str">
        <x:f>IFERROR(VLOOKUP($D85&amp;"|"&amp;$K85,Recommendation_Lookup!$A$2:$H$19,2,FALSE),"")</x:f>
        <x:v>Maintain total force-time output</x:v>
      </x:c>
      <x:c r="M85" s="12" t="str">
        <x:f>IFERROR(VLOOKUP($D85&amp;"|"&amp;$K85,Recommendation_Lookup!$A$2:$H$19,3,FALSE),"")</x:f>
        <x:v>Rate of force development; movement time; power transfer; fatigue resistance</x:v>
      </x:c>
      <x:c r="N85" s="12" t="str">
        <x:f>IFERROR(VLOOKUP($D85&amp;"|"&amp;$K85,Recommendation_Lookup!$A$2:$H$19,4,FALSE),"")</x:f>
        <x:v>Maintain impulse with strength-power microdosing and varied jump or sprint exposures. Ensure high impulse is achieved efficiently rather than through excessive movement time.</x:v>
      </x:c>
      <x:c r="O85" s="12" t="str">
        <x:f>IFERROR(VLOOKUP($D85&amp;"|"&amp;$K85,Recommendation_Lookup!$A$2:$H$19,5,FALSE),"")</x:f>
        <x:v>RVX Advanced Power Development</x:v>
      </x:c>
      <x:c r="P85" s="12" t="str">
        <x:f>IFERROR(VLOOKUP($D85&amp;"|"&amp;$K85,Recommendation_Lookup!$A$2:$H$19,6,FALSE),"")</x:f>
        <x:v>RVX Elastic Power Microdose</x:v>
      </x:c>
      <x:c r="Q85" s="12" t="str">
        <x:f>IFERROR(VLOOKUP($D85&amp;"|"&amp;$K85,Recommendation_Lookup!$A$2:$H$19,7,FALSE),"")</x:f>
        <x:v>Build force quickly and keep applying it through the full movement.</x:v>
      </x:c>
      <x:c r="R85" s="12" t="str">
        <x:f>IFERROR(VLOOKUP($D85&amp;"|"&amp;$K85,Recommendation_Lookup!$A$2:$H$19,8,FALSE),"")</x:f>
        <x:v>Retest every 6–8 weeks while reviewing contraction time and jump outcome.</x:v>
      </x:c>
      <x:c r="S85" s="12"/>
      <x:c r="T85" s="12"/>
      <x:c r="U85" s="12"/>
      <x:c r="V85" s="12"/>
      <x:c r="W85" s="12" t="str">
        <x:f>IF($S85&lt;&gt;"",$S85,$K85)</x:f>
        <x:v>Above Norm</x:v>
      </x:c>
      <x:c r="X85" s="12" t="str">
        <x:f>IF($T85&lt;&gt;"",$T85,$L85)</x:f>
        <x:v>Maintain total force-time output</x:v>
      </x:c>
      <x:c r="Y85" s="12" t="str">
        <x:f>IF($U85&lt;&gt;"",$U85,$N85)</x:f>
        <x:v>Maintain impulse with strength-power microdosing and varied jump or sprint exposures. Ensure high impulse is achieved efficiently rather than through excessive movement time.</x:v>
      </x:c>
      <x:c r="Z85" s="12" t="str">
        <x:f>IF($V85&lt;&gt;"",$V85,$O85)</x:f>
        <x:v>RVX Advanced Power Development</x:v>
      </x:c>
      <x:c r="AA85" s="12"/>
    </x:row>
    <x:row r="86">
      <x:c r="A86" s="12" t="str">
        <x:v>RVX-00015</x:v>
      </x:c>
      <x:c r="B86" s="12" t="str">
        <x:f>IFERROR(VLOOKUP($A86,Athlete_Profile!$A$2:$L$51,6,FALSE),"")</x:f>
        <x:v>Hockey</x:v>
      </x:c>
      <x:c r="C86" s="12" t="str">
        <x:f>IFERROR(VLOOKUP($A86,Athlete_Profile!$A$2:$L$51,5,FALSE),"")</x:f>
        <x:v>Female</x:v>
      </x:c>
      <x:c r="D86" s="12" t="str">
        <x:v>sprint_5m</x:v>
      </x:c>
      <x:c r="E86" s="12" t="str">
        <x:f>IFERROR(VLOOKUP($D86,Dropdown_Lists!$K$2:$N$7,2,FALSE),"")</x:f>
        <x:v>5m Sprint</x:v>
      </x:c>
      <x:c r="F86" s="12" t="str">
        <x:f>IFERROR(VLOOKUP($D86,Dropdown_Lists!$K$2:$N$7,3,FALSE),"")</x:f>
        <x:v>lower</x:v>
      </x:c>
      <x:c r="G86" s="17" t="n">
        <x:f>IFERROR(LOOKUP(2,1/((Performance_Metrics!$A$2:$A$3000=$A86)*(Performance_Metrics!$D$2:$D$3000=$D86)),Performance_Metrics!$C$2:$C$3000),"")</x:f>
        <x:v>46230</x:v>
      </x:c>
      <x:c r="H86" s="12" t="n">
        <x:f>IFERROR(LOOKUP(2,1/((Performance_Metrics!$A$2:$A$3000=$A86)*(Performance_Metrics!$D$2:$D$3000=$D86)),Performance_Metrics!$G$2:$G$3000),"")</x:f>
        <x:v>1.2</x:v>
      </x:c>
      <x:c r="I86" s="12" t="n">
        <x:f>IFERROR(SUMIFS(Normative_Data!$G$2:$G$1000,Normative_Data!$A$2:$A$1000,$B86,Normative_Data!$B$2:$B$1000,$C86,Normative_Data!$E$2:$E$1000,$D86),"")</x:f>
        <x:v>1.12</x:v>
      </x:c>
      <x:c r="J86" s="18" t="n">
        <x:f>IF(OR($H86="",$I86=""),"",($H86-$I86)/$I86)</x:f>
        <x:v>0.07142857142857129</x:v>
      </x:c>
      <x:c r="K86" s="12" t="str">
        <x:f>IF(OR($H86="",$I86="",$F86=""),"",IF(ABS($J86)&lt;=0.05,"Equal to Norm",IF($F86="lower",IF($H86&lt;$I86,"Above Norm","Below Norm"),IF($H86&gt;$I86,"Above Norm","Below Norm"))))</x:f>
        <x:v>Below Norm</x:v>
      </x:c>
      <x:c r="L86" s="12" t="str">
        <x:f>IFERROR(VLOOKUP($D86&amp;"|"&amp;$K86,Recommendation_Lookup!$A$2:$H$19,2,FALSE),"")</x:f>
        <x:v>Develop first-step acceleration</x:v>
      </x:c>
      <x:c r="M86" s="12" t="str">
        <x:f>IFERROR(VLOOKUP($D86&amp;"|"&amp;$K86,Recommendation_Lookup!$A$2:$H$19,3,FALSE),"")</x:f>
        <x:v>Relative strength; horizontal force; start mechanics; stiffness; coordination</x:v>
      </x:c>
      <x:c r="N86" s="12" t="str">
        <x:f>IFERROR(VLOOKUP($D86&amp;"|"&amp;$K86,Recommendation_Lookup!$A$2:$H$19,4,FALSE),"")</x:f>
        <x:v>Prioritize acceleration fundamentals and lower-body force capacity. Use resisted marches, wall drills, short sled accelerations and controlled 5 m sprint exposures.</x:v>
      </x:c>
      <x:c r="O86" s="12" t="str">
        <x:f>IFERROR(VLOOKUP($D86&amp;"|"&amp;$K86,Recommendation_Lookup!$A$2:$H$19,5,FALSE),"")</x:f>
        <x:v>RVX Acceleration Foundations</x:v>
      </x:c>
      <x:c r="P86" s="12" t="str">
        <x:f>IFERROR(VLOOKUP($D86&amp;"|"&amp;$K86,Recommendation_Lookup!$A$2:$H$19,6,FALSE),"")</x:f>
        <x:v>RVX Lower-Body Strength Foundations</x:v>
      </x:c>
      <x:c r="Q86" s="12" t="str">
        <x:f>IFERROR(VLOOKUP($D86&amp;"|"&amp;$K86,Recommendation_Lookup!$A$2:$H$19,7,FALSE),"")</x:f>
        <x:v>Create a strong angle, drive through the ground, and accelerate with intent.</x:v>
      </x:c>
      <x:c r="R86" s="12" t="str">
        <x:f>IFERROR(VLOOKUP($D86&amp;"|"&amp;$K86,Recommendation_Lookup!$A$2:$H$19,8,FALSE),"")</x:f>
        <x:v>Retest after 4 weeks; review technique video before increasing sprint volume.</x:v>
      </x:c>
      <x:c r="S86" s="12"/>
      <x:c r="T86" s="12"/>
      <x:c r="U86" s="12"/>
      <x:c r="V86" s="12"/>
      <x:c r="W86" s="12" t="str">
        <x:f>IF($S86&lt;&gt;"",$S86,$K86)</x:f>
        <x:v>Below Norm</x:v>
      </x:c>
      <x:c r="X86" s="12" t="str">
        <x:f>IF($T86&lt;&gt;"",$T86,$L86)</x:f>
        <x:v>Develop first-step acceleration</x:v>
      </x:c>
      <x:c r="Y86" s="12" t="str">
        <x:f>IF($U86&lt;&gt;"",$U86,$N86)</x:f>
        <x:v>Prioritize acceleration fundamentals and lower-body force capacity. Use resisted marches, wall drills, short sled accelerations and controlled 5 m sprint exposures.</x:v>
      </x:c>
      <x:c r="Z86" s="12" t="str">
        <x:f>IF($V86&lt;&gt;"",$V86,$O86)</x:f>
        <x:v>RVX Acceleration Foundations</x:v>
      </x:c>
      <x:c r="AA86" s="12"/>
    </x:row>
    <x:row r="87">
      <x:c r="A87" s="12" t="str">
        <x:v>RVX-00015</x:v>
      </x:c>
      <x:c r="B87" s="12" t="str">
        <x:f>IFERROR(VLOOKUP($A87,Athlete_Profile!$A$2:$L$51,6,FALSE),"")</x:f>
        <x:v>Hockey</x:v>
      </x:c>
      <x:c r="C87" s="12" t="str">
        <x:f>IFERROR(VLOOKUP($A87,Athlete_Profile!$A$2:$L$51,5,FALSE),"")</x:f>
        <x:v>Female</x:v>
      </x:c>
      <x:c r="D87" s="12" t="str">
        <x:v>sprint_10m</x:v>
      </x:c>
      <x:c r="E87" s="12" t="str">
        <x:f>IFERROR(VLOOKUP($D87,Dropdown_Lists!$K$2:$N$7,2,FALSE),"")</x:f>
        <x:v>10m Sprint</x:v>
      </x:c>
      <x:c r="F87" s="12" t="str">
        <x:f>IFERROR(VLOOKUP($D87,Dropdown_Lists!$K$2:$N$7,3,FALSE),"")</x:f>
        <x:v>lower</x:v>
      </x:c>
      <x:c r="G87" s="17" t="n">
        <x:f>IFERROR(LOOKUP(2,1/((Performance_Metrics!$A$2:$A$3000=$A87)*(Performance_Metrics!$D$2:$D$3000=$D87)),Performance_Metrics!$C$2:$C$3000),"")</x:f>
        <x:v>46230</x:v>
      </x:c>
      <x:c r="H87" s="12" t="n">
        <x:f>IFERROR(LOOKUP(2,1/((Performance_Metrics!$A$2:$A$3000=$A87)*(Performance_Metrics!$D$2:$D$3000=$D87)),Performance_Metrics!$G$2:$G$3000),"")</x:f>
        <x:v>1.99</x:v>
      </x:c>
      <x:c r="I87" s="12" t="n">
        <x:f>IFERROR(SUMIFS(Normative_Data!$G$2:$G$1000,Normative_Data!$A$2:$A$1000,$B87,Normative_Data!$B$2:$B$1000,$C87,Normative_Data!$E$2:$E$1000,$D87),"")</x:f>
        <x:v>1.88</x:v>
      </x:c>
      <x:c r="J87" s="18" t="n">
        <x:f>IF(OR($H87="",$I87=""),"",($H87-$I87)/$I87)</x:f>
        <x:v>0.0585106382978724</x:v>
      </x:c>
      <x:c r="K87" s="12" t="str">
        <x:f>IF(OR($H87="",$I87="",$F87=""),"",IF(ABS($J87)&lt;=0.05,"Equal to Norm",IF($F87="lower",IF($H87&lt;$I87,"Above Norm","Below Norm"),IF($H87&gt;$I87,"Above Norm","Below Norm"))))</x:f>
        <x:v>Below Norm</x:v>
      </x:c>
      <x:c r="L87" s="12" t="str">
        <x:f>IFERROR(VLOOKUP($D87&amp;"|"&amp;$K87,Recommendation_Lookup!$A$2:$H$19,2,FALSE),"")</x:f>
        <x:v>Develop 0–10 m speed</x:v>
      </x:c>
      <x:c r="M87" s="12" t="str">
        <x:f>IFERROR(VLOOKUP($D87&amp;"|"&amp;$K87,Recommendation_Lookup!$A$2:$H$19,3,FALSE),"")</x:f>
        <x:v>Relative strength; first-step mechanics; force application; acceleration endurance</x:v>
      </x:c>
      <x:c r="N87" s="12" t="str">
        <x:f>IFERROR(VLOOKUP($D87&amp;"|"&amp;$K87,Recommendation_Lookup!$A$2:$H$19,4,FALSE),"")</x:f>
        <x:v>Use a foundational acceleration block paired with strength development. Limit sprint distances initially and improve the quality of each step before adding volume.</x:v>
      </x:c>
      <x:c r="O87" s="12" t="str">
        <x:f>IFERROR(VLOOKUP($D87&amp;"|"&amp;$K87,Recommendation_Lookup!$A$2:$H$19,5,FALSE),"")</x:f>
        <x:v>RVX Acceleration Foundations</x:v>
      </x:c>
      <x:c r="P87" s="12" t="str">
        <x:f>IFERROR(VLOOKUP($D87&amp;"|"&amp;$K87,Recommendation_Lookup!$A$2:$H$19,6,FALSE),"")</x:f>
        <x:v>RVX Relative Strength Builder</x:v>
      </x:c>
      <x:c r="Q87" s="12" t="str">
        <x:f>IFERROR(VLOOKUP($D87&amp;"|"&amp;$K87,Recommendation_Lookup!$A$2:$H$19,7,FALSE),"")</x:f>
        <x:v>Push longer, maintain posture and create force in the correct direction.</x:v>
      </x:c>
      <x:c r="R87" s="12" t="str">
        <x:f>IFERROR(VLOOKUP($D87&amp;"|"&amp;$K87,Recommendation_Lookup!$A$2:$H$19,8,FALSE),"")</x:f>
        <x:v>Retest in 4 weeks and compare 5 m versus 10 m split changes.</x:v>
      </x:c>
      <x:c r="S87" s="12"/>
      <x:c r="T87" s="12"/>
      <x:c r="U87" s="12"/>
      <x:c r="V87" s="12"/>
      <x:c r="W87" s="12" t="str">
        <x:f>IF($S87&lt;&gt;"",$S87,$K87)</x:f>
        <x:v>Below Norm</x:v>
      </x:c>
      <x:c r="X87" s="12" t="str">
        <x:f>IF($T87&lt;&gt;"",$T87,$L87)</x:f>
        <x:v>Develop 0–10 m speed</x:v>
      </x:c>
      <x:c r="Y87" s="12" t="str">
        <x:f>IF($U87&lt;&gt;"",$U87,$N87)</x:f>
        <x:v>Use a foundational acceleration block paired with strength development. Limit sprint distances initially and improve the quality of each step before adding volume.</x:v>
      </x:c>
      <x:c r="Z87" s="12" t="str">
        <x:f>IF($V87&lt;&gt;"",$V87,$O87)</x:f>
        <x:v>RVX Acceleration Foundations</x:v>
      </x:c>
      <x:c r="AA87" s="12"/>
    </x:row>
    <x:row r="88">
      <x:c r="A88" s="12" t="str">
        <x:v>RVX-00015</x:v>
      </x:c>
      <x:c r="B88" s="12" t="str">
        <x:f>IFERROR(VLOOKUP($A88,Athlete_Profile!$A$2:$L$51,6,FALSE),"")</x:f>
        <x:v>Hockey</x:v>
      </x:c>
      <x:c r="C88" s="12" t="str">
        <x:f>IFERROR(VLOOKUP($A88,Athlete_Profile!$A$2:$L$51,5,FALSE),"")</x:f>
        <x:v>Female</x:v>
      </x:c>
      <x:c r="D88" s="12" t="str">
        <x:v>pro_agility</x:v>
      </x:c>
      <x:c r="E88" s="12" t="str">
        <x:f>IFERROR(VLOOKUP($D88,Dropdown_Lists!$K$2:$N$7,2,FALSE),"")</x:f>
        <x:v>5-10-5 Pro Agility</x:v>
      </x:c>
      <x:c r="F88" s="12" t="str">
        <x:f>IFERROR(VLOOKUP($D88,Dropdown_Lists!$K$2:$N$7,3,FALSE),"")</x:f>
        <x:v>lower</x:v>
      </x:c>
      <x:c r="G88" s="17" t="n">
        <x:f>IFERROR(LOOKUP(2,1/((Performance_Metrics!$A$2:$A$3000=$A88)*(Performance_Metrics!$D$2:$D$3000=$D88)),Performance_Metrics!$C$2:$C$3000),"")</x:f>
        <x:v>46230</x:v>
      </x:c>
      <x:c r="H88" s="12" t="n">
        <x:f>IFERROR(LOOKUP(2,1/((Performance_Metrics!$A$2:$A$3000=$A88)*(Performance_Metrics!$D$2:$D$3000=$D88)),Performance_Metrics!$G$2:$G$3000),"")</x:f>
        <x:v>4.97</x:v>
      </x:c>
      <x:c r="I88" s="12" t="n">
        <x:f>IFERROR(SUMIFS(Normative_Data!$G$2:$G$1000,Normative_Data!$A$2:$A$1000,$B88,Normative_Data!$B$2:$B$1000,$C88,Normative_Data!$E$2:$E$1000,$D88),"")</x:f>
        <x:v>4.82</x:v>
      </x:c>
      <x:c r="J88" s="18" t="n">
        <x:f>IF(OR($H88="",$I88=""),"",($H88-$I88)/$I88)</x:f>
        <x:v>0.031120331950207355</x:v>
      </x:c>
      <x:c r="K88" s="12" t="str">
        <x:f>IF(OR($H88="",$I88="",$F88=""),"",IF(ABS($J88)&lt;=0.05,"Equal to Norm",IF($F88="lower",IF($H88&lt;$I88,"Above Norm","Below Norm"),IF($H88&gt;$I88,"Above Norm","Below Norm"))))</x:f>
        <x:v>Equal to Norm</x:v>
      </x:c>
      <x:c r="L88" s="12" t="str">
        <x:f>IFERROR(VLOOKUP($D88&amp;"|"&amp;$K88,Recommendation_Lookup!$A$2:$H$19,2,FALSE),"")</x:f>
        <x:v>Improve braking and re-acceleration</x:v>
      </x:c>
      <x:c r="M88" s="12" t="str">
        <x:f>IFERROR(VLOOKUP($D88&amp;"|"&amp;$K88,Recommendation_Lookup!$A$2:$H$19,3,FALSE),"")</x:f>
        <x:v>Deceleration mechanics; foot placement; hip position; crossover efficiency</x:v>
      </x:c>
      <x:c r="N88" s="12" t="str">
        <x:f>IFERROR(VLOOKUP($D88&amp;"|"&amp;$K88,Recommendation_Lookup!$A$2:$H$19,4,FALSE),"")</x:f>
        <x:v>Use a structured change-of-direction block emphasizing braking positions, plant-foot control and efficient re-acceleration on both sides.</x:v>
      </x:c>
      <x:c r="O88" s="12" t="str">
        <x:f>IFERROR(VLOOKUP($D88&amp;"|"&amp;$K88,Recommendation_Lookup!$A$2:$H$19,5,FALSE),"")</x:f>
        <x:v>RVX Change of Direction Development</x:v>
      </x:c>
      <x:c r="P88" s="12" t="str">
        <x:f>IFERROR(VLOOKUP($D88&amp;"|"&amp;$K88,Recommendation_Lookup!$A$2:$H$19,6,FALSE),"")</x:f>
        <x:v>RVX Deceleration Mechanics</x:v>
      </x:c>
      <x:c r="Q88" s="12" t="str">
        <x:f>IFERROR(VLOOKUP($D88&amp;"|"&amp;$K88,Recommendation_Lookup!$A$2:$H$19,7,FALSE),"")</x:f>
        <x:v>Lower the centre of mass before the turn and push away from the plant.</x:v>
      </x:c>
      <x:c r="R88" s="12" t="str">
        <x:f>IFERROR(VLOOKUP($D88&amp;"|"&amp;$K88,Recommendation_Lookup!$A$2:$H$19,8,FALSE),"")</x:f>
        <x:v>Retest after 4–6 weeks and review directional splits if available.</x:v>
      </x:c>
      <x:c r="S88" s="12"/>
      <x:c r="T88" s="12"/>
      <x:c r="U88" s="12"/>
      <x:c r="V88" s="12"/>
      <x:c r="W88" s="12" t="str">
        <x:f>IF($S88&lt;&gt;"",$S88,$K88)</x:f>
        <x:v>Equal to Norm</x:v>
      </x:c>
      <x:c r="X88" s="12" t="str">
        <x:f>IF($T88&lt;&gt;"",$T88,$L88)</x:f>
        <x:v>Improve braking and re-acceleration</x:v>
      </x:c>
      <x:c r="Y88" s="12" t="str">
        <x:f>IF($U88&lt;&gt;"",$U88,$N88)</x:f>
        <x:v>Use a structured change-of-direction block emphasizing braking positions, plant-foot control and efficient re-acceleration on both sides.</x:v>
      </x:c>
      <x:c r="Z88" s="12" t="str">
        <x:f>IF($V88&lt;&gt;"",$V88,$O88)</x:f>
        <x:v>RVX Change of Direction Development</x:v>
      </x:c>
      <x:c r="AA88" s="12"/>
    </x:row>
    <x:row r="89">
      <x:c r="A89" s="12" t="str">
        <x:v>RVX-00015</x:v>
      </x:c>
      <x:c r="B89" s="12" t="str">
        <x:f>IFERROR(VLOOKUP($A89,Athlete_Profile!$A$2:$L$51,6,FALSE),"")</x:f>
        <x:v>Hockey</x:v>
      </x:c>
      <x:c r="C89" s="12" t="str">
        <x:f>IFERROR(VLOOKUP($A89,Athlete_Profile!$A$2:$L$51,5,FALSE),"")</x:f>
        <x:v>Female</x:v>
      </x:c>
      <x:c r="D89" s="12" t="str">
        <x:v>cmj_depth</x:v>
      </x:c>
      <x:c r="E89" s="12" t="str">
        <x:f>IFERROR(VLOOKUP($D89,Dropdown_Lists!$K$2:$N$7,2,FALSE),"")</x:f>
        <x:v>Countermovement Depth</x:v>
      </x:c>
      <x:c r="F89" s="12" t="str">
        <x:f>IFERROR(VLOOKUP($D89,Dropdown_Lists!$K$2:$N$7,3,FALSE),"")</x:f>
        <x:v>higher</x:v>
      </x:c>
      <x:c r="G89" s="17" t="n">
        <x:f>IFERROR(LOOKUP(2,1/((Performance_Metrics!$A$2:$A$3000=$A89)*(Performance_Metrics!$D$2:$D$3000=$D89)),Performance_Metrics!$C$2:$C$3000),"")</x:f>
        <x:v>46230</x:v>
      </x:c>
      <x:c r="H89" s="12" t="n">
        <x:f>IFERROR(LOOKUP(2,1/((Performance_Metrics!$A$2:$A$3000=$A89)*(Performance_Metrics!$D$2:$D$3000=$D89)),Performance_Metrics!$G$2:$G$3000),"")</x:f>
        <x:v>28.4</x:v>
      </x:c>
      <x:c r="I89" s="12" t="n">
        <x:f>IFERROR(SUMIFS(Normative_Data!$G$2:$G$1000,Normative_Data!$A$2:$A$1000,$B89,Normative_Data!$B$2:$B$1000,$C89,Normative_Data!$E$2:$E$1000,$D89),"")</x:f>
        <x:v>30</x:v>
      </x:c>
      <x:c r="J89" s="18" t="n">
        <x:f>IF(OR($H89="",$I89=""),"",($H89-$I89)/$I89)</x:f>
        <x:v>-0.05333333333333338</x:v>
      </x:c>
      <x:c r="K89" s="12" t="str">
        <x:f>IF(OR($H89="",$I89="",$F89=""),"",IF(ABS($J89)&lt;=0.05,"Equal to Norm",IF($F89="lower",IF($H89&lt;$I89,"Above Norm","Below Norm"),IF($H89&gt;$I89,"Above Norm","Below Norm"))))</x:f>
        <x:v>Below Norm</x:v>
      </x:c>
      <x:c r="L89" s="12" t="str">
        <x:f>IFERROR(VLOOKUP($D89&amp;"|"&amp;$K89,Recommendation_Lookup!$A$2:$H$19,2,FALSE),"")</x:f>
        <x:v>Develop usable countermovement range</x:v>
      </x:c>
      <x:c r="M89" s="12" t="str">
        <x:f>IFERROR(VLOOKUP($D89&amp;"|"&amp;$K89,Recommendation_Lookup!$A$2:$H$19,3,FALSE),"")</x:f>
        <x:v>Ankle mobility; hip mobility; eccentric strength; confidence; coordination</x:v>
      </x:c>
      <x:c r="N89" s="12" t="str">
        <x:f>IFERROR(VLOOKUP($D89&amp;"|"&amp;$K89,Recommendation_Lookup!$A$2:$H$19,4,FALSE),"")</x:f>
        <x:v>Improve controlled eccentric range and movement confidence. Use tempo squats, snap-downs and progressive countermovement jump practice without forcing artificial depth.</x:v>
      </x:c>
      <x:c r="O89" s="12" t="str">
        <x:f>IFERROR(VLOOKUP($D89&amp;"|"&amp;$K89,Recommendation_Lookup!$A$2:$H$19,5,FALSE),"")</x:f>
        <x:v>RVX Jump Foundations</x:v>
      </x:c>
      <x:c r="P89" s="12" t="str">
        <x:f>IFERROR(VLOOKUP($D89&amp;"|"&amp;$K89,Recommendation_Lookup!$A$2:$H$19,6,FALSE),"")</x:f>
        <x:v>RVX Mobility and Eccentric Control</x:v>
      </x:c>
      <x:c r="Q89" s="12" t="str">
        <x:f>IFERROR(VLOOKUP($D89&amp;"|"&amp;$K89,Recommendation_Lookup!$A$2:$H$19,7,FALSE),"")</x:f>
        <x:v>Create controlled depth first; speed up the reversal only when position is stable.</x:v>
      </x:c>
      <x:c r="R89" s="12" t="str">
        <x:f>IFERROR(VLOOKUP($D89&amp;"|"&amp;$K89,Recommendation_Lookup!$A$2:$H$19,8,FALSE),"")</x:f>
        <x:v>Retest after 4 weeks; confirm low depth is not an athlete-specific efficient strategy.</x:v>
      </x:c>
      <x:c r="S89" s="12"/>
      <x:c r="T89" s="12"/>
      <x:c r="U89" s="12"/>
      <x:c r="V89" s="12"/>
      <x:c r="W89" s="12" t="str">
        <x:f>IF($S89&lt;&gt;"",$S89,$K89)</x:f>
        <x:v>Below Norm</x:v>
      </x:c>
      <x:c r="X89" s="12" t="str">
        <x:f>IF($T89&lt;&gt;"",$T89,$L89)</x:f>
        <x:v>Develop usable countermovement range</x:v>
      </x:c>
      <x:c r="Y89" s="12" t="str">
        <x:f>IF($U89&lt;&gt;"",$U89,$N89)</x:f>
        <x:v>Improve controlled eccentric range and movement confidence. Use tempo squats, snap-downs and progressive countermovement jump practice without forcing artificial depth.</x:v>
      </x:c>
      <x:c r="Z89" s="12" t="str">
        <x:f>IF($V89&lt;&gt;"",$V89,$O89)</x:f>
        <x:v>RVX Jump Foundations</x:v>
      </x:c>
      <x:c r="AA89" s="12"/>
    </x:row>
    <x:row r="90">
      <x:c r="A90" s="12" t="str">
        <x:v>RVX-00015</x:v>
      </x:c>
      <x:c r="B90" s="12" t="str">
        <x:f>IFERROR(VLOOKUP($A90,Athlete_Profile!$A$2:$L$51,6,FALSE),"")</x:f>
        <x:v>Hockey</x:v>
      </x:c>
      <x:c r="C90" s="12" t="str">
        <x:f>IFERROR(VLOOKUP($A90,Athlete_Profile!$A$2:$L$51,5,FALSE),"")</x:f>
        <x:v>Female</x:v>
      </x:c>
      <x:c r="D90" s="12" t="str">
        <x:v>peak_force</x:v>
      </x:c>
      <x:c r="E90" s="12" t="str">
        <x:f>IFERROR(VLOOKUP($D90,Dropdown_Lists!$K$2:$N$7,2,FALSE),"")</x:f>
        <x:v>Peak Force</x:v>
      </x:c>
      <x:c r="F90" s="12" t="str">
        <x:f>IFERROR(VLOOKUP($D90,Dropdown_Lists!$K$2:$N$7,3,FALSE),"")</x:f>
        <x:v>higher</x:v>
      </x:c>
      <x:c r="G90" s="17" t="n">
        <x:f>IFERROR(LOOKUP(2,1/((Performance_Metrics!$A$2:$A$3000=$A90)*(Performance_Metrics!$D$2:$D$3000=$D90)),Performance_Metrics!$C$2:$C$3000),"")</x:f>
        <x:v>46230</x:v>
      </x:c>
      <x:c r="H90" s="12" t="n">
        <x:f>IFERROR(LOOKUP(2,1/((Performance_Metrics!$A$2:$A$3000=$A90)*(Performance_Metrics!$D$2:$D$3000=$D90)),Performance_Metrics!$G$2:$G$3000),"")</x:f>
        <x:v>1692</x:v>
      </x:c>
      <x:c r="I90" s="12" t="n">
        <x:f>IFERROR(SUMIFS(Normative_Data!$G$2:$G$1000,Normative_Data!$A$2:$A$1000,$B90,Normative_Data!$B$2:$B$1000,$C90,Normative_Data!$E$2:$E$1000,$D90),"")</x:f>
        <x:v>1750</x:v>
      </x:c>
      <x:c r="J90" s="18" t="n">
        <x:f>IF(OR($H90="",$I90=""),"",($H90-$I90)/$I90)</x:f>
        <x:v>-0.03314285714285714</x:v>
      </x:c>
      <x:c r="K90" s="12" t="str">
        <x:f>IF(OR($H90="",$I90="",$F90=""),"",IF(ABS($J90)&lt;=0.05,"Equal to Norm",IF($F90="lower",IF($H90&lt;$I90,"Above Norm","Below Norm"),IF($H90&gt;$I90,"Above Norm","Below Norm"))))</x:f>
        <x:v>Equal to Norm</x:v>
      </x:c>
      <x:c r="L90" s="12" t="str">
        <x:f>IFERROR(VLOOKUP($D90&amp;"|"&amp;$K90,Recommendation_Lookup!$A$2:$H$19,2,FALSE),"")</x:f>
        <x:v>Increase force capacity</x:v>
      </x:c>
      <x:c r="M90" s="12" t="str">
        <x:f>IFERROR(VLOOKUP($D90&amp;"|"&amp;$K90,Recommendation_Lookup!$A$2:$H$19,3,FALSE),"")</x:f>
        <x:v>Relative strength; bracing; lower-body strength; isometric force</x:v>
      </x:c>
      <x:c r="N90" s="12" t="str">
        <x:f>IFERROR(VLOOKUP($D90&amp;"|"&amp;$K90,Recommendation_Lookup!$A$2:$H$19,4,FALSE),"")</x:f>
        <x:v>Use progressive lower-body strength training with compound lifts, isometrics and unilateral work. Maintain technical quality and appropriate loading progression.</x:v>
      </x:c>
      <x:c r="O90" s="12" t="str">
        <x:f>IFERROR(VLOOKUP($D90&amp;"|"&amp;$K90,Recommendation_Lookup!$A$2:$H$19,5,FALSE),"")</x:f>
        <x:v>RVX Strength Development</x:v>
      </x:c>
      <x:c r="P90" s="12" t="str">
        <x:f>IFERROR(VLOOKUP($D90&amp;"|"&amp;$K90,Recommendation_Lookup!$A$2:$H$19,6,FALSE),"")</x:f>
        <x:v>RVX Isometric Force Builder</x:v>
      </x:c>
      <x:c r="Q90" s="12" t="str">
        <x:f>IFERROR(VLOOKUP($D90&amp;"|"&amp;$K90,Recommendation_Lookup!$A$2:$H$19,7,FALSE),"")</x:f>
        <x:v>Create full-body tension and push through the floor with intent.</x:v>
      </x:c>
      <x:c r="R90" s="12" t="str">
        <x:f>IFERROR(VLOOKUP($D90&amp;"|"&amp;$K90,Recommendation_Lookup!$A$2:$H$19,8,FALSE),"")</x:f>
        <x:v>Retest after 4–6 weeks.</x:v>
      </x:c>
      <x:c r="S90" s="12"/>
      <x:c r="T90" s="12"/>
      <x:c r="U90" s="12"/>
      <x:c r="V90" s="12"/>
      <x:c r="W90" s="12" t="str">
        <x:f>IF($S90&lt;&gt;"",$S90,$K90)</x:f>
        <x:v>Equal to Norm</x:v>
      </x:c>
      <x:c r="X90" s="12" t="str">
        <x:f>IF($T90&lt;&gt;"",$T90,$L90)</x:f>
        <x:v>Increase force capacity</x:v>
      </x:c>
      <x:c r="Y90" s="12" t="str">
        <x:f>IF($U90&lt;&gt;"",$U90,$N90)</x:f>
        <x:v>Use progressive lower-body strength training with compound lifts, isometrics and unilateral work. Maintain technical quality and appropriate loading progression.</x:v>
      </x:c>
      <x:c r="Z90" s="12" t="str">
        <x:f>IF($V90&lt;&gt;"",$V90,$O90)</x:f>
        <x:v>RVX Strength Development</x:v>
      </x:c>
      <x:c r="AA90" s="12"/>
    </x:row>
    <x:row r="91">
      <x:c r="A91" s="12" t="str">
        <x:v>RVX-00015</x:v>
      </x:c>
      <x:c r="B91" s="12" t="str">
        <x:f>IFERROR(VLOOKUP($A91,Athlete_Profile!$A$2:$L$51,6,FALSE),"")</x:f>
        <x:v>Hockey</x:v>
      </x:c>
      <x:c r="C91" s="12" t="str">
        <x:f>IFERROR(VLOOKUP($A91,Athlete_Profile!$A$2:$L$51,5,FALSE),"")</x:f>
        <x:v>Female</x:v>
      </x:c>
      <x:c r="D91" s="12" t="str">
        <x:v>impulse</x:v>
      </x:c>
      <x:c r="E91" s="12" t="str">
        <x:f>IFERROR(VLOOKUP($D91,Dropdown_Lists!$K$2:$N$7,2,FALSE),"")</x:f>
        <x:v>Impulse-Momentum</x:v>
      </x:c>
      <x:c r="F91" s="12" t="str">
        <x:f>IFERROR(VLOOKUP($D91,Dropdown_Lists!$K$2:$N$7,3,FALSE),"")</x:f>
        <x:v>higher</x:v>
      </x:c>
      <x:c r="G91" s="17" t="n">
        <x:f>IFERROR(LOOKUP(2,1/((Performance_Metrics!$A$2:$A$3000=$A91)*(Performance_Metrics!$D$2:$D$3000=$D91)),Performance_Metrics!$C$2:$C$3000),"")</x:f>
        <x:v>46230</x:v>
      </x:c>
      <x:c r="H91" s="12" t="n">
        <x:f>IFERROR(LOOKUP(2,1/((Performance_Metrics!$A$2:$A$3000=$A91)*(Performance_Metrics!$D$2:$D$3000=$D91)),Performance_Metrics!$G$2:$G$3000),"")</x:f>
        <x:v>206.2</x:v>
      </x:c>
      <x:c r="I91" s="12" t="n">
        <x:f>IFERROR(SUMIFS(Normative_Data!$G$2:$G$1000,Normative_Data!$A$2:$A$1000,$B91,Normative_Data!$B$2:$B$1000,$C91,Normative_Data!$E$2:$E$1000,$D91),"")</x:f>
        <x:v>215</x:v>
      </x:c>
      <x:c r="J91" s="18" t="n">
        <x:f>IF(OR($H91="",$I91=""),"",($H91-$I91)/$I91)</x:f>
        <x:v>-0.04093023255813959</x:v>
      </x:c>
      <x:c r="K91" s="12" t="str">
        <x:f>IF(OR($H91="",$I91="",$F91=""),"",IF(ABS($J91)&lt;=0.05,"Equal to Norm",IF($F91="lower",IF($H91&lt;$I91,"Above Norm","Below Norm"),IF($H91&gt;$I91,"Above Norm","Below Norm"))))</x:f>
        <x:v>Equal to Norm</x:v>
      </x:c>
      <x:c r="L91" s="12" t="str">
        <x:f>IFERROR(VLOOKUP($D91&amp;"|"&amp;$K91,Recommendation_Lookup!$A$2:$H$19,2,FALSE),"")</x:f>
        <x:v>Improve force applied over time</x:v>
      </x:c>
      <x:c r="M91" s="12" t="str">
        <x:f>IFERROR(VLOOKUP($D91&amp;"|"&amp;$K91,Recommendation_Lookup!$A$2:$H$19,3,FALSE),"")</x:f>
        <x:v>Strength; countermovement strategy; intent; coordination; power</x:v>
      </x:c>
      <x:c r="N91" s="12" t="str">
        <x:f>IFERROR(VLOOKUP($D91&amp;"|"&amp;$K91,Recommendation_Lookup!$A$2:$H$19,4,FALSE),"")</x:f>
        <x:v>Use loaded jumps, isometrics and strength-power exercises that improve the athlete’s ability to produce and sustain force through the propulsion phase.</x:v>
      </x:c>
      <x:c r="O91" s="12" t="str">
        <x:f>IFERROR(VLOOKUP($D91&amp;"|"&amp;$K91,Recommendation_Lookup!$A$2:$H$19,5,FALSE),"")</x:f>
        <x:v>RVX Power Development</x:v>
      </x:c>
      <x:c r="P91" s="12" t="str">
        <x:f>IFERROR(VLOOKUP($D91&amp;"|"&amp;$K91,Recommendation_Lookup!$A$2:$H$19,6,FALSE),"")</x:f>
        <x:v>RVX Strength-Speed</x:v>
      </x:c>
      <x:c r="Q91" s="12" t="str">
        <x:f>IFERROR(VLOOKUP($D91&amp;"|"&amp;$K91,Recommendation_Lookup!$A$2:$H$19,7,FALSE),"")</x:f>
        <x:v>Apply force early and continue driving through take-off.</x:v>
      </x:c>
      <x:c r="R91" s="12" t="str">
        <x:f>IFERROR(VLOOKUP($D91&amp;"|"&amp;$K91,Recommendation_Lookup!$A$2:$H$19,8,FALSE),"")</x:f>
        <x:v>Retest after 4–6 weeks.</x:v>
      </x:c>
      <x:c r="S91" s="12"/>
      <x:c r="T91" s="12"/>
      <x:c r="U91" s="12"/>
      <x:c r="V91" s="12"/>
      <x:c r="W91" s="12" t="str">
        <x:f>IF($S91&lt;&gt;"",$S91,$K91)</x:f>
        <x:v>Equal to Norm</x:v>
      </x:c>
      <x:c r="X91" s="12" t="str">
        <x:f>IF($T91&lt;&gt;"",$T91,$L91)</x:f>
        <x:v>Improve force applied over time</x:v>
      </x:c>
      <x:c r="Y91" s="12" t="str">
        <x:f>IF($U91&lt;&gt;"",$U91,$N91)</x:f>
        <x:v>Use loaded jumps, isometrics and strength-power exercises that improve the athlete’s ability to produce and sustain force through the propulsion phase.</x:v>
      </x:c>
      <x:c r="Z91" s="12" t="str">
        <x:f>IF($V91&lt;&gt;"",$V91,$O91)</x:f>
        <x:v>RVX Power Development</x:v>
      </x:c>
      <x:c r="AA91" s="12"/>
    </x:row>
    <x:row r="92">
      <x:c r="A92" s="12" t="str">
        <x:v>RVX-00016</x:v>
      </x:c>
      <x:c r="B92" s="12" t="str">
        <x:f>IFERROR(VLOOKUP($A92,Athlete_Profile!$A$2:$L$51,6,FALSE),"")</x:f>
        <x:v>Hockey</x:v>
      </x:c>
      <x:c r="C92" s="12" t="str">
        <x:f>IFERROR(VLOOKUP($A92,Athlete_Profile!$A$2:$L$51,5,FALSE),"")</x:f>
        <x:v>Male</x:v>
      </x:c>
      <x:c r="D92" s="12" t="str">
        <x:v>sprint_5m</x:v>
      </x:c>
      <x:c r="E92" s="12" t="str">
        <x:f>IFERROR(VLOOKUP($D92,Dropdown_Lists!$K$2:$N$7,2,FALSE),"")</x:f>
        <x:v>5m Sprint</x:v>
      </x:c>
      <x:c r="F92" s="12" t="str">
        <x:f>IFERROR(VLOOKUP($D92,Dropdown_Lists!$K$2:$N$7,3,FALSE),"")</x:f>
        <x:v>lower</x:v>
      </x:c>
      <x:c r="G92" s="17" t="n">
        <x:f>IFERROR(LOOKUP(2,1/((Performance_Metrics!$A$2:$A$3000=$A92)*(Performance_Metrics!$D$2:$D$3000=$D92)),Performance_Metrics!$C$2:$C$3000),"")</x:f>
        <x:v>46230</x:v>
      </x:c>
      <x:c r="H92" s="12" t="n">
        <x:f>IFERROR(LOOKUP(2,1/((Performance_Metrics!$A$2:$A$3000=$A92)*(Performance_Metrics!$D$2:$D$3000=$D92)),Performance_Metrics!$G$2:$G$3000),"")</x:f>
        <x:v>0.93</x:v>
      </x:c>
      <x:c r="I92" s="12" t="n">
        <x:f>IFERROR(SUMIFS(Normative_Data!$G$2:$G$1000,Normative_Data!$A$2:$A$1000,$B92,Normative_Data!$B$2:$B$1000,$C92,Normative_Data!$E$2:$E$1000,$D92),"")</x:f>
        <x:v>1.08</x:v>
      </x:c>
      <x:c r="J92" s="18" t="n">
        <x:f>IF(OR($H92="",$I92=""),"",($H92-$I92)/$I92)</x:f>
        <x:v>-0.1388888888888889</x:v>
      </x:c>
      <x:c r="K92" s="12" t="str">
        <x:f>IF(OR($H92="",$I92="",$F92=""),"",IF(ABS($J92)&lt;=0.05,"Equal to Norm",IF($F92="lower",IF($H92&lt;$I92,"Above Norm","Below Norm"),IF($H92&gt;$I92,"Above Norm","Below Norm"))))</x:f>
        <x:v>Above Norm</x:v>
      </x:c>
      <x:c r="L92" s="12" t="str">
        <x:f>IFERROR(VLOOKUP($D92&amp;"|"&amp;$K92,Recommendation_Lookup!$A$2:$H$19,2,FALSE),"")</x:f>
        <x:v>Maintain first-step explosiveness</x:v>
      </x:c>
      <x:c r="M92" s="12" t="str">
        <x:f>IFERROR(VLOOKUP($D92&amp;"|"&amp;$K92,Recommendation_Lookup!$A$2:$H$19,3,FALSE),"")</x:f>
        <x:v>Start consistency; projection angle; horizontal force; reaction quality</x:v>
      </x:c>
      <x:c r="N92" s="12" t="str">
        <x:f>IFERROR(VLOOKUP($D92&amp;"|"&amp;$K92,Recommendation_Lookup!$A$2:$H$19,4,FALSE),"")</x:f>
        <x:v>Maintain speed with low-volume, high-quality acceleration exposures. Avoid unnecessary volume that could reduce sprint quality. Progress through resisted and reactive starts while preserving mechanics.</x:v>
      </x:c>
      <x:c r="O92" s="12" t="str">
        <x:f>IFERROR(VLOOKUP($D92&amp;"|"&amp;$K92,Recommendation_Lookup!$A$2:$H$19,5,FALSE),"")</x:f>
        <x:v>RVX Advanced Acceleration</x:v>
      </x:c>
      <x:c r="P92" s="12" t="str">
        <x:f>IFERROR(VLOOKUP($D92&amp;"|"&amp;$K92,Recommendation_Lookup!$A$2:$H$19,6,FALSE),"")</x:f>
        <x:v>RVX Explosive Starts Microdose</x:v>
      </x:c>
      <x:c r="Q92" s="12" t="str">
        <x:f>IFERROR(VLOOKUP($D92&amp;"|"&amp;$K92,Recommendation_Lookup!$A$2:$H$19,7,FALSE),"")</x:f>
        <x:v>Project forward, push the ground back, and win the first three steps.</x:v>
      </x:c>
      <x:c r="R92" s="12" t="str">
        <x:f>IFERROR(VLOOKUP($D92&amp;"|"&amp;$K92,Recommendation_Lookup!$A$2:$H$19,8,FALSE),"")</x:f>
        <x:v>Retest every 6–8 weeks or after a dedicated acceleration block.</x:v>
      </x:c>
      <x:c r="S92" s="12"/>
      <x:c r="T92" s="12"/>
      <x:c r="U92" s="12"/>
      <x:c r="V92" s="12"/>
      <x:c r="W92" s="12" t="str">
        <x:f>IF($S92&lt;&gt;"",$S92,$K92)</x:f>
        <x:v>Above Norm</x:v>
      </x:c>
      <x:c r="X92" s="12" t="str">
        <x:f>IF($T92&lt;&gt;"",$T92,$L92)</x:f>
        <x:v>Maintain first-step explosiveness</x:v>
      </x:c>
      <x:c r="Y92" s="12" t="str">
        <x:f>IF($U92&lt;&gt;"",$U92,$N92)</x:f>
        <x:v>Maintain speed with low-volume, high-quality acceleration exposures. Avoid unnecessary volume that could reduce sprint quality. Progress through resisted and reactive starts while preserving mechanics.</x:v>
      </x:c>
      <x:c r="Z92" s="12" t="str">
        <x:f>IF($V92&lt;&gt;"",$V92,$O92)</x:f>
        <x:v>RVX Advanced Acceleration</x:v>
      </x:c>
      <x:c r="AA92" s="12"/>
    </x:row>
    <x:row r="93">
      <x:c r="A93" s="12" t="str">
        <x:v>RVX-00016</x:v>
      </x:c>
      <x:c r="B93" s="12" t="str">
        <x:f>IFERROR(VLOOKUP($A93,Athlete_Profile!$A$2:$L$51,6,FALSE),"")</x:f>
        <x:v>Hockey</x:v>
      </x:c>
      <x:c r="C93" s="12" t="str">
        <x:f>IFERROR(VLOOKUP($A93,Athlete_Profile!$A$2:$L$51,5,FALSE),"")</x:f>
        <x:v>Male</x:v>
      </x:c>
      <x:c r="D93" s="12" t="str">
        <x:v>sprint_10m</x:v>
      </x:c>
      <x:c r="E93" s="12" t="str">
        <x:f>IFERROR(VLOOKUP($D93,Dropdown_Lists!$K$2:$N$7,2,FALSE),"")</x:f>
        <x:v>10m Sprint</x:v>
      </x:c>
      <x:c r="F93" s="12" t="str">
        <x:f>IFERROR(VLOOKUP($D93,Dropdown_Lists!$K$2:$N$7,3,FALSE),"")</x:f>
        <x:v>lower</x:v>
      </x:c>
      <x:c r="G93" s="17" t="n">
        <x:f>IFERROR(LOOKUP(2,1/((Performance_Metrics!$A$2:$A$3000=$A93)*(Performance_Metrics!$D$2:$D$3000=$D93)),Performance_Metrics!$C$2:$C$3000),"")</x:f>
        <x:v>46230</x:v>
      </x:c>
      <x:c r="H93" s="12" t="n">
        <x:f>IFERROR(LOOKUP(2,1/((Performance_Metrics!$A$2:$A$3000=$A93)*(Performance_Metrics!$D$2:$D$3000=$D93)),Performance_Metrics!$G$2:$G$3000),"")</x:f>
        <x:v>1.5</x:v>
      </x:c>
      <x:c r="I93" s="12" t="n">
        <x:f>IFERROR(SUMIFS(Normative_Data!$G$2:$G$1000,Normative_Data!$A$2:$A$1000,$B93,Normative_Data!$B$2:$B$1000,$C93,Normative_Data!$E$2:$E$1000,$D93),"")</x:f>
        <x:v>1.8</x:v>
      </x:c>
      <x:c r="J93" s="18" t="n">
        <x:f>IF(OR($H93="",$I93=""),"",($H93-$I93)/$I93)</x:f>
        <x:v>-0.16666666666666669</x:v>
      </x:c>
      <x:c r="K93" s="12" t="str">
        <x:f>IF(OR($H93="",$I93="",$F93=""),"",IF(ABS($J93)&lt;=0.05,"Equal to Norm",IF($F93="lower",IF($H93&lt;$I93,"Above Norm","Below Norm"),IF($H93&gt;$I93,"Above Norm","Below Norm"))))</x:f>
        <x:v>Above Norm</x:v>
      </x:c>
      <x:c r="L93" s="12" t="str">
        <x:f>IFERROR(VLOOKUP($D93&amp;"|"&amp;$K93,Recommendation_Lookup!$A$2:$H$19,2,FALSE),"")</x:f>
        <x:v>Maintain acceleration through 10 m</x:v>
      </x:c>
      <x:c r="M93" s="12" t="str">
        <x:f>IFERROR(VLOOKUP($D93&amp;"|"&amp;$K93,Recommendation_Lookup!$A$2:$H$19,3,FALSE),"")</x:f>
        <x:v>Transition mechanics; stride rhythm; stiffness; repeatability</x:v>
      </x:c>
      <x:c r="N93" s="12" t="str">
        <x:f>IFERROR(VLOOKUP($D93&amp;"|"&amp;$K93,Recommendation_Lookup!$A$2:$H$19,4,FALSE),"")</x:f>
        <x:v>Maintain one to two weekly high-quality acceleration exposures. Add varied starts and light resistance while monitoring consistency across trials.</x:v>
      </x:c>
      <x:c r="O93" s="12" t="str">
        <x:f>IFERROR(VLOOKUP($D93&amp;"|"&amp;$K93,Recommendation_Lookup!$A$2:$H$19,5,FALSE),"")</x:f>
        <x:v>RVX Advanced Acceleration</x:v>
      </x:c>
      <x:c r="P93" s="12" t="str">
        <x:f>IFERROR(VLOOKUP($D93&amp;"|"&amp;$K93,Recommendation_Lookup!$A$2:$H$19,6,FALSE),"")</x:f>
        <x:v>RVX Speed Maintenance Microdose</x:v>
      </x:c>
      <x:c r="Q93" s="12" t="str">
        <x:f>IFERROR(VLOOKUP($D93&amp;"|"&amp;$K93,Recommendation_Lookup!$A$2:$H$19,7,FALSE),"")</x:f>
        <x:v>Stay patient through acceleration and keep pushing behind the body.</x:v>
      </x:c>
      <x:c r="R93" s="12" t="str">
        <x:f>IFERROR(VLOOKUP($D93&amp;"|"&amp;$K93,Recommendation_Lookup!$A$2:$H$19,8,FALSE),"")</x:f>
        <x:v>Retest every 6–8 weeks or after a speed block.</x:v>
      </x:c>
      <x:c r="S93" s="12"/>
      <x:c r="T93" s="12"/>
      <x:c r="U93" s="12"/>
      <x:c r="V93" s="12"/>
      <x:c r="W93" s="12" t="str">
        <x:f>IF($S93&lt;&gt;"",$S93,$K93)</x:f>
        <x:v>Above Norm</x:v>
      </x:c>
      <x:c r="X93" s="12" t="str">
        <x:f>IF($T93&lt;&gt;"",$T93,$L93)</x:f>
        <x:v>Maintain acceleration through 10 m</x:v>
      </x:c>
      <x:c r="Y93" s="12" t="str">
        <x:f>IF($U93&lt;&gt;"",$U93,$N93)</x:f>
        <x:v>Maintain one to two weekly high-quality acceleration exposures. Add varied starts and light resistance while monitoring consistency across trials.</x:v>
      </x:c>
      <x:c r="Z93" s="12" t="str">
        <x:f>IF($V93&lt;&gt;"",$V93,$O93)</x:f>
        <x:v>RVX Advanced Acceleration</x:v>
      </x:c>
      <x:c r="AA93" s="12"/>
    </x:row>
    <x:row r="94">
      <x:c r="A94" s="12" t="str">
        <x:v>RVX-00016</x:v>
      </x:c>
      <x:c r="B94" s="12" t="str">
        <x:f>IFERROR(VLOOKUP($A94,Athlete_Profile!$A$2:$L$51,6,FALSE),"")</x:f>
        <x:v>Hockey</x:v>
      </x:c>
      <x:c r="C94" s="12" t="str">
        <x:f>IFERROR(VLOOKUP($A94,Athlete_Profile!$A$2:$L$51,5,FALSE),"")</x:f>
        <x:v>Male</x:v>
      </x:c>
      <x:c r="D94" s="12" t="str">
        <x:v>pro_agility</x:v>
      </x:c>
      <x:c r="E94" s="12" t="str">
        <x:f>IFERROR(VLOOKUP($D94,Dropdown_Lists!$K$2:$N$7,2,FALSE),"")</x:f>
        <x:v>5-10-5 Pro Agility</x:v>
      </x:c>
      <x:c r="F94" s="12" t="str">
        <x:f>IFERROR(VLOOKUP($D94,Dropdown_Lists!$K$2:$N$7,3,FALSE),"")</x:f>
        <x:v>lower</x:v>
      </x:c>
      <x:c r="G94" s="17" t="n">
        <x:f>IFERROR(LOOKUP(2,1/((Performance_Metrics!$A$2:$A$3000=$A94)*(Performance_Metrics!$D$2:$D$3000=$D94)),Performance_Metrics!$C$2:$C$3000),"")</x:f>
        <x:v>46230</x:v>
      </x:c>
      <x:c r="H94" s="12" t="n">
        <x:f>IFERROR(LOOKUP(2,1/((Performance_Metrics!$A$2:$A$3000=$A94)*(Performance_Metrics!$D$2:$D$3000=$D94)),Performance_Metrics!$G$2:$G$3000),"")</x:f>
        <x:v>4.02</x:v>
      </x:c>
      <x:c r="I94" s="12" t="n">
        <x:f>IFERROR(SUMIFS(Normative_Data!$G$2:$G$1000,Normative_Data!$A$2:$A$1000,$B94,Normative_Data!$B$2:$B$1000,$C94,Normative_Data!$E$2:$E$1000,$D94),"")</x:f>
        <x:v>4.63</x:v>
      </x:c>
      <x:c r="J94" s="18" t="n">
        <x:f>IF(OR($H94="",$I94=""),"",($H94-$I94)/$I94)</x:f>
        <x:v>-0.13174946004319663</x:v>
      </x:c>
      <x:c r="K94" s="12" t="str">
        <x:f>IF(OR($H94="",$I94="",$F94=""),"",IF(ABS($J94)&lt;=0.05,"Equal to Norm",IF($F94="lower",IF($H94&lt;$I94,"Above Norm","Below Norm"),IF($H94&gt;$I94,"Above Norm","Below Norm"))))</x:f>
        <x:v>Above Norm</x:v>
      </x:c>
      <x:c r="L94" s="12" t="str">
        <x:f>IFERROR(VLOOKUP($D94&amp;"|"&amp;$K94,Recommendation_Lookup!$A$2:$H$19,2,FALSE),"")</x:f>
        <x:v>Maintain change-of-direction performance</x:v>
      </x:c>
      <x:c r="M94" s="12" t="str">
        <x:f>IFERROR(VLOOKUP($D94&amp;"|"&amp;$K94,Recommendation_Lookup!$A$2:$H$19,3,FALSE),"")</x:f>
        <x:v>Reactive decision-making; braking tolerance; bilateral symmetry; movement variability</x:v>
      </x:c>
      <x:c r="N94" s="12" t="str">
        <x:f>IFERROR(VLOOKUP($D94&amp;"|"&amp;$K94,Recommendation_Lookup!$A$2:$H$19,4,FALSE),"")</x:f>
        <x:v>Maintain planned change-of-direction work and progress toward reactive agility. Use low-volume, high-quality exposures with multiple starting and turning strategies.</x:v>
      </x:c>
      <x:c r="O94" s="12" t="str">
        <x:f>IFERROR(VLOOKUP($D94&amp;"|"&amp;$K94,Recommendation_Lookup!$A$2:$H$19,5,FALSE),"")</x:f>
        <x:v>RVX Advanced Change of Direction</x:v>
      </x:c>
      <x:c r="P94" s="12" t="str">
        <x:f>IFERROR(VLOOKUP($D94&amp;"|"&amp;$K94,Recommendation_Lookup!$A$2:$H$19,6,FALSE),"")</x:f>
        <x:v>RVX Reactive Agility</x:v>
      </x:c>
      <x:c r="Q94" s="12" t="str">
        <x:f>IFERROR(VLOOKUP($D94&amp;"|"&amp;$K94,Recommendation_Lookup!$A$2:$H$19,7,FALSE),"")</x:f>
        <x:v>Brake under control, own the plant and accelerate out immediately.</x:v>
      </x:c>
      <x:c r="R94" s="12" t="str">
        <x:f>IFERROR(VLOOKUP($D94&amp;"|"&amp;$K94,Recommendation_Lookup!$A$2:$H$19,8,FALSE),"")</x:f>
        <x:v>Retest every 6–8 weeks with left and right trial review.</x:v>
      </x:c>
      <x:c r="S94" s="12"/>
      <x:c r="T94" s="12"/>
      <x:c r="U94" s="12"/>
      <x:c r="V94" s="12"/>
      <x:c r="W94" s="12" t="str">
        <x:f>IF($S94&lt;&gt;"",$S94,$K94)</x:f>
        <x:v>Above Norm</x:v>
      </x:c>
      <x:c r="X94" s="12" t="str">
        <x:f>IF($T94&lt;&gt;"",$T94,$L94)</x:f>
        <x:v>Maintain change-of-direction performance</x:v>
      </x:c>
      <x:c r="Y94" s="12" t="str">
        <x:f>IF($U94&lt;&gt;"",$U94,$N94)</x:f>
        <x:v>Maintain planned change-of-direction work and progress toward reactive agility. Use low-volume, high-quality exposures with multiple starting and turning strategies.</x:v>
      </x:c>
      <x:c r="Z94" s="12" t="str">
        <x:f>IF($V94&lt;&gt;"",$V94,$O94)</x:f>
        <x:v>RVX Advanced Change of Direction</x:v>
      </x:c>
      <x:c r="AA94" s="12"/>
    </x:row>
    <x:row r="95">
      <x:c r="A95" s="12" t="str">
        <x:v>RVX-00016</x:v>
      </x:c>
      <x:c r="B95" s="12" t="str">
        <x:f>IFERROR(VLOOKUP($A95,Athlete_Profile!$A$2:$L$51,6,FALSE),"")</x:f>
        <x:v>Hockey</x:v>
      </x:c>
      <x:c r="C95" s="12" t="str">
        <x:f>IFERROR(VLOOKUP($A95,Athlete_Profile!$A$2:$L$51,5,FALSE),"")</x:f>
        <x:v>Male</x:v>
      </x:c>
      <x:c r="D95" s="12" t="str">
        <x:v>cmj_depth</x:v>
      </x:c>
      <x:c r="E95" s="12" t="str">
        <x:f>IFERROR(VLOOKUP($D95,Dropdown_Lists!$K$2:$N$7,2,FALSE),"")</x:f>
        <x:v>Countermovement Depth</x:v>
      </x:c>
      <x:c r="F95" s="12" t="str">
        <x:f>IFERROR(VLOOKUP($D95,Dropdown_Lists!$K$2:$N$7,3,FALSE),"")</x:f>
        <x:v>higher</x:v>
      </x:c>
      <x:c r="G95" s="17" t="n">
        <x:f>IFERROR(LOOKUP(2,1/((Performance_Metrics!$A$2:$A$3000=$A95)*(Performance_Metrics!$D$2:$D$3000=$D95)),Performance_Metrics!$C$2:$C$3000),"")</x:f>
        <x:v>46230</x:v>
      </x:c>
      <x:c r="H95" s="12" t="n">
        <x:f>IFERROR(LOOKUP(2,1/((Performance_Metrics!$A$2:$A$3000=$A95)*(Performance_Metrics!$D$2:$D$3000=$D95)),Performance_Metrics!$G$2:$G$3000),"")</x:f>
        <x:v>38</x:v>
      </x:c>
      <x:c r="I95" s="12" t="n">
        <x:f>IFERROR(SUMIFS(Normative_Data!$G$2:$G$1000,Normative_Data!$A$2:$A$1000,$B95,Normative_Data!$B$2:$B$1000,$C95,Normative_Data!$E$2:$E$1000,$D95),"")</x:f>
        <x:v>33</x:v>
      </x:c>
      <x:c r="J95" s="18" t="n">
        <x:f>IF(OR($H95="",$I95=""),"",($H95-$I95)/$I95)</x:f>
        <x:v>0.15151515151515152</x:v>
      </x:c>
      <x:c r="K95" s="12" t="str">
        <x:f>IF(OR($H95="",$I95="",$F95=""),"",IF(ABS($J95)&lt;=0.05,"Equal to Norm",IF($F95="lower",IF($H95&lt;$I95,"Above Norm","Below Norm"),IF($H95&gt;$I95,"Above Norm","Below Norm"))))</x:f>
        <x:v>Above Norm</x:v>
      </x:c>
      <x:c r="L95" s="12" t="str">
        <x:f>IFERROR(VLOOKUP($D95&amp;"|"&amp;$K95,Recommendation_Lookup!$A$2:$H$19,2,FALSE),"")</x:f>
        <x:v>Maintain effective countermovement strategy</x:v>
      </x:c>
      <x:c r="M95" s="12" t="str">
        <x:f>IFERROR(VLOOKUP($D95&amp;"|"&amp;$K95,Recommendation_Lookup!$A$2:$H$19,3,FALSE),"")</x:f>
        <x:v>Movement efficiency; eccentric control; jump consistency; depth-to-output relationship</x:v>
      </x:c>
      <x:c r="N95" s="12" t="str">
        <x:f>IFERROR(VLOOKUP($D95&amp;"|"&amp;$K95,Recommendation_Lookup!$A$2:$H$19,4,FALSE),"")</x:f>
        <x:v>Maintain the athlete’s preferred countermovement strategy while ensuring the additional depth contributes to force and impulse rather than excessive movement time.</x:v>
      </x:c>
      <x:c r="O95" s="12" t="str">
        <x:f>IFERROR(VLOOKUP($D95&amp;"|"&amp;$K95,Recommendation_Lookup!$A$2:$H$19,5,FALSE),"")</x:f>
        <x:v>RVX Jump Performance Advanced</x:v>
      </x:c>
      <x:c r="P95" s="12" t="str">
        <x:f>IFERROR(VLOOKUP($D95&amp;"|"&amp;$K95,Recommendation_Lookup!$A$2:$H$19,6,FALSE),"")</x:f>
        <x:v>RVX Eccentric Strength Microdose</x:v>
      </x:c>
      <x:c r="Q95" s="12" t="str">
        <x:f>IFERROR(VLOOKUP($D95&amp;"|"&amp;$K95,Recommendation_Lookup!$A$2:$H$19,7,FALSE),"")</x:f>
        <x:v>Use the depth you can control, then reverse quickly and aggressively.</x:v>
      </x:c>
      <x:c r="R95" s="12" t="str">
        <x:f>IFERROR(VLOOKUP($D95&amp;"|"&amp;$K95,Recommendation_Lookup!$A$2:$H$19,8,FALSE),"")</x:f>
        <x:v>Retest every 6–8 weeks while monitoring jump height and contraction time.</x:v>
      </x:c>
      <x:c r="S95" s="12"/>
      <x:c r="T95" s="12"/>
      <x:c r="U95" s="12"/>
      <x:c r="V95" s="12"/>
      <x:c r="W95" s="12" t="str">
        <x:f>IF($S95&lt;&gt;"",$S95,$K95)</x:f>
        <x:v>Above Norm</x:v>
      </x:c>
      <x:c r="X95" s="12" t="str">
        <x:f>IF($T95&lt;&gt;"",$T95,$L95)</x:f>
        <x:v>Maintain effective countermovement strategy</x:v>
      </x:c>
      <x:c r="Y95" s="12" t="str">
        <x:f>IF($U95&lt;&gt;"",$U95,$N95)</x:f>
        <x:v>Maintain the athlete’s preferred countermovement strategy while ensuring the additional depth contributes to force and impulse rather than excessive movement time.</x:v>
      </x:c>
      <x:c r="Z95" s="12" t="str">
        <x:f>IF($V95&lt;&gt;"",$V95,$O95)</x:f>
        <x:v>RVX Jump Performance Advanced</x:v>
      </x:c>
      <x:c r="AA95" s="12"/>
    </x:row>
    <x:row r="96">
      <x:c r="A96" s="12" t="str">
        <x:v>RVX-00016</x:v>
      </x:c>
      <x:c r="B96" s="12" t="str">
        <x:f>IFERROR(VLOOKUP($A96,Athlete_Profile!$A$2:$L$51,6,FALSE),"")</x:f>
        <x:v>Hockey</x:v>
      </x:c>
      <x:c r="C96" s="12" t="str">
        <x:f>IFERROR(VLOOKUP($A96,Athlete_Profile!$A$2:$L$51,5,FALSE),"")</x:f>
        <x:v>Male</x:v>
      </x:c>
      <x:c r="D96" s="12" t="str">
        <x:v>peak_force</x:v>
      </x:c>
      <x:c r="E96" s="12" t="str">
        <x:f>IFERROR(VLOOKUP($D96,Dropdown_Lists!$K$2:$N$7,2,FALSE),"")</x:f>
        <x:v>Peak Force</x:v>
      </x:c>
      <x:c r="F96" s="12" t="str">
        <x:f>IFERROR(VLOOKUP($D96,Dropdown_Lists!$K$2:$N$7,3,FALSE),"")</x:f>
        <x:v>higher</x:v>
      </x:c>
      <x:c r="G96" s="17" t="n">
        <x:f>IFERROR(LOOKUP(2,1/((Performance_Metrics!$A$2:$A$3000=$A96)*(Performance_Metrics!$D$2:$D$3000=$D96)),Performance_Metrics!$C$2:$C$3000),"")</x:f>
        <x:v>46230</x:v>
      </x:c>
      <x:c r="H96" s="12" t="n">
        <x:f>IFERROR(LOOKUP(2,1/((Performance_Metrics!$A$2:$A$3000=$A96)*(Performance_Metrics!$D$2:$D$3000=$D96)),Performance_Metrics!$G$2:$G$3000),"")</x:f>
        <x:v>2221</x:v>
      </x:c>
      <x:c r="I96" s="12" t="n">
        <x:f>IFERROR(SUMIFS(Normative_Data!$G$2:$G$1000,Normative_Data!$A$2:$A$1000,$B96,Normative_Data!$B$2:$B$1000,$C96,Normative_Data!$E$2:$E$1000,$D96),"")</x:f>
        <x:v>1925</x:v>
      </x:c>
      <x:c r="J96" s="18" t="n">
        <x:f>IF(OR($H96="",$I96=""),"",($H96-$I96)/$I96)</x:f>
        <x:v>0.15376623376623377</x:v>
      </x:c>
      <x:c r="K96" s="12" t="str">
        <x:f>IF(OR($H96="",$I96="",$F96=""),"",IF(ABS($J96)&lt;=0.05,"Equal to Norm",IF($F96="lower",IF($H96&lt;$I96,"Above Norm","Below Norm"),IF($H96&gt;$I96,"Above Norm","Below Norm"))))</x:f>
        <x:v>Above Norm</x:v>
      </x:c>
      <x:c r="L96" s="12" t="str">
        <x:f>IFERROR(VLOOKUP($D96&amp;"|"&amp;$K96,Recommendation_Lookup!$A$2:$H$19,2,FALSE),"")</x:f>
        <x:v>Maintain maximal force qualities</x:v>
      </x:c>
      <x:c r="M96" s="12" t="str">
        <x:f>IFERROR(VLOOKUP($D96&amp;"|"&amp;$K96,Recommendation_Lookup!$A$2:$H$19,3,FALSE),"")</x:f>
        <x:v>Force application speed; asymmetry; fatigue management; sport transfer</x:v>
      </x:c>
      <x:c r="N96" s="12" t="str">
        <x:f>IFERROR(VLOOKUP($D96&amp;"|"&amp;$K96,Recommendation_Lookup!$A$2:$H$19,4,FALSE),"")</x:f>
        <x:v>Maintain maximal force with low-volume strength exposure while shifting selected work toward power and sport-specific application. Monitor asymmetry and fatigue.</x:v>
      </x:c>
      <x:c r="O96" s="12" t="str">
        <x:f>IFERROR(VLOOKUP($D96&amp;"|"&amp;$K96,Recommendation_Lookup!$A$2:$H$19,5,FALSE),"")</x:f>
        <x:v>RVX Advanced Strength-Power</x:v>
      </x:c>
      <x:c r="P96" s="12" t="str">
        <x:f>IFERROR(VLOOKUP($D96&amp;"|"&amp;$K96,Recommendation_Lookup!$A$2:$H$19,6,FALSE),"")</x:f>
        <x:v>RVX Force Maintenance Microdose</x:v>
      </x:c>
      <x:c r="Q96" s="12" t="str">
        <x:f>IFERROR(VLOOKUP($D96&amp;"|"&amp;$K96,Recommendation_Lookup!$A$2:$H$19,7,FALSE),"")</x:f>
        <x:v>Produce high force without losing position or movement speed.</x:v>
      </x:c>
      <x:c r="R96" s="12" t="str">
        <x:f>IFERROR(VLOOKUP($D96&amp;"|"&amp;$K96,Recommendation_Lookup!$A$2:$H$19,8,FALSE),"")</x:f>
        <x:v>Retest every 6–8 weeks or following a strength-power phase.</x:v>
      </x:c>
      <x:c r="S96" s="12"/>
      <x:c r="T96" s="12"/>
      <x:c r="U96" s="12"/>
      <x:c r="V96" s="12"/>
      <x:c r="W96" s="12" t="str">
        <x:f>IF($S96&lt;&gt;"",$S96,$K96)</x:f>
        <x:v>Above Norm</x:v>
      </x:c>
      <x:c r="X96" s="12" t="str">
        <x:f>IF($T96&lt;&gt;"",$T96,$L96)</x:f>
        <x:v>Maintain maximal force qualities</x:v>
      </x:c>
      <x:c r="Y96" s="12" t="str">
        <x:f>IF($U96&lt;&gt;"",$U96,$N96)</x:f>
        <x:v>Maintain maximal force with low-volume strength exposure while shifting selected work toward power and sport-specific application. Monitor asymmetry and fatigue.</x:v>
      </x:c>
      <x:c r="Z96" s="12" t="str">
        <x:f>IF($V96&lt;&gt;"",$V96,$O96)</x:f>
        <x:v>RVX Advanced Strength-Power</x:v>
      </x:c>
      <x:c r="AA96" s="12"/>
    </x:row>
    <x:row r="97">
      <x:c r="A97" s="12" t="str">
        <x:v>RVX-00016</x:v>
      </x:c>
      <x:c r="B97" s="12" t="str">
        <x:f>IFERROR(VLOOKUP($A97,Athlete_Profile!$A$2:$L$51,6,FALSE),"")</x:f>
        <x:v>Hockey</x:v>
      </x:c>
      <x:c r="C97" s="12" t="str">
        <x:f>IFERROR(VLOOKUP($A97,Athlete_Profile!$A$2:$L$51,5,FALSE),"")</x:f>
        <x:v>Male</x:v>
      </x:c>
      <x:c r="D97" s="12" t="str">
        <x:v>impulse</x:v>
      </x:c>
      <x:c r="E97" s="12" t="str">
        <x:f>IFERROR(VLOOKUP($D97,Dropdown_Lists!$K$2:$N$7,2,FALSE),"")</x:f>
        <x:v>Impulse-Momentum</x:v>
      </x:c>
      <x:c r="F97" s="12" t="str">
        <x:f>IFERROR(VLOOKUP($D97,Dropdown_Lists!$K$2:$N$7,3,FALSE),"")</x:f>
        <x:v>higher</x:v>
      </x:c>
      <x:c r="G97" s="17" t="n">
        <x:f>IFERROR(LOOKUP(2,1/((Performance_Metrics!$A$2:$A$3000=$A97)*(Performance_Metrics!$D$2:$D$3000=$D97)),Performance_Metrics!$C$2:$C$3000),"")</x:f>
        <x:v>46230</x:v>
      </x:c>
      <x:c r="H97" s="12" t="n">
        <x:f>IFERROR(LOOKUP(2,1/((Performance_Metrics!$A$2:$A$3000=$A97)*(Performance_Metrics!$D$2:$D$3000=$D97)),Performance_Metrics!$G$2:$G$3000),"")</x:f>
        <x:v>274.3</x:v>
      </x:c>
      <x:c r="I97" s="12" t="n">
        <x:f>IFERROR(SUMIFS(Normative_Data!$G$2:$G$1000,Normative_Data!$A$2:$A$1000,$B97,Normative_Data!$B$2:$B$1000,$C97,Normative_Data!$E$2:$E$1000,$D97),"")</x:f>
        <x:v>236.5</x:v>
      </x:c>
      <x:c r="J97" s="18" t="n">
        <x:f>IF(OR($H97="",$I97=""),"",($H97-$I97)/$I97)</x:f>
        <x:v>0.15983086680761105</x:v>
      </x:c>
      <x:c r="K97" s="12" t="str">
        <x:f>IF(OR($H97="",$I97="",$F97=""),"",IF(ABS($J97)&lt;=0.05,"Equal to Norm",IF($F97="lower",IF($H97&lt;$I97,"Above Norm","Below Norm"),IF($H97&gt;$I97,"Above Norm","Below Norm"))))</x:f>
        <x:v>Above Norm</x:v>
      </x:c>
      <x:c r="L97" s="12" t="str">
        <x:f>IFERROR(VLOOKUP($D97&amp;"|"&amp;$K97,Recommendation_Lookup!$A$2:$H$19,2,FALSE),"")</x:f>
        <x:v>Maintain total force-time output</x:v>
      </x:c>
      <x:c r="M97" s="12" t="str">
        <x:f>IFERROR(VLOOKUP($D97&amp;"|"&amp;$K97,Recommendation_Lookup!$A$2:$H$19,3,FALSE),"")</x:f>
        <x:v>Rate of force development; movement time; power transfer; fatigue resistance</x:v>
      </x:c>
      <x:c r="N97" s="12" t="str">
        <x:f>IFERROR(VLOOKUP($D97&amp;"|"&amp;$K97,Recommendation_Lookup!$A$2:$H$19,4,FALSE),"")</x:f>
        <x:v>Maintain impulse with strength-power microdosing and varied jump or sprint exposures. Ensure high impulse is achieved efficiently rather than through excessive movement time.</x:v>
      </x:c>
      <x:c r="O97" s="12" t="str">
        <x:f>IFERROR(VLOOKUP($D97&amp;"|"&amp;$K97,Recommendation_Lookup!$A$2:$H$19,5,FALSE),"")</x:f>
        <x:v>RVX Advanced Power Development</x:v>
      </x:c>
      <x:c r="P97" s="12" t="str">
        <x:f>IFERROR(VLOOKUP($D97&amp;"|"&amp;$K97,Recommendation_Lookup!$A$2:$H$19,6,FALSE),"")</x:f>
        <x:v>RVX Elastic Power Microdose</x:v>
      </x:c>
      <x:c r="Q97" s="12" t="str">
        <x:f>IFERROR(VLOOKUP($D97&amp;"|"&amp;$K97,Recommendation_Lookup!$A$2:$H$19,7,FALSE),"")</x:f>
        <x:v>Build force quickly and keep applying it through the full movement.</x:v>
      </x:c>
      <x:c r="R97" s="12" t="str">
        <x:f>IFERROR(VLOOKUP($D97&amp;"|"&amp;$K97,Recommendation_Lookup!$A$2:$H$19,8,FALSE),"")</x:f>
        <x:v>Retest every 6–8 weeks while reviewing contraction time and jump outcome.</x:v>
      </x:c>
      <x:c r="S97" s="12"/>
      <x:c r="T97" s="12"/>
      <x:c r="U97" s="12"/>
      <x:c r="V97" s="12"/>
      <x:c r="W97" s="12" t="str">
        <x:f>IF($S97&lt;&gt;"",$S97,$K97)</x:f>
        <x:v>Above Norm</x:v>
      </x:c>
      <x:c r="X97" s="12" t="str">
        <x:f>IF($T97&lt;&gt;"",$T97,$L97)</x:f>
        <x:v>Maintain total force-time output</x:v>
      </x:c>
      <x:c r="Y97" s="12" t="str">
        <x:f>IF($U97&lt;&gt;"",$U97,$N97)</x:f>
        <x:v>Maintain impulse with strength-power microdosing and varied jump or sprint exposures. Ensure high impulse is achieved efficiently rather than through excessive movement time.</x:v>
      </x:c>
      <x:c r="Z97" s="12" t="str">
        <x:f>IF($V97&lt;&gt;"",$V97,$O97)</x:f>
        <x:v>RVX Advanced Power Development</x:v>
      </x:c>
      <x:c r="AA97" s="12"/>
    </x:row>
    <x:row r="98">
      <x:c r="A98" s="12" t="str">
        <x:v>RVX-00017</x:v>
      </x:c>
      <x:c r="B98" s="12" t="str">
        <x:f>IFERROR(VLOOKUP($A98,Athlete_Profile!$A$2:$L$51,6,FALSE),"")</x:f>
        <x:v>Hockey</x:v>
      </x:c>
      <x:c r="C98" s="12" t="str">
        <x:f>IFERROR(VLOOKUP($A98,Athlete_Profile!$A$2:$L$51,5,FALSE),"")</x:f>
        <x:v>Female</x:v>
      </x:c>
      <x:c r="D98" s="12" t="str">
        <x:v>sprint_5m</x:v>
      </x:c>
      <x:c r="E98" s="12" t="str">
        <x:f>IFERROR(VLOOKUP($D98,Dropdown_Lists!$K$2:$N$7,2,FALSE),"")</x:f>
        <x:v>5m Sprint</x:v>
      </x:c>
      <x:c r="F98" s="12" t="str">
        <x:f>IFERROR(VLOOKUP($D98,Dropdown_Lists!$K$2:$N$7,3,FALSE),"")</x:f>
        <x:v>lower</x:v>
      </x:c>
      <x:c r="G98" s="17" t="n">
        <x:f>IFERROR(LOOKUP(2,1/((Performance_Metrics!$A$2:$A$3000=$A98)*(Performance_Metrics!$D$2:$D$3000=$D98)),Performance_Metrics!$C$2:$C$3000),"")</x:f>
        <x:v>46230</x:v>
      </x:c>
      <x:c r="H98" s="12" t="n">
        <x:f>IFERROR(LOOKUP(2,1/((Performance_Metrics!$A$2:$A$3000=$A98)*(Performance_Metrics!$D$2:$D$3000=$D98)),Performance_Metrics!$G$2:$G$3000),"")</x:f>
        <x:v>1.05</x:v>
      </x:c>
      <x:c r="I98" s="12" t="n">
        <x:f>IFERROR(SUMIFS(Normative_Data!$G$2:$G$1000,Normative_Data!$A$2:$A$1000,$B98,Normative_Data!$B$2:$B$1000,$C98,Normative_Data!$E$2:$E$1000,$D98),"")</x:f>
        <x:v>1.12</x:v>
      </x:c>
      <x:c r="J98" s="18" t="n">
        <x:f>IF(OR($H98="",$I98=""),"",($H98-$I98)/$I98)</x:f>
        <x:v>-0.06250000000000006</x:v>
      </x:c>
      <x:c r="K98" s="12" t="str">
        <x:f>IF(OR($H98="",$I98="",$F98=""),"",IF(ABS($J98)&lt;=0.05,"Equal to Norm",IF($F98="lower",IF($H98&lt;$I98,"Above Norm","Below Norm"),IF($H98&gt;$I98,"Above Norm","Below Norm"))))</x:f>
        <x:v>Above Norm</x:v>
      </x:c>
      <x:c r="L98" s="12" t="str">
        <x:f>IFERROR(VLOOKUP($D98&amp;"|"&amp;$K98,Recommendation_Lookup!$A$2:$H$19,2,FALSE),"")</x:f>
        <x:v>Maintain first-step explosiveness</x:v>
      </x:c>
      <x:c r="M98" s="12" t="str">
        <x:f>IFERROR(VLOOKUP($D98&amp;"|"&amp;$K98,Recommendation_Lookup!$A$2:$H$19,3,FALSE),"")</x:f>
        <x:v>Start consistency; projection angle; horizontal force; reaction quality</x:v>
      </x:c>
      <x:c r="N98" s="12" t="str">
        <x:f>IFERROR(VLOOKUP($D98&amp;"|"&amp;$K98,Recommendation_Lookup!$A$2:$H$19,4,FALSE),"")</x:f>
        <x:v>Maintain speed with low-volume, high-quality acceleration exposures. Avoid unnecessary volume that could reduce sprint quality. Progress through resisted and reactive starts while preserving mechanics.</x:v>
      </x:c>
      <x:c r="O98" s="12" t="str">
        <x:f>IFERROR(VLOOKUP($D98&amp;"|"&amp;$K98,Recommendation_Lookup!$A$2:$H$19,5,FALSE),"")</x:f>
        <x:v>RVX Advanced Acceleration</x:v>
      </x:c>
      <x:c r="P98" s="12" t="str">
        <x:f>IFERROR(VLOOKUP($D98&amp;"|"&amp;$K98,Recommendation_Lookup!$A$2:$H$19,6,FALSE),"")</x:f>
        <x:v>RVX Explosive Starts Microdose</x:v>
      </x:c>
      <x:c r="Q98" s="12" t="str">
        <x:f>IFERROR(VLOOKUP($D98&amp;"|"&amp;$K98,Recommendation_Lookup!$A$2:$H$19,7,FALSE),"")</x:f>
        <x:v>Project forward, push the ground back, and win the first three steps.</x:v>
      </x:c>
      <x:c r="R98" s="12" t="str">
        <x:f>IFERROR(VLOOKUP($D98&amp;"|"&amp;$K98,Recommendation_Lookup!$A$2:$H$19,8,FALSE),"")</x:f>
        <x:v>Retest every 6–8 weeks or after a dedicated acceleration block.</x:v>
      </x:c>
      <x:c r="S98" s="12"/>
      <x:c r="T98" s="12"/>
      <x:c r="U98" s="12"/>
      <x:c r="V98" s="12"/>
      <x:c r="W98" s="12" t="str">
        <x:f>IF($S98&lt;&gt;"",$S98,$K98)</x:f>
        <x:v>Above Norm</x:v>
      </x:c>
      <x:c r="X98" s="12" t="str">
        <x:f>IF($T98&lt;&gt;"",$T98,$L98)</x:f>
        <x:v>Maintain first-step explosiveness</x:v>
      </x:c>
      <x:c r="Y98" s="12" t="str">
        <x:f>IF($U98&lt;&gt;"",$U98,$N98)</x:f>
        <x:v>Maintain speed with low-volume, high-quality acceleration exposures. Avoid unnecessary volume that could reduce sprint quality. Progress through resisted and reactive starts while preserving mechanics.</x:v>
      </x:c>
      <x:c r="Z98" s="12" t="str">
        <x:f>IF($V98&lt;&gt;"",$V98,$O98)</x:f>
        <x:v>RVX Advanced Acceleration</x:v>
      </x:c>
      <x:c r="AA98" s="12"/>
    </x:row>
    <x:row r="99">
      <x:c r="A99" s="12" t="str">
        <x:v>RVX-00017</x:v>
      </x:c>
      <x:c r="B99" s="12" t="str">
        <x:f>IFERROR(VLOOKUP($A99,Athlete_Profile!$A$2:$L$51,6,FALSE),"")</x:f>
        <x:v>Hockey</x:v>
      </x:c>
      <x:c r="C99" s="12" t="str">
        <x:f>IFERROR(VLOOKUP($A99,Athlete_Profile!$A$2:$L$51,5,FALSE),"")</x:f>
        <x:v>Female</x:v>
      </x:c>
      <x:c r="D99" s="12" t="str">
        <x:v>sprint_10m</x:v>
      </x:c>
      <x:c r="E99" s="12" t="str">
        <x:f>IFERROR(VLOOKUP($D99,Dropdown_Lists!$K$2:$N$7,2,FALSE),"")</x:f>
        <x:v>10m Sprint</x:v>
      </x:c>
      <x:c r="F99" s="12" t="str">
        <x:f>IFERROR(VLOOKUP($D99,Dropdown_Lists!$K$2:$N$7,3,FALSE),"")</x:f>
        <x:v>lower</x:v>
      </x:c>
      <x:c r="G99" s="17" t="n">
        <x:f>IFERROR(LOOKUP(2,1/((Performance_Metrics!$A$2:$A$3000=$A99)*(Performance_Metrics!$D$2:$D$3000=$D99)),Performance_Metrics!$C$2:$C$3000),"")</x:f>
        <x:v>46230</x:v>
      </x:c>
      <x:c r="H99" s="12" t="n">
        <x:f>IFERROR(LOOKUP(2,1/((Performance_Metrics!$A$2:$A$3000=$A99)*(Performance_Metrics!$D$2:$D$3000=$D99)),Performance_Metrics!$G$2:$G$3000),"")</x:f>
        <x:v>1.76</x:v>
      </x:c>
      <x:c r="I99" s="12" t="n">
        <x:f>IFERROR(SUMIFS(Normative_Data!$G$2:$G$1000,Normative_Data!$A$2:$A$1000,$B99,Normative_Data!$B$2:$B$1000,$C99,Normative_Data!$E$2:$E$1000,$D99),"")</x:f>
        <x:v>1.88</x:v>
      </x:c>
      <x:c r="J99" s="18" t="n">
        <x:f>IF(OR($H99="",$I99=""),"",($H99-$I99)/$I99)</x:f>
        <x:v>-0.06382978723404249</x:v>
      </x:c>
      <x:c r="K99" s="12" t="str">
        <x:f>IF(OR($H99="",$I99="",$F99=""),"",IF(ABS($J99)&lt;=0.05,"Equal to Norm",IF($F99="lower",IF($H99&lt;$I99,"Above Norm","Below Norm"),IF($H99&gt;$I99,"Above Norm","Below Norm"))))</x:f>
        <x:v>Above Norm</x:v>
      </x:c>
      <x:c r="L99" s="12" t="str">
        <x:f>IFERROR(VLOOKUP($D99&amp;"|"&amp;$K99,Recommendation_Lookup!$A$2:$H$19,2,FALSE),"")</x:f>
        <x:v>Maintain acceleration through 10 m</x:v>
      </x:c>
      <x:c r="M99" s="12" t="str">
        <x:f>IFERROR(VLOOKUP($D99&amp;"|"&amp;$K99,Recommendation_Lookup!$A$2:$H$19,3,FALSE),"")</x:f>
        <x:v>Transition mechanics; stride rhythm; stiffness; repeatability</x:v>
      </x:c>
      <x:c r="N99" s="12" t="str">
        <x:f>IFERROR(VLOOKUP($D99&amp;"|"&amp;$K99,Recommendation_Lookup!$A$2:$H$19,4,FALSE),"")</x:f>
        <x:v>Maintain one to two weekly high-quality acceleration exposures. Add varied starts and light resistance while monitoring consistency across trials.</x:v>
      </x:c>
      <x:c r="O99" s="12" t="str">
        <x:f>IFERROR(VLOOKUP($D99&amp;"|"&amp;$K99,Recommendation_Lookup!$A$2:$H$19,5,FALSE),"")</x:f>
        <x:v>RVX Advanced Acceleration</x:v>
      </x:c>
      <x:c r="P99" s="12" t="str">
        <x:f>IFERROR(VLOOKUP($D99&amp;"|"&amp;$K99,Recommendation_Lookup!$A$2:$H$19,6,FALSE),"")</x:f>
        <x:v>RVX Speed Maintenance Microdose</x:v>
      </x:c>
      <x:c r="Q99" s="12" t="str">
        <x:f>IFERROR(VLOOKUP($D99&amp;"|"&amp;$K99,Recommendation_Lookup!$A$2:$H$19,7,FALSE),"")</x:f>
        <x:v>Stay patient through acceleration and keep pushing behind the body.</x:v>
      </x:c>
      <x:c r="R99" s="12" t="str">
        <x:f>IFERROR(VLOOKUP($D99&amp;"|"&amp;$K99,Recommendation_Lookup!$A$2:$H$19,8,FALSE),"")</x:f>
        <x:v>Retest every 6–8 weeks or after a speed block.</x:v>
      </x:c>
      <x:c r="S99" s="12"/>
      <x:c r="T99" s="12"/>
      <x:c r="U99" s="12"/>
      <x:c r="V99" s="12"/>
      <x:c r="W99" s="12" t="str">
        <x:f>IF($S99&lt;&gt;"",$S99,$K99)</x:f>
        <x:v>Above Norm</x:v>
      </x:c>
      <x:c r="X99" s="12" t="str">
        <x:f>IF($T99&lt;&gt;"",$T99,$L99)</x:f>
        <x:v>Maintain acceleration through 10 m</x:v>
      </x:c>
      <x:c r="Y99" s="12" t="str">
        <x:f>IF($U99&lt;&gt;"",$U99,$N99)</x:f>
        <x:v>Maintain one to two weekly high-quality acceleration exposures. Add varied starts and light resistance while monitoring consistency across trials.</x:v>
      </x:c>
      <x:c r="Z99" s="12" t="str">
        <x:f>IF($V99&lt;&gt;"",$V99,$O99)</x:f>
        <x:v>RVX Advanced Acceleration</x:v>
      </x:c>
      <x:c r="AA99" s="12"/>
    </x:row>
    <x:row r="100">
      <x:c r="A100" s="12" t="str">
        <x:v>RVX-00017</x:v>
      </x:c>
      <x:c r="B100" s="12" t="str">
        <x:f>IFERROR(VLOOKUP($A100,Athlete_Profile!$A$2:$L$51,6,FALSE),"")</x:f>
        <x:v>Hockey</x:v>
      </x:c>
      <x:c r="C100" s="12" t="str">
        <x:f>IFERROR(VLOOKUP($A100,Athlete_Profile!$A$2:$L$51,5,FALSE),"")</x:f>
        <x:v>Female</x:v>
      </x:c>
      <x:c r="D100" s="12" t="str">
        <x:v>pro_agility</x:v>
      </x:c>
      <x:c r="E100" s="12" t="str">
        <x:f>IFERROR(VLOOKUP($D100,Dropdown_Lists!$K$2:$N$7,2,FALSE),"")</x:f>
        <x:v>5-10-5 Pro Agility</x:v>
      </x:c>
      <x:c r="F100" s="12" t="str">
        <x:f>IFERROR(VLOOKUP($D100,Dropdown_Lists!$K$2:$N$7,3,FALSE),"")</x:f>
        <x:v>lower</x:v>
      </x:c>
      <x:c r="G100" s="17" t="n">
        <x:f>IFERROR(LOOKUP(2,1/((Performance_Metrics!$A$2:$A$3000=$A100)*(Performance_Metrics!$D$2:$D$3000=$D100)),Performance_Metrics!$C$2:$C$3000),"")</x:f>
        <x:v>46230</x:v>
      </x:c>
      <x:c r="H100" s="12" t="n">
        <x:f>IFERROR(LOOKUP(2,1/((Performance_Metrics!$A$2:$A$3000=$A100)*(Performance_Metrics!$D$2:$D$3000=$D100)),Performance_Metrics!$G$2:$G$3000),"")</x:f>
        <x:v>4.55</x:v>
      </x:c>
      <x:c r="I100" s="12" t="n">
        <x:f>IFERROR(SUMIFS(Normative_Data!$G$2:$G$1000,Normative_Data!$A$2:$A$1000,$B100,Normative_Data!$B$2:$B$1000,$C100,Normative_Data!$E$2:$E$1000,$D100),"")</x:f>
        <x:v>4.82</x:v>
      </x:c>
      <x:c r="J100" s="18" t="n">
        <x:f>IF(OR($H100="",$I100=""),"",($H100-$I100)/$I100)</x:f>
        <x:v>-0.056016597510373536</x:v>
      </x:c>
      <x:c r="K100" s="12" t="str">
        <x:f>IF(OR($H100="",$I100="",$F100=""),"",IF(ABS($J100)&lt;=0.05,"Equal to Norm",IF($F100="lower",IF($H100&lt;$I100,"Above Norm","Below Norm"),IF($H100&gt;$I100,"Above Norm","Below Norm"))))</x:f>
        <x:v>Above Norm</x:v>
      </x:c>
      <x:c r="L100" s="12" t="str">
        <x:f>IFERROR(VLOOKUP($D100&amp;"|"&amp;$K100,Recommendation_Lookup!$A$2:$H$19,2,FALSE),"")</x:f>
        <x:v>Maintain change-of-direction performance</x:v>
      </x:c>
      <x:c r="M100" s="12" t="str">
        <x:f>IFERROR(VLOOKUP($D100&amp;"|"&amp;$K100,Recommendation_Lookup!$A$2:$H$19,3,FALSE),"")</x:f>
        <x:v>Reactive decision-making; braking tolerance; bilateral symmetry; movement variability</x:v>
      </x:c>
      <x:c r="N100" s="12" t="str">
        <x:f>IFERROR(VLOOKUP($D100&amp;"|"&amp;$K100,Recommendation_Lookup!$A$2:$H$19,4,FALSE),"")</x:f>
        <x:v>Maintain planned change-of-direction work and progress toward reactive agility. Use low-volume, high-quality exposures with multiple starting and turning strategies.</x:v>
      </x:c>
      <x:c r="O100" s="12" t="str">
        <x:f>IFERROR(VLOOKUP($D100&amp;"|"&amp;$K100,Recommendation_Lookup!$A$2:$H$19,5,FALSE),"")</x:f>
        <x:v>RVX Advanced Change of Direction</x:v>
      </x:c>
      <x:c r="P100" s="12" t="str">
        <x:f>IFERROR(VLOOKUP($D100&amp;"|"&amp;$K100,Recommendation_Lookup!$A$2:$H$19,6,FALSE),"")</x:f>
        <x:v>RVX Reactive Agility</x:v>
      </x:c>
      <x:c r="Q100" s="12" t="str">
        <x:f>IFERROR(VLOOKUP($D100&amp;"|"&amp;$K100,Recommendation_Lookup!$A$2:$H$19,7,FALSE),"")</x:f>
        <x:v>Brake under control, own the plant and accelerate out immediately.</x:v>
      </x:c>
      <x:c r="R100" s="12" t="str">
        <x:f>IFERROR(VLOOKUP($D100&amp;"|"&amp;$K100,Recommendation_Lookup!$A$2:$H$19,8,FALSE),"")</x:f>
        <x:v>Retest every 6–8 weeks with left and right trial review.</x:v>
      </x:c>
      <x:c r="S100" s="12"/>
      <x:c r="T100" s="12"/>
      <x:c r="U100" s="12"/>
      <x:c r="V100" s="12"/>
      <x:c r="W100" s="12" t="str">
        <x:f>IF($S100&lt;&gt;"",$S100,$K100)</x:f>
        <x:v>Above Norm</x:v>
      </x:c>
      <x:c r="X100" s="12" t="str">
        <x:f>IF($T100&lt;&gt;"",$T100,$L100)</x:f>
        <x:v>Maintain change-of-direction performance</x:v>
      </x:c>
      <x:c r="Y100" s="12" t="str">
        <x:f>IF($U100&lt;&gt;"",$U100,$N100)</x:f>
        <x:v>Maintain planned change-of-direction work and progress toward reactive agility. Use low-volume, high-quality exposures with multiple starting and turning strategies.</x:v>
      </x:c>
      <x:c r="Z100" s="12" t="str">
        <x:f>IF($V100&lt;&gt;"",$V100,$O100)</x:f>
        <x:v>RVX Advanced Change of Direction</x:v>
      </x:c>
      <x:c r="AA100" s="12"/>
    </x:row>
    <x:row r="101">
      <x:c r="A101" s="12" t="str">
        <x:v>RVX-00017</x:v>
      </x:c>
      <x:c r="B101" s="12" t="str">
        <x:f>IFERROR(VLOOKUP($A101,Athlete_Profile!$A$2:$L$51,6,FALSE),"")</x:f>
        <x:v>Hockey</x:v>
      </x:c>
      <x:c r="C101" s="12" t="str">
        <x:f>IFERROR(VLOOKUP($A101,Athlete_Profile!$A$2:$L$51,5,FALSE),"")</x:f>
        <x:v>Female</x:v>
      </x:c>
      <x:c r="D101" s="12" t="str">
        <x:v>cmj_depth</x:v>
      </x:c>
      <x:c r="E101" s="12" t="str">
        <x:f>IFERROR(VLOOKUP($D101,Dropdown_Lists!$K$2:$N$7,2,FALSE),"")</x:f>
        <x:v>Countermovement Depth</x:v>
      </x:c>
      <x:c r="F101" s="12" t="str">
        <x:f>IFERROR(VLOOKUP($D101,Dropdown_Lists!$K$2:$N$7,3,FALSE),"")</x:f>
        <x:v>higher</x:v>
      </x:c>
      <x:c r="G101" s="17" t="n">
        <x:f>IFERROR(LOOKUP(2,1/((Performance_Metrics!$A$2:$A$3000=$A101)*(Performance_Metrics!$D$2:$D$3000=$D101)),Performance_Metrics!$C$2:$C$3000),"")</x:f>
        <x:v>46230</x:v>
      </x:c>
      <x:c r="H101" s="12" t="n">
        <x:f>IFERROR(LOOKUP(2,1/((Performance_Metrics!$A$2:$A$3000=$A101)*(Performance_Metrics!$D$2:$D$3000=$D101)),Performance_Metrics!$G$2:$G$3000),"")</x:f>
        <x:v>31.8</x:v>
      </x:c>
      <x:c r="I101" s="12" t="n">
        <x:f>IFERROR(SUMIFS(Normative_Data!$G$2:$G$1000,Normative_Data!$A$2:$A$1000,$B101,Normative_Data!$B$2:$B$1000,$C101,Normative_Data!$E$2:$E$1000,$D101),"")</x:f>
        <x:v>30</x:v>
      </x:c>
      <x:c r="J101" s="18" t="n">
        <x:f>IF(OR($H101="",$I101=""),"",($H101-$I101)/$I101)</x:f>
        <x:v>0.060000000000000026</x:v>
      </x:c>
      <x:c r="K101" s="12" t="str">
        <x:f>IF(OR($H101="",$I101="",$F101=""),"",IF(ABS($J101)&lt;=0.05,"Equal to Norm",IF($F101="lower",IF($H101&lt;$I101,"Above Norm","Below Norm"),IF($H101&gt;$I101,"Above Norm","Below Norm"))))</x:f>
        <x:v>Above Norm</x:v>
      </x:c>
      <x:c r="L101" s="12" t="str">
        <x:f>IFERROR(VLOOKUP($D101&amp;"|"&amp;$K101,Recommendation_Lookup!$A$2:$H$19,2,FALSE),"")</x:f>
        <x:v>Maintain effective countermovement strategy</x:v>
      </x:c>
      <x:c r="M101" s="12" t="str">
        <x:f>IFERROR(VLOOKUP($D101&amp;"|"&amp;$K101,Recommendation_Lookup!$A$2:$H$19,3,FALSE),"")</x:f>
        <x:v>Movement efficiency; eccentric control; jump consistency; depth-to-output relationship</x:v>
      </x:c>
      <x:c r="N101" s="12" t="str">
        <x:f>IFERROR(VLOOKUP($D101&amp;"|"&amp;$K101,Recommendation_Lookup!$A$2:$H$19,4,FALSE),"")</x:f>
        <x:v>Maintain the athlete’s preferred countermovement strategy while ensuring the additional depth contributes to force and impulse rather than excessive movement time.</x:v>
      </x:c>
      <x:c r="O101" s="12" t="str">
        <x:f>IFERROR(VLOOKUP($D101&amp;"|"&amp;$K101,Recommendation_Lookup!$A$2:$H$19,5,FALSE),"")</x:f>
        <x:v>RVX Jump Performance Advanced</x:v>
      </x:c>
      <x:c r="P101" s="12" t="str">
        <x:f>IFERROR(VLOOKUP($D101&amp;"|"&amp;$K101,Recommendation_Lookup!$A$2:$H$19,6,FALSE),"")</x:f>
        <x:v>RVX Eccentric Strength Microdose</x:v>
      </x:c>
      <x:c r="Q101" s="12" t="str">
        <x:f>IFERROR(VLOOKUP($D101&amp;"|"&amp;$K101,Recommendation_Lookup!$A$2:$H$19,7,FALSE),"")</x:f>
        <x:v>Use the depth you can control, then reverse quickly and aggressively.</x:v>
      </x:c>
      <x:c r="R101" s="12" t="str">
        <x:f>IFERROR(VLOOKUP($D101&amp;"|"&amp;$K101,Recommendation_Lookup!$A$2:$H$19,8,FALSE),"")</x:f>
        <x:v>Retest every 6–8 weeks while monitoring jump height and contraction time.</x:v>
      </x:c>
      <x:c r="S101" s="12"/>
      <x:c r="T101" s="12"/>
      <x:c r="U101" s="12"/>
      <x:c r="V101" s="12"/>
      <x:c r="W101" s="12" t="str">
        <x:f>IF($S101&lt;&gt;"",$S101,$K101)</x:f>
        <x:v>Above Norm</x:v>
      </x:c>
      <x:c r="X101" s="12" t="str">
        <x:f>IF($T101&lt;&gt;"",$T101,$L101)</x:f>
        <x:v>Maintain effective countermovement strategy</x:v>
      </x:c>
      <x:c r="Y101" s="12" t="str">
        <x:f>IF($U101&lt;&gt;"",$U101,$N101)</x:f>
        <x:v>Maintain the athlete’s preferred countermovement strategy while ensuring the additional depth contributes to force and impulse rather than excessive movement time.</x:v>
      </x:c>
      <x:c r="Z101" s="12" t="str">
        <x:f>IF($V101&lt;&gt;"",$V101,$O101)</x:f>
        <x:v>RVX Jump Performance Advanced</x:v>
      </x:c>
      <x:c r="AA101" s="12"/>
    </x:row>
    <x:row r="102">
      <x:c r="A102" s="12" t="str">
        <x:v>RVX-00017</x:v>
      </x:c>
      <x:c r="B102" s="12" t="str">
        <x:f>IFERROR(VLOOKUP($A102,Athlete_Profile!$A$2:$L$51,6,FALSE),"")</x:f>
        <x:v>Hockey</x:v>
      </x:c>
      <x:c r="C102" s="12" t="str">
        <x:f>IFERROR(VLOOKUP($A102,Athlete_Profile!$A$2:$L$51,5,FALSE),"")</x:f>
        <x:v>Female</x:v>
      </x:c>
      <x:c r="D102" s="12" t="str">
        <x:v>peak_force</x:v>
      </x:c>
      <x:c r="E102" s="12" t="str">
        <x:f>IFERROR(VLOOKUP($D102,Dropdown_Lists!$K$2:$N$7,2,FALSE),"")</x:f>
        <x:v>Peak Force</x:v>
      </x:c>
      <x:c r="F102" s="12" t="str">
        <x:f>IFERROR(VLOOKUP($D102,Dropdown_Lists!$K$2:$N$7,3,FALSE),"")</x:f>
        <x:v>higher</x:v>
      </x:c>
      <x:c r="G102" s="17" t="n">
        <x:f>IFERROR(LOOKUP(2,1/((Performance_Metrics!$A$2:$A$3000=$A102)*(Performance_Metrics!$D$2:$D$3000=$D102)),Performance_Metrics!$C$2:$C$3000),"")</x:f>
        <x:v>46230</x:v>
      </x:c>
      <x:c r="H102" s="12" t="n">
        <x:f>IFERROR(LOOKUP(2,1/((Performance_Metrics!$A$2:$A$3000=$A102)*(Performance_Metrics!$D$2:$D$3000=$D102)),Performance_Metrics!$G$2:$G$3000),"")</x:f>
        <x:v>1845</x:v>
      </x:c>
      <x:c r="I102" s="12" t="n">
        <x:f>IFERROR(SUMIFS(Normative_Data!$G$2:$G$1000,Normative_Data!$A$2:$A$1000,$B102,Normative_Data!$B$2:$B$1000,$C102,Normative_Data!$E$2:$E$1000,$D102),"")</x:f>
        <x:v>1750</x:v>
      </x:c>
      <x:c r="J102" s="18" t="n">
        <x:f>IF(OR($H102="",$I102=""),"",($H102-$I102)/$I102)</x:f>
        <x:v>0.054285714285714284</x:v>
      </x:c>
      <x:c r="K102" s="12" t="str">
        <x:f>IF(OR($H102="",$I102="",$F102=""),"",IF(ABS($J102)&lt;=0.05,"Equal to Norm",IF($F102="lower",IF($H102&lt;$I102,"Above Norm","Below Norm"),IF($H102&gt;$I102,"Above Norm","Below Norm"))))</x:f>
        <x:v>Above Norm</x:v>
      </x:c>
      <x:c r="L102" s="12" t="str">
        <x:f>IFERROR(VLOOKUP($D102&amp;"|"&amp;$K102,Recommendation_Lookup!$A$2:$H$19,2,FALSE),"")</x:f>
        <x:v>Maintain maximal force qualities</x:v>
      </x:c>
      <x:c r="M102" s="12" t="str">
        <x:f>IFERROR(VLOOKUP($D102&amp;"|"&amp;$K102,Recommendation_Lookup!$A$2:$H$19,3,FALSE),"")</x:f>
        <x:v>Force application speed; asymmetry; fatigue management; sport transfer</x:v>
      </x:c>
      <x:c r="N102" s="12" t="str">
        <x:f>IFERROR(VLOOKUP($D102&amp;"|"&amp;$K102,Recommendation_Lookup!$A$2:$H$19,4,FALSE),"")</x:f>
        <x:v>Maintain maximal force with low-volume strength exposure while shifting selected work toward power and sport-specific application. Monitor asymmetry and fatigue.</x:v>
      </x:c>
      <x:c r="O102" s="12" t="str">
        <x:f>IFERROR(VLOOKUP($D102&amp;"|"&amp;$K102,Recommendation_Lookup!$A$2:$H$19,5,FALSE),"")</x:f>
        <x:v>RVX Advanced Strength-Power</x:v>
      </x:c>
      <x:c r="P102" s="12" t="str">
        <x:f>IFERROR(VLOOKUP($D102&amp;"|"&amp;$K102,Recommendation_Lookup!$A$2:$H$19,6,FALSE),"")</x:f>
        <x:v>RVX Force Maintenance Microdose</x:v>
      </x:c>
      <x:c r="Q102" s="12" t="str">
        <x:f>IFERROR(VLOOKUP($D102&amp;"|"&amp;$K102,Recommendation_Lookup!$A$2:$H$19,7,FALSE),"")</x:f>
        <x:v>Produce high force without losing position or movement speed.</x:v>
      </x:c>
      <x:c r="R102" s="12" t="str">
        <x:f>IFERROR(VLOOKUP($D102&amp;"|"&amp;$K102,Recommendation_Lookup!$A$2:$H$19,8,FALSE),"")</x:f>
        <x:v>Retest every 6–8 weeks or following a strength-power phase.</x:v>
      </x:c>
      <x:c r="S102" s="12"/>
      <x:c r="T102" s="12"/>
      <x:c r="U102" s="12"/>
      <x:c r="V102" s="12"/>
      <x:c r="W102" s="12" t="str">
        <x:f>IF($S102&lt;&gt;"",$S102,$K102)</x:f>
        <x:v>Above Norm</x:v>
      </x:c>
      <x:c r="X102" s="12" t="str">
        <x:f>IF($T102&lt;&gt;"",$T102,$L102)</x:f>
        <x:v>Maintain maximal force qualities</x:v>
      </x:c>
      <x:c r="Y102" s="12" t="str">
        <x:f>IF($U102&lt;&gt;"",$U102,$N102)</x:f>
        <x:v>Maintain maximal force with low-volume strength exposure while shifting selected work toward power and sport-specific application. Monitor asymmetry and fatigue.</x:v>
      </x:c>
      <x:c r="Z102" s="12" t="str">
        <x:f>IF($V102&lt;&gt;"",$V102,$O102)</x:f>
        <x:v>RVX Advanced Strength-Power</x:v>
      </x:c>
      <x:c r="AA102" s="12"/>
    </x:row>
    <x:row r="103">
      <x:c r="A103" s="12" t="str">
        <x:v>RVX-00017</x:v>
      </x:c>
      <x:c r="B103" s="12" t="str">
        <x:f>IFERROR(VLOOKUP($A103,Athlete_Profile!$A$2:$L$51,6,FALSE),"")</x:f>
        <x:v>Hockey</x:v>
      </x:c>
      <x:c r="C103" s="12" t="str">
        <x:f>IFERROR(VLOOKUP($A103,Athlete_Profile!$A$2:$L$51,5,FALSE),"")</x:f>
        <x:v>Female</x:v>
      </x:c>
      <x:c r="D103" s="12" t="str">
        <x:v>impulse</x:v>
      </x:c>
      <x:c r="E103" s="12" t="str">
        <x:f>IFERROR(VLOOKUP($D103,Dropdown_Lists!$K$2:$N$7,2,FALSE),"")</x:f>
        <x:v>Impulse-Momentum</x:v>
      </x:c>
      <x:c r="F103" s="12" t="str">
        <x:f>IFERROR(VLOOKUP($D103,Dropdown_Lists!$K$2:$N$7,3,FALSE),"")</x:f>
        <x:v>higher</x:v>
      </x:c>
      <x:c r="G103" s="17" t="n">
        <x:f>IFERROR(LOOKUP(2,1/((Performance_Metrics!$A$2:$A$3000=$A103)*(Performance_Metrics!$D$2:$D$3000=$D103)),Performance_Metrics!$C$2:$C$3000),"")</x:f>
        <x:v>46230</x:v>
      </x:c>
      <x:c r="H103" s="12" t="n">
        <x:f>IFERROR(LOOKUP(2,1/((Performance_Metrics!$A$2:$A$3000=$A103)*(Performance_Metrics!$D$2:$D$3000=$D103)),Performance_Metrics!$G$2:$G$3000),"")</x:f>
        <x:v>229.7</x:v>
      </x:c>
      <x:c r="I103" s="12" t="n">
        <x:f>IFERROR(SUMIFS(Normative_Data!$G$2:$G$1000,Normative_Data!$A$2:$A$1000,$B103,Normative_Data!$B$2:$B$1000,$C103,Normative_Data!$E$2:$E$1000,$D103),"")</x:f>
        <x:v>215</x:v>
      </x:c>
      <x:c r="J103" s="18" t="n">
        <x:f>IF(OR($H103="",$I103=""),"",($H103-$I103)/$I103)</x:f>
        <x:v>0.06837209302325577</x:v>
      </x:c>
      <x:c r="K103" s="12" t="str">
        <x:f>IF(OR($H103="",$I103="",$F103=""),"",IF(ABS($J103)&lt;=0.05,"Equal to Norm",IF($F103="lower",IF($H103&lt;$I103,"Above Norm","Below Norm"),IF($H103&gt;$I103,"Above Norm","Below Norm"))))</x:f>
        <x:v>Above Norm</x:v>
      </x:c>
      <x:c r="L103" s="12" t="str">
        <x:f>IFERROR(VLOOKUP($D103&amp;"|"&amp;$K103,Recommendation_Lookup!$A$2:$H$19,2,FALSE),"")</x:f>
        <x:v>Maintain total force-time output</x:v>
      </x:c>
      <x:c r="M103" s="12" t="str">
        <x:f>IFERROR(VLOOKUP($D103&amp;"|"&amp;$K103,Recommendation_Lookup!$A$2:$H$19,3,FALSE),"")</x:f>
        <x:v>Rate of force development; movement time; power transfer; fatigue resistance</x:v>
      </x:c>
      <x:c r="N103" s="12" t="str">
        <x:f>IFERROR(VLOOKUP($D103&amp;"|"&amp;$K103,Recommendation_Lookup!$A$2:$H$19,4,FALSE),"")</x:f>
        <x:v>Maintain impulse with strength-power microdosing and varied jump or sprint exposures. Ensure high impulse is achieved efficiently rather than through excessive movement time.</x:v>
      </x:c>
      <x:c r="O103" s="12" t="str">
        <x:f>IFERROR(VLOOKUP($D103&amp;"|"&amp;$K103,Recommendation_Lookup!$A$2:$H$19,5,FALSE),"")</x:f>
        <x:v>RVX Advanced Power Development</x:v>
      </x:c>
      <x:c r="P103" s="12" t="str">
        <x:f>IFERROR(VLOOKUP($D103&amp;"|"&amp;$K103,Recommendation_Lookup!$A$2:$H$19,6,FALSE),"")</x:f>
        <x:v>RVX Elastic Power Microdose</x:v>
      </x:c>
      <x:c r="Q103" s="12" t="str">
        <x:f>IFERROR(VLOOKUP($D103&amp;"|"&amp;$K103,Recommendation_Lookup!$A$2:$H$19,7,FALSE),"")</x:f>
        <x:v>Build force quickly and keep applying it through the full movement.</x:v>
      </x:c>
      <x:c r="R103" s="12" t="str">
        <x:f>IFERROR(VLOOKUP($D103&amp;"|"&amp;$K103,Recommendation_Lookup!$A$2:$H$19,8,FALSE),"")</x:f>
        <x:v>Retest every 6–8 weeks while reviewing contraction time and jump outcome.</x:v>
      </x:c>
      <x:c r="S103" s="12"/>
      <x:c r="T103" s="12"/>
      <x:c r="U103" s="12"/>
      <x:c r="V103" s="12"/>
      <x:c r="W103" s="12" t="str">
        <x:f>IF($S103&lt;&gt;"",$S103,$K103)</x:f>
        <x:v>Above Norm</x:v>
      </x:c>
      <x:c r="X103" s="12" t="str">
        <x:f>IF($T103&lt;&gt;"",$T103,$L103)</x:f>
        <x:v>Maintain total force-time output</x:v>
      </x:c>
      <x:c r="Y103" s="12" t="str">
        <x:f>IF($U103&lt;&gt;"",$U103,$N103)</x:f>
        <x:v>Maintain impulse with strength-power microdosing and varied jump or sprint exposures. Ensure high impulse is achieved efficiently rather than through excessive movement time.</x:v>
      </x:c>
      <x:c r="Z103" s="12" t="str">
        <x:f>IF($V103&lt;&gt;"",$V103,$O103)</x:f>
        <x:v>RVX Advanced Power Development</x:v>
      </x:c>
      <x:c r="AA103" s="12"/>
    </x:row>
    <x:row r="104">
      <x:c r="A104" s="12" t="str">
        <x:v>RVX-00018</x:v>
      </x:c>
      <x:c r="B104" s="12" t="str">
        <x:f>IFERROR(VLOOKUP($A104,Athlete_Profile!$A$2:$L$51,6,FALSE),"")</x:f>
        <x:v>Hockey</x:v>
      </x:c>
      <x:c r="C104" s="12" t="str">
        <x:f>IFERROR(VLOOKUP($A104,Athlete_Profile!$A$2:$L$51,5,FALSE),"")</x:f>
        <x:v>Male</x:v>
      </x:c>
      <x:c r="D104" s="12" t="str">
        <x:v>sprint_5m</x:v>
      </x:c>
      <x:c r="E104" s="12" t="str">
        <x:f>IFERROR(VLOOKUP($D104,Dropdown_Lists!$K$2:$N$7,2,FALSE),"")</x:f>
        <x:v>5m Sprint</x:v>
      </x:c>
      <x:c r="F104" s="12" t="str">
        <x:f>IFERROR(VLOOKUP($D104,Dropdown_Lists!$K$2:$N$7,3,FALSE),"")</x:f>
        <x:v>lower</x:v>
      </x:c>
      <x:c r="G104" s="17" t="n">
        <x:f>IFERROR(LOOKUP(2,1/((Performance_Metrics!$A$2:$A$3000=$A104)*(Performance_Metrics!$D$2:$D$3000=$D104)),Performance_Metrics!$C$2:$C$3000),"")</x:f>
        <x:v>46230</x:v>
      </x:c>
      <x:c r="H104" s="12" t="n">
        <x:f>IFERROR(LOOKUP(2,1/((Performance_Metrics!$A$2:$A$3000=$A104)*(Performance_Metrics!$D$2:$D$3000=$D104)),Performance_Metrics!$G$2:$G$3000),"")</x:f>
        <x:v>1.12</x:v>
      </x:c>
      <x:c r="I104" s="12" t="n">
        <x:f>IFERROR(SUMIFS(Normative_Data!$G$2:$G$1000,Normative_Data!$A$2:$A$1000,$B104,Normative_Data!$B$2:$B$1000,$C104,Normative_Data!$E$2:$E$1000,$D104),"")</x:f>
        <x:v>1.08</x:v>
      </x:c>
      <x:c r="J104" s="18" t="n">
        <x:f>IF(OR($H104="",$I104=""),"",($H104-$I104)/$I104)</x:f>
        <x:v>0.03703703703703707</x:v>
      </x:c>
      <x:c r="K104" s="12" t="str">
        <x:f>IF(OR($H104="",$I104="",$F104=""),"",IF(ABS($J104)&lt;=0.05,"Equal to Norm",IF($F104="lower",IF($H104&lt;$I104,"Above Norm","Below Norm"),IF($H104&gt;$I104,"Above Norm","Below Norm"))))</x:f>
        <x:v>Equal to Norm</x:v>
      </x:c>
      <x:c r="L104" s="12" t="str">
        <x:f>IFERROR(VLOOKUP($D104&amp;"|"&amp;$K104,Recommendation_Lookup!$A$2:$H$19,2,FALSE),"")</x:f>
        <x:v>Improve acceleration efficiency</x:v>
      </x:c>
      <x:c r="M104" s="12" t="str">
        <x:f>IFERROR(VLOOKUP($D104&amp;"|"&amp;$K104,Recommendation_Lookup!$A$2:$H$19,3,FALSE),"")</x:f>
        <x:v>Starting posture; shin angle; first-step direction; arm action</x:v>
      </x:c>
      <x:c r="N104" s="12" t="str">
        <x:f>IFERROR(VLOOKUP($D104&amp;"|"&amp;$K104,Recommendation_Lookup!$A$2:$H$19,4,FALSE),"")</x:f>
        <x:v>Use a focused acceleration-development block emphasizing starting position, projection and force application. Keep repetitions short with full recovery.</x:v>
      </x:c>
      <x:c r="O104" s="12" t="str">
        <x:f>IFERROR(VLOOKUP($D104&amp;"|"&amp;$K104,Recommendation_Lookup!$A$2:$H$19,5,FALSE),"")</x:f>
        <x:v>RVX Acceleration Foundations</x:v>
      </x:c>
      <x:c r="P104" s="12" t="str">
        <x:f>IFERROR(VLOOKUP($D104&amp;"|"&amp;$K104,Recommendation_Lookup!$A$2:$H$19,6,FALSE),"")</x:f>
        <x:v>RVX Sprint Mechanics</x:v>
      </x:c>
      <x:c r="Q104" s="12" t="str">
        <x:f>IFERROR(VLOOKUP($D104&amp;"|"&amp;$K104,Recommendation_Lookup!$A$2:$H$19,7,FALSE),"")</x:f>
        <x:v>Push out, not up. Keep the first steps powerful and connected.</x:v>
      </x:c>
      <x:c r="R104" s="12" t="str">
        <x:f>IFERROR(VLOOKUP($D104&amp;"|"&amp;$K104,Recommendation_Lookup!$A$2:$H$19,8,FALSE),"")</x:f>
        <x:v>Retest after 4–6 weeks of focused acceleration work.</x:v>
      </x:c>
      <x:c r="S104" s="12"/>
      <x:c r="T104" s="12"/>
      <x:c r="U104" s="12"/>
      <x:c r="V104" s="12"/>
      <x:c r="W104" s="12" t="str">
        <x:f>IF($S104&lt;&gt;"",$S104,$K104)</x:f>
        <x:v>Equal to Norm</x:v>
      </x:c>
      <x:c r="X104" s="12" t="str">
        <x:f>IF($T104&lt;&gt;"",$T104,$L104)</x:f>
        <x:v>Improve acceleration efficiency</x:v>
      </x:c>
      <x:c r="Y104" s="12" t="str">
        <x:f>IF($U104&lt;&gt;"",$U104,$N104)</x:f>
        <x:v>Use a focused acceleration-development block emphasizing starting position, projection and force application. Keep repetitions short with full recovery.</x:v>
      </x:c>
      <x:c r="Z104" s="12" t="str">
        <x:f>IF($V104&lt;&gt;"",$V104,$O104)</x:f>
        <x:v>RVX Acceleration Foundations</x:v>
      </x:c>
      <x:c r="AA104" s="12"/>
    </x:row>
    <x:row r="105">
      <x:c r="A105" s="12" t="str">
        <x:v>RVX-00018</x:v>
      </x:c>
      <x:c r="B105" s="12" t="str">
        <x:f>IFERROR(VLOOKUP($A105,Athlete_Profile!$A$2:$L$51,6,FALSE),"")</x:f>
        <x:v>Hockey</x:v>
      </x:c>
      <x:c r="C105" s="12" t="str">
        <x:f>IFERROR(VLOOKUP($A105,Athlete_Profile!$A$2:$L$51,5,FALSE),"")</x:f>
        <x:v>Male</x:v>
      </x:c>
      <x:c r="D105" s="12" t="str">
        <x:v>sprint_10m</x:v>
      </x:c>
      <x:c r="E105" s="12" t="str">
        <x:f>IFERROR(VLOOKUP($D105,Dropdown_Lists!$K$2:$N$7,2,FALSE),"")</x:f>
        <x:v>10m Sprint</x:v>
      </x:c>
      <x:c r="F105" s="12" t="str">
        <x:f>IFERROR(VLOOKUP($D105,Dropdown_Lists!$K$2:$N$7,3,FALSE),"")</x:f>
        <x:v>lower</x:v>
      </x:c>
      <x:c r="G105" s="17" t="n">
        <x:f>IFERROR(LOOKUP(2,1/((Performance_Metrics!$A$2:$A$3000=$A105)*(Performance_Metrics!$D$2:$D$3000=$D105)),Performance_Metrics!$C$2:$C$3000),"")</x:f>
        <x:v>46230</x:v>
      </x:c>
      <x:c r="H105" s="12" t="n">
        <x:f>IFERROR(LOOKUP(2,1/((Performance_Metrics!$A$2:$A$3000=$A105)*(Performance_Metrics!$D$2:$D$3000=$D105)),Performance_Metrics!$G$2:$G$3000),"")</x:f>
        <x:v>1.86</x:v>
      </x:c>
      <x:c r="I105" s="12" t="n">
        <x:f>IFERROR(SUMIFS(Normative_Data!$G$2:$G$1000,Normative_Data!$A$2:$A$1000,$B105,Normative_Data!$B$2:$B$1000,$C105,Normative_Data!$E$2:$E$1000,$D105),"")</x:f>
        <x:v>1.8</x:v>
      </x:c>
      <x:c r="J105" s="18" t="n">
        <x:f>IF(OR($H105="",$I105=""),"",($H105-$I105)/$I105)</x:f>
        <x:v>0.03333333333333336</x:v>
      </x:c>
      <x:c r="K105" s="12" t="str">
        <x:f>IF(OR($H105="",$I105="",$F105=""),"",IF(ABS($J105)&lt;=0.05,"Equal to Norm",IF($F105="lower",IF($H105&lt;$I105,"Above Norm","Below Norm"),IF($H105&gt;$I105,"Above Norm","Below Norm"))))</x:f>
        <x:v>Equal to Norm</x:v>
      </x:c>
      <x:c r="L105" s="12" t="str">
        <x:f>IFERROR(VLOOKUP($D105&amp;"|"&amp;$K105,Recommendation_Lookup!$A$2:$H$19,2,FALSE),"")</x:f>
        <x:v>Improve acceleration continuation</x:v>
      </x:c>
      <x:c r="M105" s="12" t="str">
        <x:f>IFERROR(VLOOKUP($D105&amp;"|"&amp;$K105,Recommendation_Lookup!$A$2:$H$19,3,FALSE),"")</x:f>
        <x:v>Projection; force orientation; step rhythm; trunk control</x:v>
      </x:c>
      <x:c r="N105" s="12" t="str">
        <x:f>IFERROR(VLOOKUP($D105&amp;"|"&amp;$K105,Recommendation_Lookup!$A$2:$H$19,4,FALSE),"")</x:f>
        <x:v>Build acceleration from 0–10 m using split starts, falling starts and progressive resisted sprints. Emphasize full recovery and technical consistency.</x:v>
      </x:c>
      <x:c r="O105" s="12" t="str">
        <x:f>IFERROR(VLOOKUP($D105&amp;"|"&amp;$K105,Recommendation_Lookup!$A$2:$H$19,5,FALSE),"")</x:f>
        <x:v>RVX Acceleration Development</x:v>
      </x:c>
      <x:c r="P105" s="12" t="str">
        <x:f>IFERROR(VLOOKUP($D105&amp;"|"&amp;$K105,Recommendation_Lookup!$A$2:$H$19,6,FALSE),"")</x:f>
        <x:v>RVX Sprint Mechanics</x:v>
      </x:c>
      <x:c r="Q105" s="12" t="str">
        <x:f>IFERROR(VLOOKUP($D105&amp;"|"&amp;$K105,Recommendation_Lookup!$A$2:$H$19,7,FALSE),"")</x:f>
        <x:v>Keep building speed through the line; do not stand up too early.</x:v>
      </x:c>
      <x:c r="R105" s="12" t="str">
        <x:f>IFERROR(VLOOKUP($D105&amp;"|"&amp;$K105,Recommendation_Lookup!$A$2:$H$19,8,FALSE),"")</x:f>
        <x:v>Retest after 4–6 weeks.</x:v>
      </x:c>
      <x:c r="S105" s="12"/>
      <x:c r="T105" s="12"/>
      <x:c r="U105" s="12"/>
      <x:c r="V105" s="12"/>
      <x:c r="W105" s="12" t="str">
        <x:f>IF($S105&lt;&gt;"",$S105,$K105)</x:f>
        <x:v>Equal to Norm</x:v>
      </x:c>
      <x:c r="X105" s="12" t="str">
        <x:f>IF($T105&lt;&gt;"",$T105,$L105)</x:f>
        <x:v>Improve acceleration continuation</x:v>
      </x:c>
      <x:c r="Y105" s="12" t="str">
        <x:f>IF($U105&lt;&gt;"",$U105,$N105)</x:f>
        <x:v>Build acceleration from 0–10 m using split starts, falling starts and progressive resisted sprints. Emphasize full recovery and technical consistency.</x:v>
      </x:c>
      <x:c r="Z105" s="12" t="str">
        <x:f>IF($V105&lt;&gt;"",$V105,$O105)</x:f>
        <x:v>RVX Acceleration Development</x:v>
      </x:c>
      <x:c r="AA105" s="12"/>
    </x:row>
    <x:row r="106">
      <x:c r="A106" s="12" t="str">
        <x:v>RVX-00018</x:v>
      </x:c>
      <x:c r="B106" s="12" t="str">
        <x:f>IFERROR(VLOOKUP($A106,Athlete_Profile!$A$2:$L$51,6,FALSE),"")</x:f>
        <x:v>Hockey</x:v>
      </x:c>
      <x:c r="C106" s="12" t="str">
        <x:f>IFERROR(VLOOKUP($A106,Athlete_Profile!$A$2:$L$51,5,FALSE),"")</x:f>
        <x:v>Male</x:v>
      </x:c>
      <x:c r="D106" s="12" t="str">
        <x:v>pro_agility</x:v>
      </x:c>
      <x:c r="E106" s="12" t="str">
        <x:f>IFERROR(VLOOKUP($D106,Dropdown_Lists!$K$2:$N$7,2,FALSE),"")</x:f>
        <x:v>5-10-5 Pro Agility</x:v>
      </x:c>
      <x:c r="F106" s="12" t="str">
        <x:f>IFERROR(VLOOKUP($D106,Dropdown_Lists!$K$2:$N$7,3,FALSE),"")</x:f>
        <x:v>lower</x:v>
      </x:c>
      <x:c r="G106" s="17" t="n">
        <x:f>IFERROR(LOOKUP(2,1/((Performance_Metrics!$A$2:$A$3000=$A106)*(Performance_Metrics!$D$2:$D$3000=$D106)),Performance_Metrics!$C$2:$C$3000),"")</x:f>
        <x:v>46230</x:v>
      </x:c>
      <x:c r="H106" s="12" t="n">
        <x:f>IFERROR(LOOKUP(2,1/((Performance_Metrics!$A$2:$A$3000=$A106)*(Performance_Metrics!$D$2:$D$3000=$D106)),Performance_Metrics!$G$2:$G$3000),"")</x:f>
        <x:v>4.73</x:v>
      </x:c>
      <x:c r="I106" s="12" t="n">
        <x:f>IFERROR(SUMIFS(Normative_Data!$G$2:$G$1000,Normative_Data!$A$2:$A$1000,$B106,Normative_Data!$B$2:$B$1000,$C106,Normative_Data!$E$2:$E$1000,$D106),"")</x:f>
        <x:v>4.63</x:v>
      </x:c>
      <x:c r="J106" s="18" t="n">
        <x:f>IF(OR($H106="",$I106=""),"",($H106-$I106)/$I106)</x:f>
        <x:v>0.02159827213822906</x:v>
      </x:c>
      <x:c r="K106" s="12" t="str">
        <x:f>IF(OR($H106="",$I106="",$F106=""),"",IF(ABS($J106)&lt;=0.05,"Equal to Norm",IF($F106="lower",IF($H106&lt;$I106,"Above Norm","Below Norm"),IF($H106&gt;$I106,"Above Norm","Below Norm"))))</x:f>
        <x:v>Equal to Norm</x:v>
      </x:c>
      <x:c r="L106" s="12" t="str">
        <x:f>IFERROR(VLOOKUP($D106&amp;"|"&amp;$K106,Recommendation_Lookup!$A$2:$H$19,2,FALSE),"")</x:f>
        <x:v>Improve braking and re-acceleration</x:v>
      </x:c>
      <x:c r="M106" s="12" t="str">
        <x:f>IFERROR(VLOOKUP($D106&amp;"|"&amp;$K106,Recommendation_Lookup!$A$2:$H$19,3,FALSE),"")</x:f>
        <x:v>Deceleration mechanics; foot placement; hip position; crossover efficiency</x:v>
      </x:c>
      <x:c r="N106" s="12" t="str">
        <x:f>IFERROR(VLOOKUP($D106&amp;"|"&amp;$K106,Recommendation_Lookup!$A$2:$H$19,4,FALSE),"")</x:f>
        <x:v>Use a structured change-of-direction block emphasizing braking positions, plant-foot control and efficient re-acceleration on both sides.</x:v>
      </x:c>
      <x:c r="O106" s="12" t="str">
        <x:f>IFERROR(VLOOKUP($D106&amp;"|"&amp;$K106,Recommendation_Lookup!$A$2:$H$19,5,FALSE),"")</x:f>
        <x:v>RVX Change of Direction Development</x:v>
      </x:c>
      <x:c r="P106" s="12" t="str">
        <x:f>IFERROR(VLOOKUP($D106&amp;"|"&amp;$K106,Recommendation_Lookup!$A$2:$H$19,6,FALSE),"")</x:f>
        <x:v>RVX Deceleration Mechanics</x:v>
      </x:c>
      <x:c r="Q106" s="12" t="str">
        <x:f>IFERROR(VLOOKUP($D106&amp;"|"&amp;$K106,Recommendation_Lookup!$A$2:$H$19,7,FALSE),"")</x:f>
        <x:v>Lower the centre of mass before the turn and push away from the plant.</x:v>
      </x:c>
      <x:c r="R106" s="12" t="str">
        <x:f>IFERROR(VLOOKUP($D106&amp;"|"&amp;$K106,Recommendation_Lookup!$A$2:$H$19,8,FALSE),"")</x:f>
        <x:v>Retest after 4–6 weeks and review directional splits if available.</x:v>
      </x:c>
      <x:c r="S106" s="12"/>
      <x:c r="T106" s="12"/>
      <x:c r="U106" s="12"/>
      <x:c r="V106" s="12"/>
      <x:c r="W106" s="12" t="str">
        <x:f>IF($S106&lt;&gt;"",$S106,$K106)</x:f>
        <x:v>Equal to Norm</x:v>
      </x:c>
      <x:c r="X106" s="12" t="str">
        <x:f>IF($T106&lt;&gt;"",$T106,$L106)</x:f>
        <x:v>Improve braking and re-acceleration</x:v>
      </x:c>
      <x:c r="Y106" s="12" t="str">
        <x:f>IF($U106&lt;&gt;"",$U106,$N106)</x:f>
        <x:v>Use a structured change-of-direction block emphasizing braking positions, plant-foot control and efficient re-acceleration on both sides.</x:v>
      </x:c>
      <x:c r="Z106" s="12" t="str">
        <x:f>IF($V106&lt;&gt;"",$V106,$O106)</x:f>
        <x:v>RVX Change of Direction Development</x:v>
      </x:c>
      <x:c r="AA106" s="12"/>
    </x:row>
    <x:row r="107">
      <x:c r="A107" s="12" t="str">
        <x:v>RVX-00018</x:v>
      </x:c>
      <x:c r="B107" s="12" t="str">
        <x:f>IFERROR(VLOOKUP($A107,Athlete_Profile!$A$2:$L$51,6,FALSE),"")</x:f>
        <x:v>Hockey</x:v>
      </x:c>
      <x:c r="C107" s="12" t="str">
        <x:f>IFERROR(VLOOKUP($A107,Athlete_Profile!$A$2:$L$51,5,FALSE),"")</x:f>
        <x:v>Male</x:v>
      </x:c>
      <x:c r="D107" s="12" t="str">
        <x:v>cmj_depth</x:v>
      </x:c>
      <x:c r="E107" s="12" t="str">
        <x:f>IFERROR(VLOOKUP($D107,Dropdown_Lists!$K$2:$N$7,2,FALSE),"")</x:f>
        <x:v>Countermovement Depth</x:v>
      </x:c>
      <x:c r="F107" s="12" t="str">
        <x:f>IFERROR(VLOOKUP($D107,Dropdown_Lists!$K$2:$N$7,3,FALSE),"")</x:f>
        <x:v>higher</x:v>
      </x:c>
      <x:c r="G107" s="17" t="n">
        <x:f>IFERROR(LOOKUP(2,1/((Performance_Metrics!$A$2:$A$3000=$A107)*(Performance_Metrics!$D$2:$D$3000=$D107)),Performance_Metrics!$C$2:$C$3000),"")</x:f>
        <x:v>46230</x:v>
      </x:c>
      <x:c r="H107" s="12" t="n">
        <x:f>IFERROR(LOOKUP(2,1/((Performance_Metrics!$A$2:$A$3000=$A107)*(Performance_Metrics!$D$2:$D$3000=$D107)),Performance_Metrics!$G$2:$G$3000),"")</x:f>
        <x:v>31.6</x:v>
      </x:c>
      <x:c r="I107" s="12" t="n">
        <x:f>IFERROR(SUMIFS(Normative_Data!$G$2:$G$1000,Normative_Data!$A$2:$A$1000,$B107,Normative_Data!$B$2:$B$1000,$C107,Normative_Data!$E$2:$E$1000,$D107),"")</x:f>
        <x:v>33</x:v>
      </x:c>
      <x:c r="J107" s="18" t="n">
        <x:f>IF(OR($H107="",$I107=""),"",($H107-$I107)/$I107)</x:f>
        <x:v>-0.04242424242424238</x:v>
      </x:c>
      <x:c r="K107" s="12" t="str">
        <x:f>IF(OR($H107="",$I107="",$F107=""),"",IF(ABS($J107)&lt;=0.05,"Equal to Norm",IF($F107="lower",IF($H107&lt;$I107,"Above Norm","Below Norm"),IF($H107&gt;$I107,"Above Norm","Below Norm"))))</x:f>
        <x:v>Equal to Norm</x:v>
      </x:c>
      <x:c r="L107" s="12" t="str">
        <x:f>IFERROR(VLOOKUP($D107&amp;"|"&amp;$K107,Recommendation_Lookup!$A$2:$H$19,2,FALSE),"")</x:f>
        <x:v>Optimize countermovement strategy</x:v>
      </x:c>
      <x:c r="M107" s="12" t="str">
        <x:f>IFERROR(VLOOKUP($D107&amp;"|"&amp;$K107,Recommendation_Lookup!$A$2:$H$19,3,FALSE),"")</x:f>
        <x:v>Eccentric control; trunk position; reversal timing; mobility</x:v>
      </x:c>
      <x:c r="N107" s="12" t="str">
        <x:f>IFERROR(VLOOKUP($D107&amp;"|"&amp;$K107,Recommendation_Lookup!$A$2:$H$19,4,FALSE),"")</x:f>
        <x:v>Use controlled countermovement drills and landing-to-jump progressions. Determine whether additional or reduced depth improves the athlete’s overall jump output.</x:v>
      </x:c>
      <x:c r="O107" s="12" t="str">
        <x:f>IFERROR(VLOOKUP($D107&amp;"|"&amp;$K107,Recommendation_Lookup!$A$2:$H$19,5,FALSE),"")</x:f>
        <x:v>RVX Jump Mechanics</x:v>
      </x:c>
      <x:c r="P107" s="12" t="str">
        <x:f>IFERROR(VLOOKUP($D107&amp;"|"&amp;$K107,Recommendation_Lookup!$A$2:$H$19,6,FALSE),"")</x:f>
        <x:v>RVX Eccentric Control</x:v>
      </x:c>
      <x:c r="Q107" s="12" t="str">
        <x:f>IFERROR(VLOOKUP($D107&amp;"|"&amp;$K107,Recommendation_Lookup!$A$2:$H$19,7,FALSE),"")</x:f>
        <x:v>Sit into the movement under control and reverse without losing posture.</x:v>
      </x:c>
      <x:c r="R107" s="12" t="str">
        <x:f>IFERROR(VLOOKUP($D107&amp;"|"&amp;$K107,Recommendation_Lookup!$A$2:$H$19,8,FALSE),"")</x:f>
        <x:v>Retest after 4–6 weeks with jump height and impulse reviewed together.</x:v>
      </x:c>
      <x:c r="S107" s="12"/>
      <x:c r="T107" s="12"/>
      <x:c r="U107" s="12"/>
      <x:c r="V107" s="12"/>
      <x:c r="W107" s="12" t="str">
        <x:f>IF($S107&lt;&gt;"",$S107,$K107)</x:f>
        <x:v>Equal to Norm</x:v>
      </x:c>
      <x:c r="X107" s="12" t="str">
        <x:f>IF($T107&lt;&gt;"",$T107,$L107)</x:f>
        <x:v>Optimize countermovement strategy</x:v>
      </x:c>
      <x:c r="Y107" s="12" t="str">
        <x:f>IF($U107&lt;&gt;"",$U107,$N107)</x:f>
        <x:v>Use controlled countermovement drills and landing-to-jump progressions. Determine whether additional or reduced depth improves the athlete’s overall jump output.</x:v>
      </x:c>
      <x:c r="Z107" s="12" t="str">
        <x:f>IF($V107&lt;&gt;"",$V107,$O107)</x:f>
        <x:v>RVX Jump Mechanics</x:v>
      </x:c>
      <x:c r="AA107" s="12"/>
    </x:row>
    <x:row r="108">
      <x:c r="A108" s="12" t="str">
        <x:v>RVX-00018</x:v>
      </x:c>
      <x:c r="B108" s="12" t="str">
        <x:f>IFERROR(VLOOKUP($A108,Athlete_Profile!$A$2:$L$51,6,FALSE),"")</x:f>
        <x:v>Hockey</x:v>
      </x:c>
      <x:c r="C108" s="12" t="str">
        <x:f>IFERROR(VLOOKUP($A108,Athlete_Profile!$A$2:$L$51,5,FALSE),"")</x:f>
        <x:v>Male</x:v>
      </x:c>
      <x:c r="D108" s="12" t="str">
        <x:v>peak_force</x:v>
      </x:c>
      <x:c r="E108" s="12" t="str">
        <x:f>IFERROR(VLOOKUP($D108,Dropdown_Lists!$K$2:$N$7,2,FALSE),"")</x:f>
        <x:v>Peak Force</x:v>
      </x:c>
      <x:c r="F108" s="12" t="str">
        <x:f>IFERROR(VLOOKUP($D108,Dropdown_Lists!$K$2:$N$7,3,FALSE),"")</x:f>
        <x:v>higher</x:v>
      </x:c>
      <x:c r="G108" s="17" t="n">
        <x:f>IFERROR(LOOKUP(2,1/((Performance_Metrics!$A$2:$A$3000=$A108)*(Performance_Metrics!$D$2:$D$3000=$D108)),Performance_Metrics!$C$2:$C$3000),"")</x:f>
        <x:v>46230</x:v>
      </x:c>
      <x:c r="H108" s="12" t="n">
        <x:f>IFERROR(LOOKUP(2,1/((Performance_Metrics!$A$2:$A$3000=$A108)*(Performance_Metrics!$D$2:$D$3000=$D108)),Performance_Metrics!$G$2:$G$3000),"")</x:f>
        <x:v>1811</x:v>
      </x:c>
      <x:c r="I108" s="12" t="n">
        <x:f>IFERROR(SUMIFS(Normative_Data!$G$2:$G$1000,Normative_Data!$A$2:$A$1000,$B108,Normative_Data!$B$2:$B$1000,$C108,Normative_Data!$E$2:$E$1000,$D108),"")</x:f>
        <x:v>1925</x:v>
      </x:c>
      <x:c r="J108" s="18" t="n">
        <x:f>IF(OR($H108="",$I108=""),"",($H108-$I108)/$I108)</x:f>
        <x:v>-0.05922077922077922</x:v>
      </x:c>
      <x:c r="K108" s="12" t="str">
        <x:f>IF(OR($H108="",$I108="",$F108=""),"",IF(ABS($J108)&lt;=0.05,"Equal to Norm",IF($F108="lower",IF($H108&lt;$I108,"Above Norm","Below Norm"),IF($H108&gt;$I108,"Above Norm","Below Norm"))))</x:f>
        <x:v>Below Norm</x:v>
      </x:c>
      <x:c r="L108" s="12" t="str">
        <x:f>IFERROR(VLOOKUP($D108&amp;"|"&amp;$K108,Recommendation_Lookup!$A$2:$H$19,2,FALSE),"")</x:f>
        <x:v>Build foundational force production</x:v>
      </x:c>
      <x:c r="M108" s="12" t="str">
        <x:f>IFERROR(VLOOKUP($D108&amp;"|"&amp;$K108,Recommendation_Lookup!$A$2:$H$19,3,FALSE),"")</x:f>
        <x:v>Relative strength; technique; tendon capacity; trunk stability; unilateral strength</x:v>
      </x:c>
      <x:c r="N108" s="12" t="str">
        <x:f>IFERROR(VLOOKUP($D108&amp;"|"&amp;$K108,Recommendation_Lookup!$A$2:$H$19,4,FALSE),"")</x:f>
        <x:v>Prioritize foundational strength and positional competency. Use progressive resistance, isometrics and unilateral patterns before advanced power methods.</x:v>
      </x:c>
      <x:c r="O108" s="12" t="str">
        <x:f>IFERROR(VLOOKUP($D108&amp;"|"&amp;$K108,Recommendation_Lookup!$A$2:$H$19,5,FALSE),"")</x:f>
        <x:v>RVX Strength Foundations</x:v>
      </x:c>
      <x:c r="P108" s="12" t="str">
        <x:f>IFERROR(VLOOKUP($D108&amp;"|"&amp;$K108,Recommendation_Lookup!$A$2:$H$19,6,FALSE),"")</x:f>
        <x:v>RVX Lower-Body Capacity</x:v>
      </x:c>
      <x:c r="Q108" s="12" t="str">
        <x:f>IFERROR(VLOOKUP($D108&amp;"|"&amp;$K108,Recommendation_Lookup!$A$2:$H$19,7,FALSE),"")</x:f>
        <x:v>Own the position first, then increase force with consistent intent.</x:v>
      </x:c>
      <x:c r="R108" s="12" t="str">
        <x:f>IFERROR(VLOOKUP($D108&amp;"|"&amp;$K108,Recommendation_Lookup!$A$2:$H$19,8,FALSE),"")</x:f>
        <x:v>Retest after 4–6 weeks; review body-mass-relative force when possible.</x:v>
      </x:c>
      <x:c r="S108" s="12"/>
      <x:c r="T108" s="12"/>
      <x:c r="U108" s="12"/>
      <x:c r="V108" s="12"/>
      <x:c r="W108" s="12" t="str">
        <x:f>IF($S108&lt;&gt;"",$S108,$K108)</x:f>
        <x:v>Below Norm</x:v>
      </x:c>
      <x:c r="X108" s="12" t="str">
        <x:f>IF($T108&lt;&gt;"",$T108,$L108)</x:f>
        <x:v>Build foundational force production</x:v>
      </x:c>
      <x:c r="Y108" s="12" t="str">
        <x:f>IF($U108&lt;&gt;"",$U108,$N108)</x:f>
        <x:v>Prioritize foundational strength and positional competency. Use progressive resistance, isometrics and unilateral patterns before advanced power methods.</x:v>
      </x:c>
      <x:c r="Z108" s="12" t="str">
        <x:f>IF($V108&lt;&gt;"",$V108,$O108)</x:f>
        <x:v>RVX Strength Foundations</x:v>
      </x:c>
      <x:c r="AA108" s="12"/>
    </x:row>
    <x:row r="109">
      <x:c r="A109" s="12" t="str">
        <x:v>RVX-00018</x:v>
      </x:c>
      <x:c r="B109" s="12" t="str">
        <x:f>IFERROR(VLOOKUP($A109,Athlete_Profile!$A$2:$L$51,6,FALSE),"")</x:f>
        <x:v>Hockey</x:v>
      </x:c>
      <x:c r="C109" s="12" t="str">
        <x:f>IFERROR(VLOOKUP($A109,Athlete_Profile!$A$2:$L$51,5,FALSE),"")</x:f>
        <x:v>Male</x:v>
      </x:c>
      <x:c r="D109" s="12" t="str">
        <x:v>impulse</x:v>
      </x:c>
      <x:c r="E109" s="12" t="str">
        <x:f>IFERROR(VLOOKUP($D109,Dropdown_Lists!$K$2:$N$7,2,FALSE),"")</x:f>
        <x:v>Impulse-Momentum</x:v>
      </x:c>
      <x:c r="F109" s="12" t="str">
        <x:f>IFERROR(VLOOKUP($D109,Dropdown_Lists!$K$2:$N$7,3,FALSE),"")</x:f>
        <x:v>higher</x:v>
      </x:c>
      <x:c r="G109" s="17" t="n">
        <x:f>IFERROR(LOOKUP(2,1/((Performance_Metrics!$A$2:$A$3000=$A109)*(Performance_Metrics!$D$2:$D$3000=$D109)),Performance_Metrics!$C$2:$C$3000),"")</x:f>
        <x:v>46230</x:v>
      </x:c>
      <x:c r="H109" s="12" t="n">
        <x:f>IFERROR(LOOKUP(2,1/((Performance_Metrics!$A$2:$A$3000=$A109)*(Performance_Metrics!$D$2:$D$3000=$D109)),Performance_Metrics!$G$2:$G$3000),"")</x:f>
        <x:v>228</x:v>
      </x:c>
      <x:c r="I109" s="12" t="n">
        <x:f>IFERROR(SUMIFS(Normative_Data!$G$2:$G$1000,Normative_Data!$A$2:$A$1000,$B109,Normative_Data!$B$2:$B$1000,$C109,Normative_Data!$E$2:$E$1000,$D109),"")</x:f>
        <x:v>236.5</x:v>
      </x:c>
      <x:c r="J109" s="18" t="n">
        <x:f>IF(OR($H109="",$I109=""),"",($H109-$I109)/$I109)</x:f>
        <x:v>-0.035940803382663845</x:v>
      </x:c>
      <x:c r="K109" s="12" t="str">
        <x:f>IF(OR($H109="",$I109="",$F109=""),"",IF(ABS($J109)&lt;=0.05,"Equal to Norm",IF($F109="lower",IF($H109&lt;$I109,"Above Norm","Below Norm"),IF($H109&gt;$I109,"Above Norm","Below Norm"))))</x:f>
        <x:v>Equal to Norm</x:v>
      </x:c>
      <x:c r="L109" s="12" t="str">
        <x:f>IFERROR(VLOOKUP($D109&amp;"|"&amp;$K109,Recommendation_Lookup!$A$2:$H$19,2,FALSE),"")</x:f>
        <x:v>Improve force applied over time</x:v>
      </x:c>
      <x:c r="M109" s="12" t="str">
        <x:f>IFERROR(VLOOKUP($D109&amp;"|"&amp;$K109,Recommendation_Lookup!$A$2:$H$19,3,FALSE),"")</x:f>
        <x:v>Strength; countermovement strategy; intent; coordination; power</x:v>
      </x:c>
      <x:c r="N109" s="12" t="str">
        <x:f>IFERROR(VLOOKUP($D109&amp;"|"&amp;$K109,Recommendation_Lookup!$A$2:$H$19,4,FALSE),"")</x:f>
        <x:v>Use loaded jumps, isometrics and strength-power exercises that improve the athlete’s ability to produce and sustain force through the propulsion phase.</x:v>
      </x:c>
      <x:c r="O109" s="12" t="str">
        <x:f>IFERROR(VLOOKUP($D109&amp;"|"&amp;$K109,Recommendation_Lookup!$A$2:$H$19,5,FALSE),"")</x:f>
        <x:v>RVX Power Development</x:v>
      </x:c>
      <x:c r="P109" s="12" t="str">
        <x:f>IFERROR(VLOOKUP($D109&amp;"|"&amp;$K109,Recommendation_Lookup!$A$2:$H$19,6,FALSE),"")</x:f>
        <x:v>RVX Strength-Speed</x:v>
      </x:c>
      <x:c r="Q109" s="12" t="str">
        <x:f>IFERROR(VLOOKUP($D109&amp;"|"&amp;$K109,Recommendation_Lookup!$A$2:$H$19,7,FALSE),"")</x:f>
        <x:v>Apply force early and continue driving through take-off.</x:v>
      </x:c>
      <x:c r="R109" s="12" t="str">
        <x:f>IFERROR(VLOOKUP($D109&amp;"|"&amp;$K109,Recommendation_Lookup!$A$2:$H$19,8,FALSE),"")</x:f>
        <x:v>Retest after 4–6 weeks.</x:v>
      </x:c>
      <x:c r="S109" s="12"/>
      <x:c r="T109" s="12"/>
      <x:c r="U109" s="12"/>
      <x:c r="V109" s="12"/>
      <x:c r="W109" s="12" t="str">
        <x:f>IF($S109&lt;&gt;"",$S109,$K109)</x:f>
        <x:v>Equal to Norm</x:v>
      </x:c>
      <x:c r="X109" s="12" t="str">
        <x:f>IF($T109&lt;&gt;"",$T109,$L109)</x:f>
        <x:v>Improve force applied over time</x:v>
      </x:c>
      <x:c r="Y109" s="12" t="str">
        <x:f>IF($U109&lt;&gt;"",$U109,$N109)</x:f>
        <x:v>Use loaded jumps, isometrics and strength-power exercises that improve the athlete’s ability to produce and sustain force through the propulsion phase.</x:v>
      </x:c>
      <x:c r="Z109" s="12" t="str">
        <x:f>IF($V109&lt;&gt;"",$V109,$O109)</x:f>
        <x:v>RVX Power Development</x:v>
      </x:c>
      <x:c r="AA109" s="12"/>
    </x:row>
    <x:row r="110">
      <x:c r="A110" s="12" t="str">
        <x:v>RVX-00019</x:v>
      </x:c>
      <x:c r="B110" s="12" t="str">
        <x:f>IFERROR(VLOOKUP($A110,Athlete_Profile!$A$2:$L$51,6,FALSE),"")</x:f>
        <x:v>Hockey</x:v>
      </x:c>
      <x:c r="C110" s="12" t="str">
        <x:f>IFERROR(VLOOKUP($A110,Athlete_Profile!$A$2:$L$51,5,FALSE),"")</x:f>
        <x:v>Female</x:v>
      </x:c>
      <x:c r="D110" s="12" t="str">
        <x:v>sprint_5m</x:v>
      </x:c>
      <x:c r="E110" s="12" t="str">
        <x:f>IFERROR(VLOOKUP($D110,Dropdown_Lists!$K$2:$N$7,2,FALSE),"")</x:f>
        <x:v>5m Sprint</x:v>
      </x:c>
      <x:c r="F110" s="12" t="str">
        <x:f>IFERROR(VLOOKUP($D110,Dropdown_Lists!$K$2:$N$7,3,FALSE),"")</x:f>
        <x:v>lower</x:v>
      </x:c>
      <x:c r="G110" s="17" t="n">
        <x:f>IFERROR(LOOKUP(2,1/((Performance_Metrics!$A$2:$A$3000=$A110)*(Performance_Metrics!$D$2:$D$3000=$D110)),Performance_Metrics!$C$2:$C$3000),"")</x:f>
        <x:v>46230</x:v>
      </x:c>
      <x:c r="H110" s="12" t="n">
        <x:f>IFERROR(LOOKUP(2,1/((Performance_Metrics!$A$2:$A$3000=$A110)*(Performance_Metrics!$D$2:$D$3000=$D110)),Performance_Metrics!$G$2:$G$3000),"")</x:f>
        <x:v>0.94</x:v>
      </x:c>
      <x:c r="I110" s="12" t="n">
        <x:f>IFERROR(SUMIFS(Normative_Data!$G$2:$G$1000,Normative_Data!$A$2:$A$1000,$B110,Normative_Data!$B$2:$B$1000,$C110,Normative_Data!$E$2:$E$1000,$D110),"")</x:f>
        <x:v>1.12</x:v>
      </x:c>
      <x:c r="J110" s="18" t="n">
        <x:f>IF(OR($H110="",$I110=""),"",($H110-$I110)/$I110)</x:f>
        <x:v>-0.16071428571428584</x:v>
      </x:c>
      <x:c r="K110" s="12" t="str">
        <x:f>IF(OR($H110="",$I110="",$F110=""),"",IF(ABS($J110)&lt;=0.05,"Equal to Norm",IF($F110="lower",IF($H110&lt;$I110,"Above Norm","Below Norm"),IF($H110&gt;$I110,"Above Norm","Below Norm"))))</x:f>
        <x:v>Above Norm</x:v>
      </x:c>
      <x:c r="L110" s="12" t="str">
        <x:f>IFERROR(VLOOKUP($D110&amp;"|"&amp;$K110,Recommendation_Lookup!$A$2:$H$19,2,FALSE),"")</x:f>
        <x:v>Maintain first-step explosiveness</x:v>
      </x:c>
      <x:c r="M110" s="12" t="str">
        <x:f>IFERROR(VLOOKUP($D110&amp;"|"&amp;$K110,Recommendation_Lookup!$A$2:$H$19,3,FALSE),"")</x:f>
        <x:v>Start consistency; projection angle; horizontal force; reaction quality</x:v>
      </x:c>
      <x:c r="N110" s="12" t="str">
        <x:f>IFERROR(VLOOKUP($D110&amp;"|"&amp;$K110,Recommendation_Lookup!$A$2:$H$19,4,FALSE),"")</x:f>
        <x:v>Maintain speed with low-volume, high-quality acceleration exposures. Avoid unnecessary volume that could reduce sprint quality. Progress through resisted and reactive starts while preserving mechanics.</x:v>
      </x:c>
      <x:c r="O110" s="12" t="str">
        <x:f>IFERROR(VLOOKUP($D110&amp;"|"&amp;$K110,Recommendation_Lookup!$A$2:$H$19,5,FALSE),"")</x:f>
        <x:v>RVX Advanced Acceleration</x:v>
      </x:c>
      <x:c r="P110" s="12" t="str">
        <x:f>IFERROR(VLOOKUP($D110&amp;"|"&amp;$K110,Recommendation_Lookup!$A$2:$H$19,6,FALSE),"")</x:f>
        <x:v>RVX Explosive Starts Microdose</x:v>
      </x:c>
      <x:c r="Q110" s="12" t="str">
        <x:f>IFERROR(VLOOKUP($D110&amp;"|"&amp;$K110,Recommendation_Lookup!$A$2:$H$19,7,FALSE),"")</x:f>
        <x:v>Project forward, push the ground back, and win the first three steps.</x:v>
      </x:c>
      <x:c r="R110" s="12" t="str">
        <x:f>IFERROR(VLOOKUP($D110&amp;"|"&amp;$K110,Recommendation_Lookup!$A$2:$H$19,8,FALSE),"")</x:f>
        <x:v>Retest every 6–8 weeks or after a dedicated acceleration block.</x:v>
      </x:c>
      <x:c r="S110" s="12"/>
      <x:c r="T110" s="12"/>
      <x:c r="U110" s="12"/>
      <x:c r="V110" s="12"/>
      <x:c r="W110" s="12" t="str">
        <x:f>IF($S110&lt;&gt;"",$S110,$K110)</x:f>
        <x:v>Above Norm</x:v>
      </x:c>
      <x:c r="X110" s="12" t="str">
        <x:f>IF($T110&lt;&gt;"",$T110,$L110)</x:f>
        <x:v>Maintain first-step explosiveness</x:v>
      </x:c>
      <x:c r="Y110" s="12" t="str">
        <x:f>IF($U110&lt;&gt;"",$U110,$N110)</x:f>
        <x:v>Maintain speed with low-volume, high-quality acceleration exposures. Avoid unnecessary volume that could reduce sprint quality. Progress through resisted and reactive starts while preserving mechanics.</x:v>
      </x:c>
      <x:c r="Z110" s="12" t="str">
        <x:f>IF($V110&lt;&gt;"",$V110,$O110)</x:f>
        <x:v>RVX Advanced Acceleration</x:v>
      </x:c>
      <x:c r="AA110" s="12"/>
    </x:row>
    <x:row r="111">
      <x:c r="A111" s="12" t="str">
        <x:v>RVX-00019</x:v>
      </x:c>
      <x:c r="B111" s="12" t="str">
        <x:f>IFERROR(VLOOKUP($A111,Athlete_Profile!$A$2:$L$51,6,FALSE),"")</x:f>
        <x:v>Hockey</x:v>
      </x:c>
      <x:c r="C111" s="12" t="str">
        <x:f>IFERROR(VLOOKUP($A111,Athlete_Profile!$A$2:$L$51,5,FALSE),"")</x:f>
        <x:v>Female</x:v>
      </x:c>
      <x:c r="D111" s="12" t="str">
        <x:v>sprint_10m</x:v>
      </x:c>
      <x:c r="E111" s="12" t="str">
        <x:f>IFERROR(VLOOKUP($D111,Dropdown_Lists!$K$2:$N$7,2,FALSE),"")</x:f>
        <x:v>10m Sprint</x:v>
      </x:c>
      <x:c r="F111" s="12" t="str">
        <x:f>IFERROR(VLOOKUP($D111,Dropdown_Lists!$K$2:$N$7,3,FALSE),"")</x:f>
        <x:v>lower</x:v>
      </x:c>
      <x:c r="G111" s="17" t="n">
        <x:f>IFERROR(LOOKUP(2,1/((Performance_Metrics!$A$2:$A$3000=$A111)*(Performance_Metrics!$D$2:$D$3000=$D111)),Performance_Metrics!$C$2:$C$3000),"")</x:f>
        <x:v>46230</x:v>
      </x:c>
      <x:c r="H111" s="12" t="n">
        <x:f>IFERROR(LOOKUP(2,1/((Performance_Metrics!$A$2:$A$3000=$A111)*(Performance_Metrics!$D$2:$D$3000=$D111)),Performance_Metrics!$G$2:$G$3000),"")</x:f>
        <x:v>1.57</x:v>
      </x:c>
      <x:c r="I111" s="12" t="n">
        <x:f>IFERROR(SUMIFS(Normative_Data!$G$2:$G$1000,Normative_Data!$A$2:$A$1000,$B111,Normative_Data!$B$2:$B$1000,$C111,Normative_Data!$E$2:$E$1000,$D111),"")</x:f>
        <x:v>1.88</x:v>
      </x:c>
      <x:c r="J111" s="18" t="n">
        <x:f>IF(OR($H111="",$I111=""),"",($H111-$I111)/$I111)</x:f>
        <x:v>-0.16489361702127653</x:v>
      </x:c>
      <x:c r="K111" s="12" t="str">
        <x:f>IF(OR($H111="",$I111="",$F111=""),"",IF(ABS($J111)&lt;=0.05,"Equal to Norm",IF($F111="lower",IF($H111&lt;$I111,"Above Norm","Below Norm"),IF($H111&gt;$I111,"Above Norm","Below Norm"))))</x:f>
        <x:v>Above Norm</x:v>
      </x:c>
      <x:c r="L111" s="12" t="str">
        <x:f>IFERROR(VLOOKUP($D111&amp;"|"&amp;$K111,Recommendation_Lookup!$A$2:$H$19,2,FALSE),"")</x:f>
        <x:v>Maintain acceleration through 10 m</x:v>
      </x:c>
      <x:c r="M111" s="12" t="str">
        <x:f>IFERROR(VLOOKUP($D111&amp;"|"&amp;$K111,Recommendation_Lookup!$A$2:$H$19,3,FALSE),"")</x:f>
        <x:v>Transition mechanics; stride rhythm; stiffness; repeatability</x:v>
      </x:c>
      <x:c r="N111" s="12" t="str">
        <x:f>IFERROR(VLOOKUP($D111&amp;"|"&amp;$K111,Recommendation_Lookup!$A$2:$H$19,4,FALSE),"")</x:f>
        <x:v>Maintain one to two weekly high-quality acceleration exposures. Add varied starts and light resistance while monitoring consistency across trials.</x:v>
      </x:c>
      <x:c r="O111" s="12" t="str">
        <x:f>IFERROR(VLOOKUP($D111&amp;"|"&amp;$K111,Recommendation_Lookup!$A$2:$H$19,5,FALSE),"")</x:f>
        <x:v>RVX Advanced Acceleration</x:v>
      </x:c>
      <x:c r="P111" s="12" t="str">
        <x:f>IFERROR(VLOOKUP($D111&amp;"|"&amp;$K111,Recommendation_Lookup!$A$2:$H$19,6,FALSE),"")</x:f>
        <x:v>RVX Speed Maintenance Microdose</x:v>
      </x:c>
      <x:c r="Q111" s="12" t="str">
        <x:f>IFERROR(VLOOKUP($D111&amp;"|"&amp;$K111,Recommendation_Lookup!$A$2:$H$19,7,FALSE),"")</x:f>
        <x:v>Stay patient through acceleration and keep pushing behind the body.</x:v>
      </x:c>
      <x:c r="R111" s="12" t="str">
        <x:f>IFERROR(VLOOKUP($D111&amp;"|"&amp;$K111,Recommendation_Lookup!$A$2:$H$19,8,FALSE),"")</x:f>
        <x:v>Retest every 6–8 weeks or after a speed block.</x:v>
      </x:c>
      <x:c r="S111" s="12"/>
      <x:c r="T111" s="12"/>
      <x:c r="U111" s="12"/>
      <x:c r="V111" s="12"/>
      <x:c r="W111" s="12" t="str">
        <x:f>IF($S111&lt;&gt;"",$S111,$K111)</x:f>
        <x:v>Above Norm</x:v>
      </x:c>
      <x:c r="X111" s="12" t="str">
        <x:f>IF($T111&lt;&gt;"",$T111,$L111)</x:f>
        <x:v>Maintain acceleration through 10 m</x:v>
      </x:c>
      <x:c r="Y111" s="12" t="str">
        <x:f>IF($U111&lt;&gt;"",$U111,$N111)</x:f>
        <x:v>Maintain one to two weekly high-quality acceleration exposures. Add varied starts and light resistance while monitoring consistency across trials.</x:v>
      </x:c>
      <x:c r="Z111" s="12" t="str">
        <x:f>IF($V111&lt;&gt;"",$V111,$O111)</x:f>
        <x:v>RVX Advanced Acceleration</x:v>
      </x:c>
      <x:c r="AA111" s="12"/>
    </x:row>
    <x:row r="112">
      <x:c r="A112" s="12" t="str">
        <x:v>RVX-00019</x:v>
      </x:c>
      <x:c r="B112" s="12" t="str">
        <x:f>IFERROR(VLOOKUP($A112,Athlete_Profile!$A$2:$L$51,6,FALSE),"")</x:f>
        <x:v>Hockey</x:v>
      </x:c>
      <x:c r="C112" s="12" t="str">
        <x:f>IFERROR(VLOOKUP($A112,Athlete_Profile!$A$2:$L$51,5,FALSE),"")</x:f>
        <x:v>Female</x:v>
      </x:c>
      <x:c r="D112" s="12" t="str">
        <x:v>pro_agility</x:v>
      </x:c>
      <x:c r="E112" s="12" t="str">
        <x:f>IFERROR(VLOOKUP($D112,Dropdown_Lists!$K$2:$N$7,2,FALSE),"")</x:f>
        <x:v>5-10-5 Pro Agility</x:v>
      </x:c>
      <x:c r="F112" s="12" t="str">
        <x:f>IFERROR(VLOOKUP($D112,Dropdown_Lists!$K$2:$N$7,3,FALSE),"")</x:f>
        <x:v>lower</x:v>
      </x:c>
      <x:c r="G112" s="17" t="n">
        <x:f>IFERROR(LOOKUP(2,1/((Performance_Metrics!$A$2:$A$3000=$A112)*(Performance_Metrics!$D$2:$D$3000=$D112)),Performance_Metrics!$C$2:$C$3000),"")</x:f>
        <x:v>46230</x:v>
      </x:c>
      <x:c r="H112" s="12" t="n">
        <x:f>IFERROR(LOOKUP(2,1/((Performance_Metrics!$A$2:$A$3000=$A112)*(Performance_Metrics!$D$2:$D$3000=$D112)),Performance_Metrics!$G$2:$G$3000),"")</x:f>
        <x:v>4.07</x:v>
      </x:c>
      <x:c r="I112" s="12" t="n">
        <x:f>IFERROR(SUMIFS(Normative_Data!$G$2:$G$1000,Normative_Data!$A$2:$A$1000,$B112,Normative_Data!$B$2:$B$1000,$C112,Normative_Data!$E$2:$E$1000,$D112),"")</x:f>
        <x:v>4.82</x:v>
      </x:c>
      <x:c r="J112" s="18" t="n">
        <x:f>IF(OR($H112="",$I112=""),"",($H112-$I112)/$I112)</x:f>
        <x:v>-0.15560165975103735</x:v>
      </x:c>
      <x:c r="K112" s="12" t="str">
        <x:f>IF(OR($H112="",$I112="",$F112=""),"",IF(ABS($J112)&lt;=0.05,"Equal to Norm",IF($F112="lower",IF($H112&lt;$I112,"Above Norm","Below Norm"),IF($H112&gt;$I112,"Above Norm","Below Norm"))))</x:f>
        <x:v>Above Norm</x:v>
      </x:c>
      <x:c r="L112" s="12" t="str">
        <x:f>IFERROR(VLOOKUP($D112&amp;"|"&amp;$K112,Recommendation_Lookup!$A$2:$H$19,2,FALSE),"")</x:f>
        <x:v>Maintain change-of-direction performance</x:v>
      </x:c>
      <x:c r="M112" s="12" t="str">
        <x:f>IFERROR(VLOOKUP($D112&amp;"|"&amp;$K112,Recommendation_Lookup!$A$2:$H$19,3,FALSE),"")</x:f>
        <x:v>Reactive decision-making; braking tolerance; bilateral symmetry; movement variability</x:v>
      </x:c>
      <x:c r="N112" s="12" t="str">
        <x:f>IFERROR(VLOOKUP($D112&amp;"|"&amp;$K112,Recommendation_Lookup!$A$2:$H$19,4,FALSE),"")</x:f>
        <x:v>Maintain planned change-of-direction work and progress toward reactive agility. Use low-volume, high-quality exposures with multiple starting and turning strategies.</x:v>
      </x:c>
      <x:c r="O112" s="12" t="str">
        <x:f>IFERROR(VLOOKUP($D112&amp;"|"&amp;$K112,Recommendation_Lookup!$A$2:$H$19,5,FALSE),"")</x:f>
        <x:v>RVX Advanced Change of Direction</x:v>
      </x:c>
      <x:c r="P112" s="12" t="str">
        <x:f>IFERROR(VLOOKUP($D112&amp;"|"&amp;$K112,Recommendation_Lookup!$A$2:$H$19,6,FALSE),"")</x:f>
        <x:v>RVX Reactive Agility</x:v>
      </x:c>
      <x:c r="Q112" s="12" t="str">
        <x:f>IFERROR(VLOOKUP($D112&amp;"|"&amp;$K112,Recommendation_Lookup!$A$2:$H$19,7,FALSE),"")</x:f>
        <x:v>Brake under control, own the plant and accelerate out immediately.</x:v>
      </x:c>
      <x:c r="R112" s="12" t="str">
        <x:f>IFERROR(VLOOKUP($D112&amp;"|"&amp;$K112,Recommendation_Lookup!$A$2:$H$19,8,FALSE),"")</x:f>
        <x:v>Retest every 6–8 weeks with left and right trial review.</x:v>
      </x:c>
      <x:c r="S112" s="12"/>
      <x:c r="T112" s="12"/>
      <x:c r="U112" s="12"/>
      <x:c r="V112" s="12"/>
      <x:c r="W112" s="12" t="str">
        <x:f>IF($S112&lt;&gt;"",$S112,$K112)</x:f>
        <x:v>Above Norm</x:v>
      </x:c>
      <x:c r="X112" s="12" t="str">
        <x:f>IF($T112&lt;&gt;"",$T112,$L112)</x:f>
        <x:v>Maintain change-of-direction performance</x:v>
      </x:c>
      <x:c r="Y112" s="12" t="str">
        <x:f>IF($U112&lt;&gt;"",$U112,$N112)</x:f>
        <x:v>Maintain planned change-of-direction work and progress toward reactive agility. Use low-volume, high-quality exposures with multiple starting and turning strategies.</x:v>
      </x:c>
      <x:c r="Z112" s="12" t="str">
        <x:f>IF($V112&lt;&gt;"",$V112,$O112)</x:f>
        <x:v>RVX Advanced Change of Direction</x:v>
      </x:c>
      <x:c r="AA112" s="12"/>
    </x:row>
    <x:row r="113">
      <x:c r="A113" s="12" t="str">
        <x:v>RVX-00019</x:v>
      </x:c>
      <x:c r="B113" s="12" t="str">
        <x:f>IFERROR(VLOOKUP($A113,Athlete_Profile!$A$2:$L$51,6,FALSE),"")</x:f>
        <x:v>Hockey</x:v>
      </x:c>
      <x:c r="C113" s="12" t="str">
        <x:f>IFERROR(VLOOKUP($A113,Athlete_Profile!$A$2:$L$51,5,FALSE),"")</x:f>
        <x:v>Female</x:v>
      </x:c>
      <x:c r="D113" s="12" t="str">
        <x:v>cmj_depth</x:v>
      </x:c>
      <x:c r="E113" s="12" t="str">
        <x:f>IFERROR(VLOOKUP($D113,Dropdown_Lists!$K$2:$N$7,2,FALSE),"")</x:f>
        <x:v>Countermovement Depth</x:v>
      </x:c>
      <x:c r="F113" s="12" t="str">
        <x:f>IFERROR(VLOOKUP($D113,Dropdown_Lists!$K$2:$N$7,3,FALSE),"")</x:f>
        <x:v>higher</x:v>
      </x:c>
      <x:c r="G113" s="17" t="n">
        <x:f>IFERROR(LOOKUP(2,1/((Performance_Metrics!$A$2:$A$3000=$A113)*(Performance_Metrics!$D$2:$D$3000=$D113)),Performance_Metrics!$C$2:$C$3000),"")</x:f>
        <x:v>46230</x:v>
      </x:c>
      <x:c r="H113" s="12" t="n">
        <x:f>IFERROR(LOOKUP(2,1/((Performance_Metrics!$A$2:$A$3000=$A113)*(Performance_Metrics!$D$2:$D$3000=$D113)),Performance_Metrics!$G$2:$G$3000),"")</x:f>
        <x:v>34.8</x:v>
      </x:c>
      <x:c r="I113" s="12" t="n">
        <x:f>IFERROR(SUMIFS(Normative_Data!$G$2:$G$1000,Normative_Data!$A$2:$A$1000,$B113,Normative_Data!$B$2:$B$1000,$C113,Normative_Data!$E$2:$E$1000,$D113),"")</x:f>
        <x:v>30</x:v>
      </x:c>
      <x:c r="J113" s="18" t="n">
        <x:f>IF(OR($H113="",$I113=""),"",($H113-$I113)/$I113)</x:f>
        <x:v>0.1599999999999999</x:v>
      </x:c>
      <x:c r="K113" s="12" t="str">
        <x:f>IF(OR($H113="",$I113="",$F113=""),"",IF(ABS($J113)&lt;=0.05,"Equal to Norm",IF($F113="lower",IF($H113&lt;$I113,"Above Norm","Below Norm"),IF($H113&gt;$I113,"Above Norm","Below Norm"))))</x:f>
        <x:v>Above Norm</x:v>
      </x:c>
      <x:c r="L113" s="12" t="str">
        <x:f>IFERROR(VLOOKUP($D113&amp;"|"&amp;$K113,Recommendation_Lookup!$A$2:$H$19,2,FALSE),"")</x:f>
        <x:v>Maintain effective countermovement strategy</x:v>
      </x:c>
      <x:c r="M113" s="12" t="str">
        <x:f>IFERROR(VLOOKUP($D113&amp;"|"&amp;$K113,Recommendation_Lookup!$A$2:$H$19,3,FALSE),"")</x:f>
        <x:v>Movement efficiency; eccentric control; jump consistency; depth-to-output relationship</x:v>
      </x:c>
      <x:c r="N113" s="12" t="str">
        <x:f>IFERROR(VLOOKUP($D113&amp;"|"&amp;$K113,Recommendation_Lookup!$A$2:$H$19,4,FALSE),"")</x:f>
        <x:v>Maintain the athlete’s preferred countermovement strategy while ensuring the additional depth contributes to force and impulse rather than excessive movement time.</x:v>
      </x:c>
      <x:c r="O113" s="12" t="str">
        <x:f>IFERROR(VLOOKUP($D113&amp;"|"&amp;$K113,Recommendation_Lookup!$A$2:$H$19,5,FALSE),"")</x:f>
        <x:v>RVX Jump Performance Advanced</x:v>
      </x:c>
      <x:c r="P113" s="12" t="str">
        <x:f>IFERROR(VLOOKUP($D113&amp;"|"&amp;$K113,Recommendation_Lookup!$A$2:$H$19,6,FALSE),"")</x:f>
        <x:v>RVX Eccentric Strength Microdose</x:v>
      </x:c>
      <x:c r="Q113" s="12" t="str">
        <x:f>IFERROR(VLOOKUP($D113&amp;"|"&amp;$K113,Recommendation_Lookup!$A$2:$H$19,7,FALSE),"")</x:f>
        <x:v>Use the depth you can control, then reverse quickly and aggressively.</x:v>
      </x:c>
      <x:c r="R113" s="12" t="str">
        <x:f>IFERROR(VLOOKUP($D113&amp;"|"&amp;$K113,Recommendation_Lookup!$A$2:$H$19,8,FALSE),"")</x:f>
        <x:v>Retest every 6–8 weeks while monitoring jump height and contraction time.</x:v>
      </x:c>
      <x:c r="S113" s="12"/>
      <x:c r="T113" s="12"/>
      <x:c r="U113" s="12"/>
      <x:c r="V113" s="12"/>
      <x:c r="W113" s="12" t="str">
        <x:f>IF($S113&lt;&gt;"",$S113,$K113)</x:f>
        <x:v>Above Norm</x:v>
      </x:c>
      <x:c r="X113" s="12" t="str">
        <x:f>IF($T113&lt;&gt;"",$T113,$L113)</x:f>
        <x:v>Maintain effective countermovement strategy</x:v>
      </x:c>
      <x:c r="Y113" s="12" t="str">
        <x:f>IF($U113&lt;&gt;"",$U113,$N113)</x:f>
        <x:v>Maintain the athlete’s preferred countermovement strategy while ensuring the additional depth contributes to force and impulse rather than excessive movement time.</x:v>
      </x:c>
      <x:c r="Z113" s="12" t="str">
        <x:f>IF($V113&lt;&gt;"",$V113,$O113)</x:f>
        <x:v>RVX Jump Performance Advanced</x:v>
      </x:c>
      <x:c r="AA113" s="12"/>
    </x:row>
    <x:row r="114">
      <x:c r="A114" s="12" t="str">
        <x:v>RVX-00019</x:v>
      </x:c>
      <x:c r="B114" s="12" t="str">
        <x:f>IFERROR(VLOOKUP($A114,Athlete_Profile!$A$2:$L$51,6,FALSE),"")</x:f>
        <x:v>Hockey</x:v>
      </x:c>
      <x:c r="C114" s="12" t="str">
        <x:f>IFERROR(VLOOKUP($A114,Athlete_Profile!$A$2:$L$51,5,FALSE),"")</x:f>
        <x:v>Female</x:v>
      </x:c>
      <x:c r="D114" s="12" t="str">
        <x:v>peak_force</x:v>
      </x:c>
      <x:c r="E114" s="12" t="str">
        <x:f>IFERROR(VLOOKUP($D114,Dropdown_Lists!$K$2:$N$7,2,FALSE),"")</x:f>
        <x:v>Peak Force</x:v>
      </x:c>
      <x:c r="F114" s="12" t="str">
        <x:f>IFERROR(VLOOKUP($D114,Dropdown_Lists!$K$2:$N$7,3,FALSE),"")</x:f>
        <x:v>higher</x:v>
      </x:c>
      <x:c r="G114" s="17" t="n">
        <x:f>IFERROR(LOOKUP(2,1/((Performance_Metrics!$A$2:$A$3000=$A114)*(Performance_Metrics!$D$2:$D$3000=$D114)),Performance_Metrics!$C$2:$C$3000),"")</x:f>
        <x:v>46230</x:v>
      </x:c>
      <x:c r="H114" s="12" t="n">
        <x:f>IFERROR(LOOKUP(2,1/((Performance_Metrics!$A$2:$A$3000=$A114)*(Performance_Metrics!$D$2:$D$3000=$D114)),Performance_Metrics!$G$2:$G$3000),"")</x:f>
        <x:v>2048</x:v>
      </x:c>
      <x:c r="I114" s="12" t="n">
        <x:f>IFERROR(SUMIFS(Normative_Data!$G$2:$G$1000,Normative_Data!$A$2:$A$1000,$B114,Normative_Data!$B$2:$B$1000,$C114,Normative_Data!$E$2:$E$1000,$D114),"")</x:f>
        <x:v>1750</x:v>
      </x:c>
      <x:c r="J114" s="18" t="n">
        <x:f>IF(OR($H114="",$I114=""),"",($H114-$I114)/$I114)</x:f>
        <x:v>0.1702857142857143</x:v>
      </x:c>
      <x:c r="K114" s="12" t="str">
        <x:f>IF(OR($H114="",$I114="",$F114=""),"",IF(ABS($J114)&lt;=0.05,"Equal to Norm",IF($F114="lower",IF($H114&lt;$I114,"Above Norm","Below Norm"),IF($H114&gt;$I114,"Above Norm","Below Norm"))))</x:f>
        <x:v>Above Norm</x:v>
      </x:c>
      <x:c r="L114" s="12" t="str">
        <x:f>IFERROR(VLOOKUP($D114&amp;"|"&amp;$K114,Recommendation_Lookup!$A$2:$H$19,2,FALSE),"")</x:f>
        <x:v>Maintain maximal force qualities</x:v>
      </x:c>
      <x:c r="M114" s="12" t="str">
        <x:f>IFERROR(VLOOKUP($D114&amp;"|"&amp;$K114,Recommendation_Lookup!$A$2:$H$19,3,FALSE),"")</x:f>
        <x:v>Force application speed; asymmetry; fatigue management; sport transfer</x:v>
      </x:c>
      <x:c r="N114" s="12" t="str">
        <x:f>IFERROR(VLOOKUP($D114&amp;"|"&amp;$K114,Recommendation_Lookup!$A$2:$H$19,4,FALSE),"")</x:f>
        <x:v>Maintain maximal force with low-volume strength exposure while shifting selected work toward power and sport-specific application. Monitor asymmetry and fatigue.</x:v>
      </x:c>
      <x:c r="O114" s="12" t="str">
        <x:f>IFERROR(VLOOKUP($D114&amp;"|"&amp;$K114,Recommendation_Lookup!$A$2:$H$19,5,FALSE),"")</x:f>
        <x:v>RVX Advanced Strength-Power</x:v>
      </x:c>
      <x:c r="P114" s="12" t="str">
        <x:f>IFERROR(VLOOKUP($D114&amp;"|"&amp;$K114,Recommendation_Lookup!$A$2:$H$19,6,FALSE),"")</x:f>
        <x:v>RVX Force Maintenance Microdose</x:v>
      </x:c>
      <x:c r="Q114" s="12" t="str">
        <x:f>IFERROR(VLOOKUP($D114&amp;"|"&amp;$K114,Recommendation_Lookup!$A$2:$H$19,7,FALSE),"")</x:f>
        <x:v>Produce high force without losing position or movement speed.</x:v>
      </x:c>
      <x:c r="R114" s="12" t="str">
        <x:f>IFERROR(VLOOKUP($D114&amp;"|"&amp;$K114,Recommendation_Lookup!$A$2:$H$19,8,FALSE),"")</x:f>
        <x:v>Retest every 6–8 weeks or following a strength-power phase.</x:v>
      </x:c>
      <x:c r="S114" s="12"/>
      <x:c r="T114" s="12"/>
      <x:c r="U114" s="12"/>
      <x:c r="V114" s="12"/>
      <x:c r="W114" s="12" t="str">
        <x:f>IF($S114&lt;&gt;"",$S114,$K114)</x:f>
        <x:v>Above Norm</x:v>
      </x:c>
      <x:c r="X114" s="12" t="str">
        <x:f>IF($T114&lt;&gt;"",$T114,$L114)</x:f>
        <x:v>Maintain maximal force qualities</x:v>
      </x:c>
      <x:c r="Y114" s="12" t="str">
        <x:f>IF($U114&lt;&gt;"",$U114,$N114)</x:f>
        <x:v>Maintain maximal force with low-volume strength exposure while shifting selected work toward power and sport-specific application. Monitor asymmetry and fatigue.</x:v>
      </x:c>
      <x:c r="Z114" s="12" t="str">
        <x:f>IF($V114&lt;&gt;"",$V114,$O114)</x:f>
        <x:v>RVX Advanced Strength-Power</x:v>
      </x:c>
      <x:c r="AA114" s="12"/>
    </x:row>
    <x:row r="115">
      <x:c r="A115" s="12" t="str">
        <x:v>RVX-00019</x:v>
      </x:c>
      <x:c r="B115" s="12" t="str">
        <x:f>IFERROR(VLOOKUP($A115,Athlete_Profile!$A$2:$L$51,6,FALSE),"")</x:f>
        <x:v>Hockey</x:v>
      </x:c>
      <x:c r="C115" s="12" t="str">
        <x:f>IFERROR(VLOOKUP($A115,Athlete_Profile!$A$2:$L$51,5,FALSE),"")</x:f>
        <x:v>Female</x:v>
      </x:c>
      <x:c r="D115" s="12" t="str">
        <x:v>impulse</x:v>
      </x:c>
      <x:c r="E115" s="12" t="str">
        <x:f>IFERROR(VLOOKUP($D115,Dropdown_Lists!$K$2:$N$7,2,FALSE),"")</x:f>
        <x:v>Impulse-Momentum</x:v>
      </x:c>
      <x:c r="F115" s="12" t="str">
        <x:f>IFERROR(VLOOKUP($D115,Dropdown_Lists!$K$2:$N$7,3,FALSE),"")</x:f>
        <x:v>higher</x:v>
      </x:c>
      <x:c r="G115" s="17" t="n">
        <x:f>IFERROR(LOOKUP(2,1/((Performance_Metrics!$A$2:$A$3000=$A115)*(Performance_Metrics!$D$2:$D$3000=$D115)),Performance_Metrics!$C$2:$C$3000),"")</x:f>
        <x:v>46230</x:v>
      </x:c>
      <x:c r="H115" s="12" t="n">
        <x:f>IFERROR(LOOKUP(2,1/((Performance_Metrics!$A$2:$A$3000=$A115)*(Performance_Metrics!$D$2:$D$3000=$D115)),Performance_Metrics!$G$2:$G$3000),"")</x:f>
        <x:v>253.4</x:v>
      </x:c>
      <x:c r="I115" s="12" t="n">
        <x:f>IFERROR(SUMIFS(Normative_Data!$G$2:$G$1000,Normative_Data!$A$2:$A$1000,$B115,Normative_Data!$B$2:$B$1000,$C115,Normative_Data!$E$2:$E$1000,$D115),"")</x:f>
        <x:v>215</x:v>
      </x:c>
      <x:c r="J115" s="18" t="n">
        <x:f>IF(OR($H115="",$I115=""),"",($H115-$I115)/$I115)</x:f>
        <x:v>0.17860465116279073</x:v>
      </x:c>
      <x:c r="K115" s="12" t="str">
        <x:f>IF(OR($H115="",$I115="",$F115=""),"",IF(ABS($J115)&lt;=0.05,"Equal to Norm",IF($F115="lower",IF($H115&lt;$I115,"Above Norm","Below Norm"),IF($H115&gt;$I115,"Above Norm","Below Norm"))))</x:f>
        <x:v>Above Norm</x:v>
      </x:c>
      <x:c r="L115" s="12" t="str">
        <x:f>IFERROR(VLOOKUP($D115&amp;"|"&amp;$K115,Recommendation_Lookup!$A$2:$H$19,2,FALSE),"")</x:f>
        <x:v>Maintain total force-time output</x:v>
      </x:c>
      <x:c r="M115" s="12" t="str">
        <x:f>IFERROR(VLOOKUP($D115&amp;"|"&amp;$K115,Recommendation_Lookup!$A$2:$H$19,3,FALSE),"")</x:f>
        <x:v>Rate of force development; movement time; power transfer; fatigue resistance</x:v>
      </x:c>
      <x:c r="N115" s="12" t="str">
        <x:f>IFERROR(VLOOKUP($D115&amp;"|"&amp;$K115,Recommendation_Lookup!$A$2:$H$19,4,FALSE),"")</x:f>
        <x:v>Maintain impulse with strength-power microdosing and varied jump or sprint exposures. Ensure high impulse is achieved efficiently rather than through excessive movement time.</x:v>
      </x:c>
      <x:c r="O115" s="12" t="str">
        <x:f>IFERROR(VLOOKUP($D115&amp;"|"&amp;$K115,Recommendation_Lookup!$A$2:$H$19,5,FALSE),"")</x:f>
        <x:v>RVX Advanced Power Development</x:v>
      </x:c>
      <x:c r="P115" s="12" t="str">
        <x:f>IFERROR(VLOOKUP($D115&amp;"|"&amp;$K115,Recommendation_Lookup!$A$2:$H$19,6,FALSE),"")</x:f>
        <x:v>RVX Elastic Power Microdose</x:v>
      </x:c>
      <x:c r="Q115" s="12" t="str">
        <x:f>IFERROR(VLOOKUP($D115&amp;"|"&amp;$K115,Recommendation_Lookup!$A$2:$H$19,7,FALSE),"")</x:f>
        <x:v>Build force quickly and keep applying it through the full movement.</x:v>
      </x:c>
      <x:c r="R115" s="12" t="str">
        <x:f>IFERROR(VLOOKUP($D115&amp;"|"&amp;$K115,Recommendation_Lookup!$A$2:$H$19,8,FALSE),"")</x:f>
        <x:v>Retest every 6–8 weeks while reviewing contraction time and jump outcome.</x:v>
      </x:c>
      <x:c r="S115" s="12"/>
      <x:c r="T115" s="12"/>
      <x:c r="U115" s="12"/>
      <x:c r="V115" s="12"/>
      <x:c r="W115" s="12" t="str">
        <x:f>IF($S115&lt;&gt;"",$S115,$K115)</x:f>
        <x:v>Above Norm</x:v>
      </x:c>
      <x:c r="X115" s="12" t="str">
        <x:f>IF($T115&lt;&gt;"",$T115,$L115)</x:f>
        <x:v>Maintain total force-time output</x:v>
      </x:c>
      <x:c r="Y115" s="12" t="str">
        <x:f>IF($U115&lt;&gt;"",$U115,$N115)</x:f>
        <x:v>Maintain impulse with strength-power microdosing and varied jump or sprint exposures. Ensure high impulse is achieved efficiently rather than through excessive movement time.</x:v>
      </x:c>
      <x:c r="Z115" s="12" t="str">
        <x:f>IF($V115&lt;&gt;"",$V115,$O115)</x:f>
        <x:v>RVX Advanced Power Development</x:v>
      </x:c>
      <x:c r="AA115" s="12"/>
    </x:row>
    <x:row r="116">
      <x:c r="A116" s="12" t="str">
        <x:v>RVX-00020</x:v>
      </x:c>
      <x:c r="B116" s="12" t="str">
        <x:f>IFERROR(VLOOKUP($A116,Athlete_Profile!$A$2:$L$51,6,FALSE),"")</x:f>
        <x:v>Hockey</x:v>
      </x:c>
      <x:c r="C116" s="12" t="str">
        <x:f>IFERROR(VLOOKUP($A116,Athlete_Profile!$A$2:$L$51,5,FALSE),"")</x:f>
        <x:v>Male</x:v>
      </x:c>
      <x:c r="D116" s="12" t="str">
        <x:v>sprint_5m</x:v>
      </x:c>
      <x:c r="E116" s="12" t="str">
        <x:f>IFERROR(VLOOKUP($D116,Dropdown_Lists!$K$2:$N$7,2,FALSE),"")</x:f>
        <x:v>5m Sprint</x:v>
      </x:c>
      <x:c r="F116" s="12" t="str">
        <x:f>IFERROR(VLOOKUP($D116,Dropdown_Lists!$K$2:$N$7,3,FALSE),"")</x:f>
        <x:v>lower</x:v>
      </x:c>
      <x:c r="G116" s="17" t="n">
        <x:f>IFERROR(LOOKUP(2,1/((Performance_Metrics!$A$2:$A$3000=$A116)*(Performance_Metrics!$D$2:$D$3000=$D116)),Performance_Metrics!$C$2:$C$3000),"")</x:f>
        <x:v>46230</x:v>
      </x:c>
      <x:c r="H116" s="12" t="n">
        <x:f>IFERROR(LOOKUP(2,1/((Performance_Metrics!$A$2:$A$3000=$A116)*(Performance_Metrics!$D$2:$D$3000=$D116)),Performance_Metrics!$G$2:$G$3000),"")</x:f>
        <x:v>1.03</x:v>
      </x:c>
      <x:c r="I116" s="12" t="n">
        <x:f>IFERROR(SUMIFS(Normative_Data!$G$2:$G$1000,Normative_Data!$A$2:$A$1000,$B116,Normative_Data!$B$2:$B$1000,$C116,Normative_Data!$E$2:$E$1000,$D116),"")</x:f>
        <x:v>1.08</x:v>
      </x:c>
      <x:c r="J116" s="18" t="n">
        <x:f>IF(OR($H116="",$I116=""),"",($H116-$I116)/$I116)</x:f>
        <x:v>-0.046296296296296335</x:v>
      </x:c>
      <x:c r="K116" s="12" t="str">
        <x:f>IF(OR($H116="",$I116="",$F116=""),"",IF(ABS($J116)&lt;=0.05,"Equal to Norm",IF($F116="lower",IF($H116&lt;$I116,"Above Norm","Below Norm"),IF($H116&gt;$I116,"Above Norm","Below Norm"))))</x:f>
        <x:v>Equal to Norm</x:v>
      </x:c>
      <x:c r="L116" s="12" t="str">
        <x:f>IFERROR(VLOOKUP($D116&amp;"|"&amp;$K116,Recommendation_Lookup!$A$2:$H$19,2,FALSE),"")</x:f>
        <x:v>Improve acceleration efficiency</x:v>
      </x:c>
      <x:c r="M116" s="12" t="str">
        <x:f>IFERROR(VLOOKUP($D116&amp;"|"&amp;$K116,Recommendation_Lookup!$A$2:$H$19,3,FALSE),"")</x:f>
        <x:v>Starting posture; shin angle; first-step direction; arm action</x:v>
      </x:c>
      <x:c r="N116" s="12" t="str">
        <x:f>IFERROR(VLOOKUP($D116&amp;"|"&amp;$K116,Recommendation_Lookup!$A$2:$H$19,4,FALSE),"")</x:f>
        <x:v>Use a focused acceleration-development block emphasizing starting position, projection and force application. Keep repetitions short with full recovery.</x:v>
      </x:c>
      <x:c r="O116" s="12" t="str">
        <x:f>IFERROR(VLOOKUP($D116&amp;"|"&amp;$K116,Recommendation_Lookup!$A$2:$H$19,5,FALSE),"")</x:f>
        <x:v>RVX Acceleration Foundations</x:v>
      </x:c>
      <x:c r="P116" s="12" t="str">
        <x:f>IFERROR(VLOOKUP($D116&amp;"|"&amp;$K116,Recommendation_Lookup!$A$2:$H$19,6,FALSE),"")</x:f>
        <x:v>RVX Sprint Mechanics</x:v>
      </x:c>
      <x:c r="Q116" s="12" t="str">
        <x:f>IFERROR(VLOOKUP($D116&amp;"|"&amp;$K116,Recommendation_Lookup!$A$2:$H$19,7,FALSE),"")</x:f>
        <x:v>Push out, not up. Keep the first steps powerful and connected.</x:v>
      </x:c>
      <x:c r="R116" s="12" t="str">
        <x:f>IFERROR(VLOOKUP($D116&amp;"|"&amp;$K116,Recommendation_Lookup!$A$2:$H$19,8,FALSE),"")</x:f>
        <x:v>Retest after 4–6 weeks of focused acceleration work.</x:v>
      </x:c>
      <x:c r="S116" s="12"/>
      <x:c r="T116" s="12"/>
      <x:c r="U116" s="12"/>
      <x:c r="V116" s="12"/>
      <x:c r="W116" s="12" t="str">
        <x:f>IF($S116&lt;&gt;"",$S116,$K116)</x:f>
        <x:v>Equal to Norm</x:v>
      </x:c>
      <x:c r="X116" s="12" t="str">
        <x:f>IF($T116&lt;&gt;"",$T116,$L116)</x:f>
        <x:v>Improve acceleration efficiency</x:v>
      </x:c>
      <x:c r="Y116" s="12" t="str">
        <x:f>IF($U116&lt;&gt;"",$U116,$N116)</x:f>
        <x:v>Use a focused acceleration-development block emphasizing starting position, projection and force application. Keep repetitions short with full recovery.</x:v>
      </x:c>
      <x:c r="Z116" s="12" t="str">
        <x:f>IF($V116&lt;&gt;"",$V116,$O116)</x:f>
        <x:v>RVX Acceleration Foundations</x:v>
      </x:c>
      <x:c r="AA116" s="12"/>
    </x:row>
    <x:row r="117">
      <x:c r="A117" s="12" t="str">
        <x:v>RVX-00020</x:v>
      </x:c>
      <x:c r="B117" s="12" t="str">
        <x:f>IFERROR(VLOOKUP($A117,Athlete_Profile!$A$2:$L$51,6,FALSE),"")</x:f>
        <x:v>Hockey</x:v>
      </x:c>
      <x:c r="C117" s="12" t="str">
        <x:f>IFERROR(VLOOKUP($A117,Athlete_Profile!$A$2:$L$51,5,FALSE),"")</x:f>
        <x:v>Male</x:v>
      </x:c>
      <x:c r="D117" s="12" t="str">
        <x:v>sprint_10m</x:v>
      </x:c>
      <x:c r="E117" s="12" t="str">
        <x:f>IFERROR(VLOOKUP($D117,Dropdown_Lists!$K$2:$N$7,2,FALSE),"")</x:f>
        <x:v>10m Sprint</x:v>
      </x:c>
      <x:c r="F117" s="12" t="str">
        <x:f>IFERROR(VLOOKUP($D117,Dropdown_Lists!$K$2:$N$7,3,FALSE),"")</x:f>
        <x:v>lower</x:v>
      </x:c>
      <x:c r="G117" s="17" t="n">
        <x:f>IFERROR(LOOKUP(2,1/((Performance_Metrics!$A$2:$A$3000=$A117)*(Performance_Metrics!$D$2:$D$3000=$D117)),Performance_Metrics!$C$2:$C$3000),"")</x:f>
        <x:v>46230</x:v>
      </x:c>
      <x:c r="H117" s="12" t="n">
        <x:f>IFERROR(LOOKUP(2,1/((Performance_Metrics!$A$2:$A$3000=$A117)*(Performance_Metrics!$D$2:$D$3000=$D117)),Performance_Metrics!$G$2:$G$3000),"")</x:f>
        <x:v>1.75</x:v>
      </x:c>
      <x:c r="I117" s="12" t="n">
        <x:f>IFERROR(SUMIFS(Normative_Data!$G$2:$G$1000,Normative_Data!$A$2:$A$1000,$B117,Normative_Data!$B$2:$B$1000,$C117,Normative_Data!$E$2:$E$1000,$D117),"")</x:f>
        <x:v>1.8</x:v>
      </x:c>
      <x:c r="J117" s="18" t="n">
        <x:f>IF(OR($H117="",$I117=""),"",($H117-$I117)/$I117)</x:f>
        <x:v>-0.0277777777777778</x:v>
      </x:c>
      <x:c r="K117" s="12" t="str">
        <x:f>IF(OR($H117="",$I117="",$F117=""),"",IF(ABS($J117)&lt;=0.05,"Equal to Norm",IF($F117="lower",IF($H117&lt;$I117,"Above Norm","Below Norm"),IF($H117&gt;$I117,"Above Norm","Below Norm"))))</x:f>
        <x:v>Equal to Norm</x:v>
      </x:c>
      <x:c r="L117" s="12" t="str">
        <x:f>IFERROR(VLOOKUP($D117&amp;"|"&amp;$K117,Recommendation_Lookup!$A$2:$H$19,2,FALSE),"")</x:f>
        <x:v>Improve acceleration continuation</x:v>
      </x:c>
      <x:c r="M117" s="12" t="str">
        <x:f>IFERROR(VLOOKUP($D117&amp;"|"&amp;$K117,Recommendation_Lookup!$A$2:$H$19,3,FALSE),"")</x:f>
        <x:v>Projection; force orientation; step rhythm; trunk control</x:v>
      </x:c>
      <x:c r="N117" s="12" t="str">
        <x:f>IFERROR(VLOOKUP($D117&amp;"|"&amp;$K117,Recommendation_Lookup!$A$2:$H$19,4,FALSE),"")</x:f>
        <x:v>Build acceleration from 0–10 m using split starts, falling starts and progressive resisted sprints. Emphasize full recovery and technical consistency.</x:v>
      </x:c>
      <x:c r="O117" s="12" t="str">
        <x:f>IFERROR(VLOOKUP($D117&amp;"|"&amp;$K117,Recommendation_Lookup!$A$2:$H$19,5,FALSE),"")</x:f>
        <x:v>RVX Acceleration Development</x:v>
      </x:c>
      <x:c r="P117" s="12" t="str">
        <x:f>IFERROR(VLOOKUP($D117&amp;"|"&amp;$K117,Recommendation_Lookup!$A$2:$H$19,6,FALSE),"")</x:f>
        <x:v>RVX Sprint Mechanics</x:v>
      </x:c>
      <x:c r="Q117" s="12" t="str">
        <x:f>IFERROR(VLOOKUP($D117&amp;"|"&amp;$K117,Recommendation_Lookup!$A$2:$H$19,7,FALSE),"")</x:f>
        <x:v>Keep building speed through the line; do not stand up too early.</x:v>
      </x:c>
      <x:c r="R117" s="12" t="str">
        <x:f>IFERROR(VLOOKUP($D117&amp;"|"&amp;$K117,Recommendation_Lookup!$A$2:$H$19,8,FALSE),"")</x:f>
        <x:v>Retest after 4–6 weeks.</x:v>
      </x:c>
      <x:c r="S117" s="12"/>
      <x:c r="T117" s="12"/>
      <x:c r="U117" s="12"/>
      <x:c r="V117" s="12"/>
      <x:c r="W117" s="12" t="str">
        <x:f>IF($S117&lt;&gt;"",$S117,$K117)</x:f>
        <x:v>Equal to Norm</x:v>
      </x:c>
      <x:c r="X117" s="12" t="str">
        <x:f>IF($T117&lt;&gt;"",$T117,$L117)</x:f>
        <x:v>Improve acceleration continuation</x:v>
      </x:c>
      <x:c r="Y117" s="12" t="str">
        <x:f>IF($U117&lt;&gt;"",$U117,$N117)</x:f>
        <x:v>Build acceleration from 0–10 m using split starts, falling starts and progressive resisted sprints. Emphasize full recovery and technical consistency.</x:v>
      </x:c>
      <x:c r="Z117" s="12" t="str">
        <x:f>IF($V117&lt;&gt;"",$V117,$O117)</x:f>
        <x:v>RVX Acceleration Development</x:v>
      </x:c>
      <x:c r="AA117" s="12"/>
    </x:row>
    <x:row r="118">
      <x:c r="A118" s="12" t="str">
        <x:v>RVX-00020</x:v>
      </x:c>
      <x:c r="B118" s="12" t="str">
        <x:f>IFERROR(VLOOKUP($A118,Athlete_Profile!$A$2:$L$51,6,FALSE),"")</x:f>
        <x:v>Hockey</x:v>
      </x:c>
      <x:c r="C118" s="12" t="str">
        <x:f>IFERROR(VLOOKUP($A118,Athlete_Profile!$A$2:$L$51,5,FALSE),"")</x:f>
        <x:v>Male</x:v>
      </x:c>
      <x:c r="D118" s="12" t="str">
        <x:v>pro_agility</x:v>
      </x:c>
      <x:c r="E118" s="12" t="str">
        <x:f>IFERROR(VLOOKUP($D118,Dropdown_Lists!$K$2:$N$7,2,FALSE),"")</x:f>
        <x:v>5-10-5 Pro Agility</x:v>
      </x:c>
      <x:c r="F118" s="12" t="str">
        <x:f>IFERROR(VLOOKUP($D118,Dropdown_Lists!$K$2:$N$7,3,FALSE),"")</x:f>
        <x:v>lower</x:v>
      </x:c>
      <x:c r="G118" s="17" t="n">
        <x:f>IFERROR(LOOKUP(2,1/((Performance_Metrics!$A$2:$A$3000=$A118)*(Performance_Metrics!$D$2:$D$3000=$D118)),Performance_Metrics!$C$2:$C$3000),"")</x:f>
        <x:v>46230</x:v>
      </x:c>
      <x:c r="H118" s="12" t="n">
        <x:f>IFERROR(LOOKUP(2,1/((Performance_Metrics!$A$2:$A$3000=$A118)*(Performance_Metrics!$D$2:$D$3000=$D118)),Performance_Metrics!$G$2:$G$3000),"")</x:f>
        <x:v>4.27</x:v>
      </x:c>
      <x:c r="I118" s="12" t="n">
        <x:f>IFERROR(SUMIFS(Normative_Data!$G$2:$G$1000,Normative_Data!$A$2:$A$1000,$B118,Normative_Data!$B$2:$B$1000,$C118,Normative_Data!$E$2:$E$1000,$D118),"")</x:f>
        <x:v>4.63</x:v>
      </x:c>
      <x:c r="J118" s="18" t="n">
        <x:f>IF(OR($H118="",$I118=""),"",($H118-$I118)/$I118)</x:f>
        <x:v>-0.07775377969762426</x:v>
      </x:c>
      <x:c r="K118" s="12" t="str">
        <x:f>IF(OR($H118="",$I118="",$F118=""),"",IF(ABS($J118)&lt;=0.05,"Equal to Norm",IF($F118="lower",IF($H118&lt;$I118,"Above Norm","Below Norm"),IF($H118&gt;$I118,"Above Norm","Below Norm"))))</x:f>
        <x:v>Above Norm</x:v>
      </x:c>
      <x:c r="L118" s="12" t="str">
        <x:f>IFERROR(VLOOKUP($D118&amp;"|"&amp;$K118,Recommendation_Lookup!$A$2:$H$19,2,FALSE),"")</x:f>
        <x:v>Maintain change-of-direction performance</x:v>
      </x:c>
      <x:c r="M118" s="12" t="str">
        <x:f>IFERROR(VLOOKUP($D118&amp;"|"&amp;$K118,Recommendation_Lookup!$A$2:$H$19,3,FALSE),"")</x:f>
        <x:v>Reactive decision-making; braking tolerance; bilateral symmetry; movement variability</x:v>
      </x:c>
      <x:c r="N118" s="12" t="str">
        <x:f>IFERROR(VLOOKUP($D118&amp;"|"&amp;$K118,Recommendation_Lookup!$A$2:$H$19,4,FALSE),"")</x:f>
        <x:v>Maintain planned change-of-direction work and progress toward reactive agility. Use low-volume, high-quality exposures with multiple starting and turning strategies.</x:v>
      </x:c>
      <x:c r="O118" s="12" t="str">
        <x:f>IFERROR(VLOOKUP($D118&amp;"|"&amp;$K118,Recommendation_Lookup!$A$2:$H$19,5,FALSE),"")</x:f>
        <x:v>RVX Advanced Change of Direction</x:v>
      </x:c>
      <x:c r="P118" s="12" t="str">
        <x:f>IFERROR(VLOOKUP($D118&amp;"|"&amp;$K118,Recommendation_Lookup!$A$2:$H$19,6,FALSE),"")</x:f>
        <x:v>RVX Reactive Agility</x:v>
      </x:c>
      <x:c r="Q118" s="12" t="str">
        <x:f>IFERROR(VLOOKUP($D118&amp;"|"&amp;$K118,Recommendation_Lookup!$A$2:$H$19,7,FALSE),"")</x:f>
        <x:v>Brake under control, own the plant and accelerate out immediately.</x:v>
      </x:c>
      <x:c r="R118" s="12" t="str">
        <x:f>IFERROR(VLOOKUP($D118&amp;"|"&amp;$K118,Recommendation_Lookup!$A$2:$H$19,8,FALSE),"")</x:f>
        <x:v>Retest every 6–8 weeks with left and right trial review.</x:v>
      </x:c>
      <x:c r="S118" s="12"/>
      <x:c r="T118" s="12"/>
      <x:c r="U118" s="12"/>
      <x:c r="V118" s="12"/>
      <x:c r="W118" s="12" t="str">
        <x:f>IF($S118&lt;&gt;"",$S118,$K118)</x:f>
        <x:v>Above Norm</x:v>
      </x:c>
      <x:c r="X118" s="12" t="str">
        <x:f>IF($T118&lt;&gt;"",$T118,$L118)</x:f>
        <x:v>Maintain change-of-direction performance</x:v>
      </x:c>
      <x:c r="Y118" s="12" t="str">
        <x:f>IF($U118&lt;&gt;"",$U118,$N118)</x:f>
        <x:v>Maintain planned change-of-direction work and progress toward reactive agility. Use low-volume, high-quality exposures with multiple starting and turning strategies.</x:v>
      </x:c>
      <x:c r="Z118" s="12" t="str">
        <x:f>IF($V118&lt;&gt;"",$V118,$O118)</x:f>
        <x:v>RVX Advanced Change of Direction</x:v>
      </x:c>
      <x:c r="AA118" s="12"/>
    </x:row>
    <x:row r="119">
      <x:c r="A119" s="12" t="str">
        <x:v>RVX-00020</x:v>
      </x:c>
      <x:c r="B119" s="12" t="str">
        <x:f>IFERROR(VLOOKUP($A119,Athlete_Profile!$A$2:$L$51,6,FALSE),"")</x:f>
        <x:v>Hockey</x:v>
      </x:c>
      <x:c r="C119" s="12" t="str">
        <x:f>IFERROR(VLOOKUP($A119,Athlete_Profile!$A$2:$L$51,5,FALSE),"")</x:f>
        <x:v>Male</x:v>
      </x:c>
      <x:c r="D119" s="12" t="str">
        <x:v>cmj_depth</x:v>
      </x:c>
      <x:c r="E119" s="12" t="str">
        <x:f>IFERROR(VLOOKUP($D119,Dropdown_Lists!$K$2:$N$7,2,FALSE),"")</x:f>
        <x:v>Countermovement Depth</x:v>
      </x:c>
      <x:c r="F119" s="12" t="str">
        <x:f>IFERROR(VLOOKUP($D119,Dropdown_Lists!$K$2:$N$7,3,FALSE),"")</x:f>
        <x:v>higher</x:v>
      </x:c>
      <x:c r="G119" s="17" t="n">
        <x:f>IFERROR(LOOKUP(2,1/((Performance_Metrics!$A$2:$A$3000=$A119)*(Performance_Metrics!$D$2:$D$3000=$D119)),Performance_Metrics!$C$2:$C$3000),"")</x:f>
        <x:v>46230</x:v>
      </x:c>
      <x:c r="H119" s="12" t="n">
        <x:f>IFERROR(LOOKUP(2,1/((Performance_Metrics!$A$2:$A$3000=$A119)*(Performance_Metrics!$D$2:$D$3000=$D119)),Performance_Metrics!$G$2:$G$3000),"")</x:f>
        <x:v>35.5</x:v>
      </x:c>
      <x:c r="I119" s="12" t="n">
        <x:f>IFERROR(SUMIFS(Normative_Data!$G$2:$G$1000,Normative_Data!$A$2:$A$1000,$B119,Normative_Data!$B$2:$B$1000,$C119,Normative_Data!$E$2:$E$1000,$D119),"")</x:f>
        <x:v>33</x:v>
      </x:c>
      <x:c r="J119" s="18" t="n">
        <x:f>IF(OR($H119="",$I119=""),"",($H119-$I119)/$I119)</x:f>
        <x:v>0.07575757575757576</x:v>
      </x:c>
      <x:c r="K119" s="12" t="str">
        <x:f>IF(OR($H119="",$I119="",$F119=""),"",IF(ABS($J119)&lt;=0.05,"Equal to Norm",IF($F119="lower",IF($H119&lt;$I119,"Above Norm","Below Norm"),IF($H119&gt;$I119,"Above Norm","Below Norm"))))</x:f>
        <x:v>Above Norm</x:v>
      </x:c>
      <x:c r="L119" s="12" t="str">
        <x:f>IFERROR(VLOOKUP($D119&amp;"|"&amp;$K119,Recommendation_Lookup!$A$2:$H$19,2,FALSE),"")</x:f>
        <x:v>Maintain effective countermovement strategy</x:v>
      </x:c>
      <x:c r="M119" s="12" t="str">
        <x:f>IFERROR(VLOOKUP($D119&amp;"|"&amp;$K119,Recommendation_Lookup!$A$2:$H$19,3,FALSE),"")</x:f>
        <x:v>Movement efficiency; eccentric control; jump consistency; depth-to-output relationship</x:v>
      </x:c>
      <x:c r="N119" s="12" t="str">
        <x:f>IFERROR(VLOOKUP($D119&amp;"|"&amp;$K119,Recommendation_Lookup!$A$2:$H$19,4,FALSE),"")</x:f>
        <x:v>Maintain the athlete’s preferred countermovement strategy while ensuring the additional depth contributes to force and impulse rather than excessive movement time.</x:v>
      </x:c>
      <x:c r="O119" s="12" t="str">
        <x:f>IFERROR(VLOOKUP($D119&amp;"|"&amp;$K119,Recommendation_Lookup!$A$2:$H$19,5,FALSE),"")</x:f>
        <x:v>RVX Jump Performance Advanced</x:v>
      </x:c>
      <x:c r="P119" s="12" t="str">
        <x:f>IFERROR(VLOOKUP($D119&amp;"|"&amp;$K119,Recommendation_Lookup!$A$2:$H$19,6,FALSE),"")</x:f>
        <x:v>RVX Eccentric Strength Microdose</x:v>
      </x:c>
      <x:c r="Q119" s="12" t="str">
        <x:f>IFERROR(VLOOKUP($D119&amp;"|"&amp;$K119,Recommendation_Lookup!$A$2:$H$19,7,FALSE),"")</x:f>
        <x:v>Use the depth you can control, then reverse quickly and aggressively.</x:v>
      </x:c>
      <x:c r="R119" s="12" t="str">
        <x:f>IFERROR(VLOOKUP($D119&amp;"|"&amp;$K119,Recommendation_Lookup!$A$2:$H$19,8,FALSE),"")</x:f>
        <x:v>Retest every 6–8 weeks while monitoring jump height and contraction time.</x:v>
      </x:c>
      <x:c r="S119" s="12"/>
      <x:c r="T119" s="12"/>
      <x:c r="U119" s="12"/>
      <x:c r="V119" s="12"/>
      <x:c r="W119" s="12" t="str">
        <x:f>IF($S119&lt;&gt;"",$S119,$K119)</x:f>
        <x:v>Above Norm</x:v>
      </x:c>
      <x:c r="X119" s="12" t="str">
        <x:f>IF($T119&lt;&gt;"",$T119,$L119)</x:f>
        <x:v>Maintain effective countermovement strategy</x:v>
      </x:c>
      <x:c r="Y119" s="12" t="str">
        <x:f>IF($U119&lt;&gt;"",$U119,$N119)</x:f>
        <x:v>Maintain the athlete’s preferred countermovement strategy while ensuring the additional depth contributes to force and impulse rather than excessive movement time.</x:v>
      </x:c>
      <x:c r="Z119" s="12" t="str">
        <x:f>IF($V119&lt;&gt;"",$V119,$O119)</x:f>
        <x:v>RVX Jump Performance Advanced</x:v>
      </x:c>
      <x:c r="AA119" s="12"/>
    </x:row>
    <x:row r="120">
      <x:c r="A120" s="12" t="str">
        <x:v>RVX-00020</x:v>
      </x:c>
      <x:c r="B120" s="12" t="str">
        <x:f>IFERROR(VLOOKUP($A120,Athlete_Profile!$A$2:$L$51,6,FALSE),"")</x:f>
        <x:v>Hockey</x:v>
      </x:c>
      <x:c r="C120" s="12" t="str">
        <x:f>IFERROR(VLOOKUP($A120,Athlete_Profile!$A$2:$L$51,5,FALSE),"")</x:f>
        <x:v>Male</x:v>
      </x:c>
      <x:c r="D120" s="12" t="str">
        <x:v>peak_force</x:v>
      </x:c>
      <x:c r="E120" s="12" t="str">
        <x:f>IFERROR(VLOOKUP($D120,Dropdown_Lists!$K$2:$N$7,2,FALSE),"")</x:f>
        <x:v>Peak Force</x:v>
      </x:c>
      <x:c r="F120" s="12" t="str">
        <x:f>IFERROR(VLOOKUP($D120,Dropdown_Lists!$K$2:$N$7,3,FALSE),"")</x:f>
        <x:v>higher</x:v>
      </x:c>
      <x:c r="G120" s="17" t="n">
        <x:f>IFERROR(LOOKUP(2,1/((Performance_Metrics!$A$2:$A$3000=$A120)*(Performance_Metrics!$D$2:$D$3000=$D120)),Performance_Metrics!$C$2:$C$3000),"")</x:f>
        <x:v>46230</x:v>
      </x:c>
      <x:c r="H120" s="12" t="n">
        <x:f>IFERROR(LOOKUP(2,1/((Performance_Metrics!$A$2:$A$3000=$A120)*(Performance_Metrics!$D$2:$D$3000=$D120)),Performance_Metrics!$G$2:$G$3000),"")</x:f>
        <x:v>2047</x:v>
      </x:c>
      <x:c r="I120" s="12" t="n">
        <x:f>IFERROR(SUMIFS(Normative_Data!$G$2:$G$1000,Normative_Data!$A$2:$A$1000,$B120,Normative_Data!$B$2:$B$1000,$C120,Normative_Data!$E$2:$E$1000,$D120),"")</x:f>
        <x:v>1925</x:v>
      </x:c>
      <x:c r="J120" s="18" t="n">
        <x:f>IF(OR($H120="",$I120=""),"",($H120-$I120)/$I120)</x:f>
        <x:v>0.06337662337662338</x:v>
      </x:c>
      <x:c r="K120" s="12" t="str">
        <x:f>IF(OR($H120="",$I120="",$F120=""),"",IF(ABS($J120)&lt;=0.05,"Equal to Norm",IF($F120="lower",IF($H120&lt;$I120,"Above Norm","Below Norm"),IF($H120&gt;$I120,"Above Norm","Below Norm"))))</x:f>
        <x:v>Above Norm</x:v>
      </x:c>
      <x:c r="L120" s="12" t="str">
        <x:f>IFERROR(VLOOKUP($D120&amp;"|"&amp;$K120,Recommendation_Lookup!$A$2:$H$19,2,FALSE),"")</x:f>
        <x:v>Maintain maximal force qualities</x:v>
      </x:c>
      <x:c r="M120" s="12" t="str">
        <x:f>IFERROR(VLOOKUP($D120&amp;"|"&amp;$K120,Recommendation_Lookup!$A$2:$H$19,3,FALSE),"")</x:f>
        <x:v>Force application speed; asymmetry; fatigue management; sport transfer</x:v>
      </x:c>
      <x:c r="N120" s="12" t="str">
        <x:f>IFERROR(VLOOKUP($D120&amp;"|"&amp;$K120,Recommendation_Lookup!$A$2:$H$19,4,FALSE),"")</x:f>
        <x:v>Maintain maximal force with low-volume strength exposure while shifting selected work toward power and sport-specific application. Monitor asymmetry and fatigue.</x:v>
      </x:c>
      <x:c r="O120" s="12" t="str">
        <x:f>IFERROR(VLOOKUP($D120&amp;"|"&amp;$K120,Recommendation_Lookup!$A$2:$H$19,5,FALSE),"")</x:f>
        <x:v>RVX Advanced Strength-Power</x:v>
      </x:c>
      <x:c r="P120" s="12" t="str">
        <x:f>IFERROR(VLOOKUP($D120&amp;"|"&amp;$K120,Recommendation_Lookup!$A$2:$H$19,6,FALSE),"")</x:f>
        <x:v>RVX Force Maintenance Microdose</x:v>
      </x:c>
      <x:c r="Q120" s="12" t="str">
        <x:f>IFERROR(VLOOKUP($D120&amp;"|"&amp;$K120,Recommendation_Lookup!$A$2:$H$19,7,FALSE),"")</x:f>
        <x:v>Produce high force without losing position or movement speed.</x:v>
      </x:c>
      <x:c r="R120" s="12" t="str">
        <x:f>IFERROR(VLOOKUP($D120&amp;"|"&amp;$K120,Recommendation_Lookup!$A$2:$H$19,8,FALSE),"")</x:f>
        <x:v>Retest every 6–8 weeks or following a strength-power phase.</x:v>
      </x:c>
      <x:c r="S120" s="12"/>
      <x:c r="T120" s="12"/>
      <x:c r="U120" s="12"/>
      <x:c r="V120" s="12"/>
      <x:c r="W120" s="12" t="str">
        <x:f>IF($S120&lt;&gt;"",$S120,$K120)</x:f>
        <x:v>Above Norm</x:v>
      </x:c>
      <x:c r="X120" s="12" t="str">
        <x:f>IF($T120&lt;&gt;"",$T120,$L120)</x:f>
        <x:v>Maintain maximal force qualities</x:v>
      </x:c>
      <x:c r="Y120" s="12" t="str">
        <x:f>IF($U120&lt;&gt;"",$U120,$N120)</x:f>
        <x:v>Maintain maximal force with low-volume strength exposure while shifting selected work toward power and sport-specific application. Monitor asymmetry and fatigue.</x:v>
      </x:c>
      <x:c r="Z120" s="12" t="str">
        <x:f>IF($V120&lt;&gt;"",$V120,$O120)</x:f>
        <x:v>RVX Advanced Strength-Power</x:v>
      </x:c>
      <x:c r="AA120" s="12"/>
    </x:row>
    <x:row r="121">
      <x:c r="A121" s="12" t="str">
        <x:v>RVX-00020</x:v>
      </x:c>
      <x:c r="B121" s="12" t="str">
        <x:f>IFERROR(VLOOKUP($A121,Athlete_Profile!$A$2:$L$51,6,FALSE),"")</x:f>
        <x:v>Hockey</x:v>
      </x:c>
      <x:c r="C121" s="12" t="str">
        <x:f>IFERROR(VLOOKUP($A121,Athlete_Profile!$A$2:$L$51,5,FALSE),"")</x:f>
        <x:v>Male</x:v>
      </x:c>
      <x:c r="D121" s="12" t="str">
        <x:v>impulse</x:v>
      </x:c>
      <x:c r="E121" s="12" t="str">
        <x:f>IFERROR(VLOOKUP($D121,Dropdown_Lists!$K$2:$N$7,2,FALSE),"")</x:f>
        <x:v>Impulse-Momentum</x:v>
      </x:c>
      <x:c r="F121" s="12" t="str">
        <x:f>IFERROR(VLOOKUP($D121,Dropdown_Lists!$K$2:$N$7,3,FALSE),"")</x:f>
        <x:v>higher</x:v>
      </x:c>
      <x:c r="G121" s="17" t="n">
        <x:f>IFERROR(LOOKUP(2,1/((Performance_Metrics!$A$2:$A$3000=$A121)*(Performance_Metrics!$D$2:$D$3000=$D121)),Performance_Metrics!$C$2:$C$3000),"")</x:f>
        <x:v>46230</x:v>
      </x:c>
      <x:c r="H121" s="12" t="n">
        <x:f>IFERROR(LOOKUP(2,1/((Performance_Metrics!$A$2:$A$3000=$A121)*(Performance_Metrics!$D$2:$D$3000=$D121)),Performance_Metrics!$G$2:$G$3000),"")</x:f>
        <x:v>249.9</x:v>
      </x:c>
      <x:c r="I121" s="12" t="n">
        <x:f>IFERROR(SUMIFS(Normative_Data!$G$2:$G$1000,Normative_Data!$A$2:$A$1000,$B121,Normative_Data!$B$2:$B$1000,$C121,Normative_Data!$E$2:$E$1000,$D121),"")</x:f>
        <x:v>236.5</x:v>
      </x:c>
      <x:c r="J121" s="18" t="n">
        <x:f>IF(OR($H121="",$I121=""),"",($H121-$I121)/$I121)</x:f>
        <x:v>0.056659619450317146</x:v>
      </x:c>
      <x:c r="K121" s="12" t="str">
        <x:f>IF(OR($H121="",$I121="",$F121=""),"",IF(ABS($J121)&lt;=0.05,"Equal to Norm",IF($F121="lower",IF($H121&lt;$I121,"Above Norm","Below Norm"),IF($H121&gt;$I121,"Above Norm","Below Norm"))))</x:f>
        <x:v>Above Norm</x:v>
      </x:c>
      <x:c r="L121" s="12" t="str">
        <x:f>IFERROR(VLOOKUP($D121&amp;"|"&amp;$K121,Recommendation_Lookup!$A$2:$H$19,2,FALSE),"")</x:f>
        <x:v>Maintain total force-time output</x:v>
      </x:c>
      <x:c r="M121" s="12" t="str">
        <x:f>IFERROR(VLOOKUP($D121&amp;"|"&amp;$K121,Recommendation_Lookup!$A$2:$H$19,3,FALSE),"")</x:f>
        <x:v>Rate of force development; movement time; power transfer; fatigue resistance</x:v>
      </x:c>
      <x:c r="N121" s="12" t="str">
        <x:f>IFERROR(VLOOKUP($D121&amp;"|"&amp;$K121,Recommendation_Lookup!$A$2:$H$19,4,FALSE),"")</x:f>
        <x:v>Maintain impulse with strength-power microdosing and varied jump or sprint exposures. Ensure high impulse is achieved efficiently rather than through excessive movement time.</x:v>
      </x:c>
      <x:c r="O121" s="12" t="str">
        <x:f>IFERROR(VLOOKUP($D121&amp;"|"&amp;$K121,Recommendation_Lookup!$A$2:$H$19,5,FALSE),"")</x:f>
        <x:v>RVX Advanced Power Development</x:v>
      </x:c>
      <x:c r="P121" s="12" t="str">
        <x:f>IFERROR(VLOOKUP($D121&amp;"|"&amp;$K121,Recommendation_Lookup!$A$2:$H$19,6,FALSE),"")</x:f>
        <x:v>RVX Elastic Power Microdose</x:v>
      </x:c>
      <x:c r="Q121" s="12" t="str">
        <x:f>IFERROR(VLOOKUP($D121&amp;"|"&amp;$K121,Recommendation_Lookup!$A$2:$H$19,7,FALSE),"")</x:f>
        <x:v>Build force quickly and keep applying it through the full movement.</x:v>
      </x:c>
      <x:c r="R121" s="12" t="str">
        <x:f>IFERROR(VLOOKUP($D121&amp;"|"&amp;$K121,Recommendation_Lookup!$A$2:$H$19,8,FALSE),"")</x:f>
        <x:v>Retest every 6–8 weeks while reviewing contraction time and jump outcome.</x:v>
      </x:c>
      <x:c r="S121" s="12"/>
      <x:c r="T121" s="12"/>
      <x:c r="U121" s="12"/>
      <x:c r="V121" s="12"/>
      <x:c r="W121" s="12" t="str">
        <x:f>IF($S121&lt;&gt;"",$S121,$K121)</x:f>
        <x:v>Above Norm</x:v>
      </x:c>
      <x:c r="X121" s="12" t="str">
        <x:f>IF($T121&lt;&gt;"",$T121,$L121)</x:f>
        <x:v>Maintain total force-time output</x:v>
      </x:c>
      <x:c r="Y121" s="12" t="str">
        <x:f>IF($U121&lt;&gt;"",$U121,$N121)</x:f>
        <x:v>Maintain impulse with strength-power microdosing and varied jump or sprint exposures. Ensure high impulse is achieved efficiently rather than through excessive movement time.</x:v>
      </x:c>
      <x:c r="Z121" s="12" t="str">
        <x:f>IF($V121&lt;&gt;"",$V121,$O121)</x:f>
        <x:v>RVX Advanced Power Development</x:v>
      </x:c>
      <x:c r="AA121" s="12"/>
    </x:row>
    <x:row r="122">
      <x:c r="A122" s="12" t="str">
        <x:v>RVX-00021</x:v>
      </x:c>
      <x:c r="B122" s="12" t="str">
        <x:f>IFERROR(VLOOKUP($A122,Athlete_Profile!$A$2:$L$51,6,FALSE),"")</x:f>
        <x:v>Hockey</x:v>
      </x:c>
      <x:c r="C122" s="12" t="str">
        <x:f>IFERROR(VLOOKUP($A122,Athlete_Profile!$A$2:$L$51,5,FALSE),"")</x:f>
        <x:v>Female</x:v>
      </x:c>
      <x:c r="D122" s="12" t="str">
        <x:v>sprint_5m</x:v>
      </x:c>
      <x:c r="E122" s="12" t="str">
        <x:f>IFERROR(VLOOKUP($D122,Dropdown_Lists!$K$2:$N$7,2,FALSE),"")</x:f>
        <x:v>5m Sprint</x:v>
      </x:c>
      <x:c r="F122" s="12" t="str">
        <x:f>IFERROR(VLOOKUP($D122,Dropdown_Lists!$K$2:$N$7,3,FALSE),"")</x:f>
        <x:v>lower</x:v>
      </x:c>
      <x:c r="G122" s="17" t="n">
        <x:f>IFERROR(LOOKUP(2,1/((Performance_Metrics!$A$2:$A$3000=$A122)*(Performance_Metrics!$D$2:$D$3000=$D122)),Performance_Metrics!$C$2:$C$3000),"")</x:f>
        <x:v>46230</x:v>
      </x:c>
      <x:c r="H122" s="12" t="n">
        <x:f>IFERROR(LOOKUP(2,1/((Performance_Metrics!$A$2:$A$3000=$A122)*(Performance_Metrics!$D$2:$D$3000=$D122)),Performance_Metrics!$G$2:$G$3000),"")</x:f>
        <x:v>1.14</x:v>
      </x:c>
      <x:c r="I122" s="12" t="n">
        <x:f>IFERROR(SUMIFS(Normative_Data!$G$2:$G$1000,Normative_Data!$A$2:$A$1000,$B122,Normative_Data!$B$2:$B$1000,$C122,Normative_Data!$E$2:$E$1000,$D122),"")</x:f>
        <x:v>1.12</x:v>
      </x:c>
      <x:c r="J122" s="18" t="n">
        <x:f>IF(OR($H122="",$I122=""),"",($H122-$I122)/$I122)</x:f>
        <x:v>0.017857142857142672</x:v>
      </x:c>
      <x:c r="K122" s="12" t="str">
        <x:f>IF(OR($H122="",$I122="",$F122=""),"",IF(ABS($J122)&lt;=0.05,"Equal to Norm",IF($F122="lower",IF($H122&lt;$I122,"Above Norm","Below Norm"),IF($H122&gt;$I122,"Above Norm","Below Norm"))))</x:f>
        <x:v>Equal to Norm</x:v>
      </x:c>
      <x:c r="L122" s="12" t="str">
        <x:f>IFERROR(VLOOKUP($D122&amp;"|"&amp;$K122,Recommendation_Lookup!$A$2:$H$19,2,FALSE),"")</x:f>
        <x:v>Improve acceleration efficiency</x:v>
      </x:c>
      <x:c r="M122" s="12" t="str">
        <x:f>IFERROR(VLOOKUP($D122&amp;"|"&amp;$K122,Recommendation_Lookup!$A$2:$H$19,3,FALSE),"")</x:f>
        <x:v>Starting posture; shin angle; first-step direction; arm action</x:v>
      </x:c>
      <x:c r="N122" s="12" t="str">
        <x:f>IFERROR(VLOOKUP($D122&amp;"|"&amp;$K122,Recommendation_Lookup!$A$2:$H$19,4,FALSE),"")</x:f>
        <x:v>Use a focused acceleration-development block emphasizing starting position, projection and force application. Keep repetitions short with full recovery.</x:v>
      </x:c>
      <x:c r="O122" s="12" t="str">
        <x:f>IFERROR(VLOOKUP($D122&amp;"|"&amp;$K122,Recommendation_Lookup!$A$2:$H$19,5,FALSE),"")</x:f>
        <x:v>RVX Acceleration Foundations</x:v>
      </x:c>
      <x:c r="P122" s="12" t="str">
        <x:f>IFERROR(VLOOKUP($D122&amp;"|"&amp;$K122,Recommendation_Lookup!$A$2:$H$19,6,FALSE),"")</x:f>
        <x:v>RVX Sprint Mechanics</x:v>
      </x:c>
      <x:c r="Q122" s="12" t="str">
        <x:f>IFERROR(VLOOKUP($D122&amp;"|"&amp;$K122,Recommendation_Lookup!$A$2:$H$19,7,FALSE),"")</x:f>
        <x:v>Push out, not up. Keep the first steps powerful and connected.</x:v>
      </x:c>
      <x:c r="R122" s="12" t="str">
        <x:f>IFERROR(VLOOKUP($D122&amp;"|"&amp;$K122,Recommendation_Lookup!$A$2:$H$19,8,FALSE),"")</x:f>
        <x:v>Retest after 4–6 weeks of focused acceleration work.</x:v>
      </x:c>
      <x:c r="S122" s="12"/>
      <x:c r="T122" s="12"/>
      <x:c r="U122" s="12"/>
      <x:c r="V122" s="12"/>
      <x:c r="W122" s="12" t="str">
        <x:f>IF($S122&lt;&gt;"",$S122,$K122)</x:f>
        <x:v>Equal to Norm</x:v>
      </x:c>
      <x:c r="X122" s="12" t="str">
        <x:f>IF($T122&lt;&gt;"",$T122,$L122)</x:f>
        <x:v>Improve acceleration efficiency</x:v>
      </x:c>
      <x:c r="Y122" s="12" t="str">
        <x:f>IF($U122&lt;&gt;"",$U122,$N122)</x:f>
        <x:v>Use a focused acceleration-development block emphasizing starting position, projection and force application. Keep repetitions short with full recovery.</x:v>
      </x:c>
      <x:c r="Z122" s="12" t="str">
        <x:f>IF($V122&lt;&gt;"",$V122,$O122)</x:f>
        <x:v>RVX Acceleration Foundations</x:v>
      </x:c>
      <x:c r="AA122" s="12"/>
    </x:row>
    <x:row r="123">
      <x:c r="A123" s="12" t="str">
        <x:v>RVX-00021</x:v>
      </x:c>
      <x:c r="B123" s="12" t="str">
        <x:f>IFERROR(VLOOKUP($A123,Athlete_Profile!$A$2:$L$51,6,FALSE),"")</x:f>
        <x:v>Hockey</x:v>
      </x:c>
      <x:c r="C123" s="12" t="str">
        <x:f>IFERROR(VLOOKUP($A123,Athlete_Profile!$A$2:$L$51,5,FALSE),"")</x:f>
        <x:v>Female</x:v>
      </x:c>
      <x:c r="D123" s="12" t="str">
        <x:v>sprint_10m</x:v>
      </x:c>
      <x:c r="E123" s="12" t="str">
        <x:f>IFERROR(VLOOKUP($D123,Dropdown_Lists!$K$2:$N$7,2,FALSE),"")</x:f>
        <x:v>10m Sprint</x:v>
      </x:c>
      <x:c r="F123" s="12" t="str">
        <x:f>IFERROR(VLOOKUP($D123,Dropdown_Lists!$K$2:$N$7,3,FALSE),"")</x:f>
        <x:v>lower</x:v>
      </x:c>
      <x:c r="G123" s="17" t="n">
        <x:f>IFERROR(LOOKUP(2,1/((Performance_Metrics!$A$2:$A$3000=$A123)*(Performance_Metrics!$D$2:$D$3000=$D123)),Performance_Metrics!$C$2:$C$3000),"")</x:f>
        <x:v>46230</x:v>
      </x:c>
      <x:c r="H123" s="12" t="n">
        <x:f>IFERROR(LOOKUP(2,1/((Performance_Metrics!$A$2:$A$3000=$A123)*(Performance_Metrics!$D$2:$D$3000=$D123)),Performance_Metrics!$G$2:$G$3000),"")</x:f>
        <x:v>1.95</x:v>
      </x:c>
      <x:c r="I123" s="12" t="n">
        <x:f>IFERROR(SUMIFS(Normative_Data!$G$2:$G$1000,Normative_Data!$A$2:$A$1000,$B123,Normative_Data!$B$2:$B$1000,$C123,Normative_Data!$E$2:$E$1000,$D123),"")</x:f>
        <x:v>1.88</x:v>
      </x:c>
      <x:c r="J123" s="18" t="n">
        <x:f>IF(OR($H123="",$I123=""),"",($H123-$I123)/$I123)</x:f>
        <x:v>0.03723404255319152</x:v>
      </x:c>
      <x:c r="K123" s="12" t="str">
        <x:f>IF(OR($H123="",$I123="",$F123=""),"",IF(ABS($J123)&lt;=0.05,"Equal to Norm",IF($F123="lower",IF($H123&lt;$I123,"Above Norm","Below Norm"),IF($H123&gt;$I123,"Above Norm","Below Norm"))))</x:f>
        <x:v>Equal to Norm</x:v>
      </x:c>
      <x:c r="L123" s="12" t="str">
        <x:f>IFERROR(VLOOKUP($D123&amp;"|"&amp;$K123,Recommendation_Lookup!$A$2:$H$19,2,FALSE),"")</x:f>
        <x:v>Improve acceleration continuation</x:v>
      </x:c>
      <x:c r="M123" s="12" t="str">
        <x:f>IFERROR(VLOOKUP($D123&amp;"|"&amp;$K123,Recommendation_Lookup!$A$2:$H$19,3,FALSE),"")</x:f>
        <x:v>Projection; force orientation; step rhythm; trunk control</x:v>
      </x:c>
      <x:c r="N123" s="12" t="str">
        <x:f>IFERROR(VLOOKUP($D123&amp;"|"&amp;$K123,Recommendation_Lookup!$A$2:$H$19,4,FALSE),"")</x:f>
        <x:v>Build acceleration from 0–10 m using split starts, falling starts and progressive resisted sprints. Emphasize full recovery and technical consistency.</x:v>
      </x:c>
      <x:c r="O123" s="12" t="str">
        <x:f>IFERROR(VLOOKUP($D123&amp;"|"&amp;$K123,Recommendation_Lookup!$A$2:$H$19,5,FALSE),"")</x:f>
        <x:v>RVX Acceleration Development</x:v>
      </x:c>
      <x:c r="P123" s="12" t="str">
        <x:f>IFERROR(VLOOKUP($D123&amp;"|"&amp;$K123,Recommendation_Lookup!$A$2:$H$19,6,FALSE),"")</x:f>
        <x:v>RVX Sprint Mechanics</x:v>
      </x:c>
      <x:c r="Q123" s="12" t="str">
        <x:f>IFERROR(VLOOKUP($D123&amp;"|"&amp;$K123,Recommendation_Lookup!$A$2:$H$19,7,FALSE),"")</x:f>
        <x:v>Keep building speed through the line; do not stand up too early.</x:v>
      </x:c>
      <x:c r="R123" s="12" t="str">
        <x:f>IFERROR(VLOOKUP($D123&amp;"|"&amp;$K123,Recommendation_Lookup!$A$2:$H$19,8,FALSE),"")</x:f>
        <x:v>Retest after 4–6 weeks.</x:v>
      </x:c>
      <x:c r="S123" s="12"/>
      <x:c r="T123" s="12"/>
      <x:c r="U123" s="12"/>
      <x:c r="V123" s="12"/>
      <x:c r="W123" s="12" t="str">
        <x:f>IF($S123&lt;&gt;"",$S123,$K123)</x:f>
        <x:v>Equal to Norm</x:v>
      </x:c>
      <x:c r="X123" s="12" t="str">
        <x:f>IF($T123&lt;&gt;"",$T123,$L123)</x:f>
        <x:v>Improve acceleration continuation</x:v>
      </x:c>
      <x:c r="Y123" s="12" t="str">
        <x:f>IF($U123&lt;&gt;"",$U123,$N123)</x:f>
        <x:v>Build acceleration from 0–10 m using split starts, falling starts and progressive resisted sprints. Emphasize full recovery and technical consistency.</x:v>
      </x:c>
      <x:c r="Z123" s="12" t="str">
        <x:f>IF($V123&lt;&gt;"",$V123,$O123)</x:f>
        <x:v>RVX Acceleration Development</x:v>
      </x:c>
      <x:c r="AA123" s="12"/>
    </x:row>
    <x:row r="124">
      <x:c r="A124" s="12" t="str">
        <x:v>RVX-00021</x:v>
      </x:c>
      <x:c r="B124" s="12" t="str">
        <x:f>IFERROR(VLOOKUP($A124,Athlete_Profile!$A$2:$L$51,6,FALSE),"")</x:f>
        <x:v>Hockey</x:v>
      </x:c>
      <x:c r="C124" s="12" t="str">
        <x:f>IFERROR(VLOOKUP($A124,Athlete_Profile!$A$2:$L$51,5,FALSE),"")</x:f>
        <x:v>Female</x:v>
      </x:c>
      <x:c r="D124" s="12" t="str">
        <x:v>pro_agility</x:v>
      </x:c>
      <x:c r="E124" s="12" t="str">
        <x:f>IFERROR(VLOOKUP($D124,Dropdown_Lists!$K$2:$N$7,2,FALSE),"")</x:f>
        <x:v>5-10-5 Pro Agility</x:v>
      </x:c>
      <x:c r="F124" s="12" t="str">
        <x:f>IFERROR(VLOOKUP($D124,Dropdown_Lists!$K$2:$N$7,3,FALSE),"")</x:f>
        <x:v>lower</x:v>
      </x:c>
      <x:c r="G124" s="17" t="n">
        <x:f>IFERROR(LOOKUP(2,1/((Performance_Metrics!$A$2:$A$3000=$A124)*(Performance_Metrics!$D$2:$D$3000=$D124)),Performance_Metrics!$C$2:$C$3000),"")</x:f>
        <x:v>46230</x:v>
      </x:c>
      <x:c r="H124" s="12" t="n">
        <x:f>IFERROR(LOOKUP(2,1/((Performance_Metrics!$A$2:$A$3000=$A124)*(Performance_Metrics!$D$2:$D$3000=$D124)),Performance_Metrics!$G$2:$G$3000),"")</x:f>
        <x:v>4.98</x:v>
      </x:c>
      <x:c r="I124" s="12" t="n">
        <x:f>IFERROR(SUMIFS(Normative_Data!$G$2:$G$1000,Normative_Data!$A$2:$A$1000,$B124,Normative_Data!$B$2:$B$1000,$C124,Normative_Data!$E$2:$E$1000,$D124),"")</x:f>
        <x:v>4.82</x:v>
      </x:c>
      <x:c r="J124" s="18" t="n">
        <x:f>IF(OR($H124="",$I124=""),"",($H124-$I124)/$I124)</x:f>
        <x:v>0.033195020746887995</x:v>
      </x:c>
      <x:c r="K124" s="12" t="str">
        <x:f>IF(OR($H124="",$I124="",$F124=""),"",IF(ABS($J124)&lt;=0.05,"Equal to Norm",IF($F124="lower",IF($H124&lt;$I124,"Above Norm","Below Norm"),IF($H124&gt;$I124,"Above Norm","Below Norm"))))</x:f>
        <x:v>Equal to Norm</x:v>
      </x:c>
      <x:c r="L124" s="12" t="str">
        <x:f>IFERROR(VLOOKUP($D124&amp;"|"&amp;$K124,Recommendation_Lookup!$A$2:$H$19,2,FALSE),"")</x:f>
        <x:v>Improve braking and re-acceleration</x:v>
      </x:c>
      <x:c r="M124" s="12" t="str">
        <x:f>IFERROR(VLOOKUP($D124&amp;"|"&amp;$K124,Recommendation_Lookup!$A$2:$H$19,3,FALSE),"")</x:f>
        <x:v>Deceleration mechanics; foot placement; hip position; crossover efficiency</x:v>
      </x:c>
      <x:c r="N124" s="12" t="str">
        <x:f>IFERROR(VLOOKUP($D124&amp;"|"&amp;$K124,Recommendation_Lookup!$A$2:$H$19,4,FALSE),"")</x:f>
        <x:v>Use a structured change-of-direction block emphasizing braking positions, plant-foot control and efficient re-acceleration on both sides.</x:v>
      </x:c>
      <x:c r="O124" s="12" t="str">
        <x:f>IFERROR(VLOOKUP($D124&amp;"|"&amp;$K124,Recommendation_Lookup!$A$2:$H$19,5,FALSE),"")</x:f>
        <x:v>RVX Change of Direction Development</x:v>
      </x:c>
      <x:c r="P124" s="12" t="str">
        <x:f>IFERROR(VLOOKUP($D124&amp;"|"&amp;$K124,Recommendation_Lookup!$A$2:$H$19,6,FALSE),"")</x:f>
        <x:v>RVX Deceleration Mechanics</x:v>
      </x:c>
      <x:c r="Q124" s="12" t="str">
        <x:f>IFERROR(VLOOKUP($D124&amp;"|"&amp;$K124,Recommendation_Lookup!$A$2:$H$19,7,FALSE),"")</x:f>
        <x:v>Lower the centre of mass before the turn and push away from the plant.</x:v>
      </x:c>
      <x:c r="R124" s="12" t="str">
        <x:f>IFERROR(VLOOKUP($D124&amp;"|"&amp;$K124,Recommendation_Lookup!$A$2:$H$19,8,FALSE),"")</x:f>
        <x:v>Retest after 4–6 weeks and review directional splits if available.</x:v>
      </x:c>
      <x:c r="S124" s="12"/>
      <x:c r="T124" s="12"/>
      <x:c r="U124" s="12"/>
      <x:c r="V124" s="12"/>
      <x:c r="W124" s="12" t="str">
        <x:f>IF($S124&lt;&gt;"",$S124,$K124)</x:f>
        <x:v>Equal to Norm</x:v>
      </x:c>
      <x:c r="X124" s="12" t="str">
        <x:f>IF($T124&lt;&gt;"",$T124,$L124)</x:f>
        <x:v>Improve braking and re-acceleration</x:v>
      </x:c>
      <x:c r="Y124" s="12" t="str">
        <x:f>IF($U124&lt;&gt;"",$U124,$N124)</x:f>
        <x:v>Use a structured change-of-direction block emphasizing braking positions, plant-foot control and efficient re-acceleration on both sides.</x:v>
      </x:c>
      <x:c r="Z124" s="12" t="str">
        <x:f>IF($V124&lt;&gt;"",$V124,$O124)</x:f>
        <x:v>RVX Change of Direction Development</x:v>
      </x:c>
      <x:c r="AA124" s="12"/>
    </x:row>
    <x:row r="125">
      <x:c r="A125" s="12" t="str">
        <x:v>RVX-00021</x:v>
      </x:c>
      <x:c r="B125" s="12" t="str">
        <x:f>IFERROR(VLOOKUP($A125,Athlete_Profile!$A$2:$L$51,6,FALSE),"")</x:f>
        <x:v>Hockey</x:v>
      </x:c>
      <x:c r="C125" s="12" t="str">
        <x:f>IFERROR(VLOOKUP($A125,Athlete_Profile!$A$2:$L$51,5,FALSE),"")</x:f>
        <x:v>Female</x:v>
      </x:c>
      <x:c r="D125" s="12" t="str">
        <x:v>cmj_depth</x:v>
      </x:c>
      <x:c r="E125" s="12" t="str">
        <x:f>IFERROR(VLOOKUP($D125,Dropdown_Lists!$K$2:$N$7,2,FALSE),"")</x:f>
        <x:v>Countermovement Depth</x:v>
      </x:c>
      <x:c r="F125" s="12" t="str">
        <x:f>IFERROR(VLOOKUP($D125,Dropdown_Lists!$K$2:$N$7,3,FALSE),"")</x:f>
        <x:v>higher</x:v>
      </x:c>
      <x:c r="G125" s="17" t="n">
        <x:f>IFERROR(LOOKUP(2,1/((Performance_Metrics!$A$2:$A$3000=$A125)*(Performance_Metrics!$D$2:$D$3000=$D125)),Performance_Metrics!$C$2:$C$3000),"")</x:f>
        <x:v>46230</x:v>
      </x:c>
      <x:c r="H125" s="12" t="n">
        <x:f>IFERROR(LOOKUP(2,1/((Performance_Metrics!$A$2:$A$3000=$A125)*(Performance_Metrics!$D$2:$D$3000=$D125)),Performance_Metrics!$G$2:$G$3000),"")</x:f>
        <x:v>28.9</x:v>
      </x:c>
      <x:c r="I125" s="12" t="n">
        <x:f>IFERROR(SUMIFS(Normative_Data!$G$2:$G$1000,Normative_Data!$A$2:$A$1000,$B125,Normative_Data!$B$2:$B$1000,$C125,Normative_Data!$E$2:$E$1000,$D125),"")</x:f>
        <x:v>30</x:v>
      </x:c>
      <x:c r="J125" s="18" t="n">
        <x:f>IF(OR($H125="",$I125=""),"",($H125-$I125)/$I125)</x:f>
        <x:v>-0.036666666666666715</x:v>
      </x:c>
      <x:c r="K125" s="12" t="str">
        <x:f>IF(OR($H125="",$I125="",$F125=""),"",IF(ABS($J125)&lt;=0.05,"Equal to Norm",IF($F125="lower",IF($H125&lt;$I125,"Above Norm","Below Norm"),IF($H125&gt;$I125,"Above Norm","Below Norm"))))</x:f>
        <x:v>Equal to Norm</x:v>
      </x:c>
      <x:c r="L125" s="12" t="str">
        <x:f>IFERROR(VLOOKUP($D125&amp;"|"&amp;$K125,Recommendation_Lookup!$A$2:$H$19,2,FALSE),"")</x:f>
        <x:v>Optimize countermovement strategy</x:v>
      </x:c>
      <x:c r="M125" s="12" t="str">
        <x:f>IFERROR(VLOOKUP($D125&amp;"|"&amp;$K125,Recommendation_Lookup!$A$2:$H$19,3,FALSE),"")</x:f>
        <x:v>Eccentric control; trunk position; reversal timing; mobility</x:v>
      </x:c>
      <x:c r="N125" s="12" t="str">
        <x:f>IFERROR(VLOOKUP($D125&amp;"|"&amp;$K125,Recommendation_Lookup!$A$2:$H$19,4,FALSE),"")</x:f>
        <x:v>Use controlled countermovement drills and landing-to-jump progressions. Determine whether additional or reduced depth improves the athlete’s overall jump output.</x:v>
      </x:c>
      <x:c r="O125" s="12" t="str">
        <x:f>IFERROR(VLOOKUP($D125&amp;"|"&amp;$K125,Recommendation_Lookup!$A$2:$H$19,5,FALSE),"")</x:f>
        <x:v>RVX Jump Mechanics</x:v>
      </x:c>
      <x:c r="P125" s="12" t="str">
        <x:f>IFERROR(VLOOKUP($D125&amp;"|"&amp;$K125,Recommendation_Lookup!$A$2:$H$19,6,FALSE),"")</x:f>
        <x:v>RVX Eccentric Control</x:v>
      </x:c>
      <x:c r="Q125" s="12" t="str">
        <x:f>IFERROR(VLOOKUP($D125&amp;"|"&amp;$K125,Recommendation_Lookup!$A$2:$H$19,7,FALSE),"")</x:f>
        <x:v>Sit into the movement under control and reverse without losing posture.</x:v>
      </x:c>
      <x:c r="R125" s="12" t="str">
        <x:f>IFERROR(VLOOKUP($D125&amp;"|"&amp;$K125,Recommendation_Lookup!$A$2:$H$19,8,FALSE),"")</x:f>
        <x:v>Retest after 4–6 weeks with jump height and impulse reviewed together.</x:v>
      </x:c>
      <x:c r="S125" s="12"/>
      <x:c r="T125" s="12"/>
      <x:c r="U125" s="12"/>
      <x:c r="V125" s="12"/>
      <x:c r="W125" s="12" t="str">
        <x:f>IF($S125&lt;&gt;"",$S125,$K125)</x:f>
        <x:v>Equal to Norm</x:v>
      </x:c>
      <x:c r="X125" s="12" t="str">
        <x:f>IF($T125&lt;&gt;"",$T125,$L125)</x:f>
        <x:v>Optimize countermovement strategy</x:v>
      </x:c>
      <x:c r="Y125" s="12" t="str">
        <x:f>IF($U125&lt;&gt;"",$U125,$N125)</x:f>
        <x:v>Use controlled countermovement drills and landing-to-jump progressions. Determine whether additional or reduced depth improves the athlete’s overall jump output.</x:v>
      </x:c>
      <x:c r="Z125" s="12" t="str">
        <x:f>IF($V125&lt;&gt;"",$V125,$O125)</x:f>
        <x:v>RVX Jump Mechanics</x:v>
      </x:c>
      <x:c r="AA125" s="12"/>
    </x:row>
    <x:row r="126">
      <x:c r="A126" s="12" t="str">
        <x:v>RVX-00021</x:v>
      </x:c>
      <x:c r="B126" s="12" t="str">
        <x:f>IFERROR(VLOOKUP($A126,Athlete_Profile!$A$2:$L$51,6,FALSE),"")</x:f>
        <x:v>Hockey</x:v>
      </x:c>
      <x:c r="C126" s="12" t="str">
        <x:f>IFERROR(VLOOKUP($A126,Athlete_Profile!$A$2:$L$51,5,FALSE),"")</x:f>
        <x:v>Female</x:v>
      </x:c>
      <x:c r="D126" s="12" t="str">
        <x:v>peak_force</x:v>
      </x:c>
      <x:c r="E126" s="12" t="str">
        <x:f>IFERROR(VLOOKUP($D126,Dropdown_Lists!$K$2:$N$7,2,FALSE),"")</x:f>
        <x:v>Peak Force</x:v>
      </x:c>
      <x:c r="F126" s="12" t="str">
        <x:f>IFERROR(VLOOKUP($D126,Dropdown_Lists!$K$2:$N$7,3,FALSE),"")</x:f>
        <x:v>higher</x:v>
      </x:c>
      <x:c r="G126" s="17" t="n">
        <x:f>IFERROR(LOOKUP(2,1/((Performance_Metrics!$A$2:$A$3000=$A126)*(Performance_Metrics!$D$2:$D$3000=$D126)),Performance_Metrics!$C$2:$C$3000),"")</x:f>
        <x:v>46230</x:v>
      </x:c>
      <x:c r="H126" s="12" t="n">
        <x:f>IFERROR(LOOKUP(2,1/((Performance_Metrics!$A$2:$A$3000=$A126)*(Performance_Metrics!$D$2:$D$3000=$D126)),Performance_Metrics!$G$2:$G$3000),"")</x:f>
        <x:v>1650</x:v>
      </x:c>
      <x:c r="I126" s="12" t="n">
        <x:f>IFERROR(SUMIFS(Normative_Data!$G$2:$G$1000,Normative_Data!$A$2:$A$1000,$B126,Normative_Data!$B$2:$B$1000,$C126,Normative_Data!$E$2:$E$1000,$D126),"")</x:f>
        <x:v>1750</x:v>
      </x:c>
      <x:c r="J126" s="18" t="n">
        <x:f>IF(OR($H126="",$I126=""),"",($H126-$I126)/$I126)</x:f>
        <x:v>-0.05714285714285714</x:v>
      </x:c>
      <x:c r="K126" s="12" t="str">
        <x:f>IF(OR($H126="",$I126="",$F126=""),"",IF(ABS($J126)&lt;=0.05,"Equal to Norm",IF($F126="lower",IF($H126&lt;$I126,"Above Norm","Below Norm"),IF($H126&gt;$I126,"Above Norm","Below Norm"))))</x:f>
        <x:v>Below Norm</x:v>
      </x:c>
      <x:c r="L126" s="12" t="str">
        <x:f>IFERROR(VLOOKUP($D126&amp;"|"&amp;$K126,Recommendation_Lookup!$A$2:$H$19,2,FALSE),"")</x:f>
        <x:v>Build foundational force production</x:v>
      </x:c>
      <x:c r="M126" s="12" t="str">
        <x:f>IFERROR(VLOOKUP($D126&amp;"|"&amp;$K126,Recommendation_Lookup!$A$2:$H$19,3,FALSE),"")</x:f>
        <x:v>Relative strength; technique; tendon capacity; trunk stability; unilateral strength</x:v>
      </x:c>
      <x:c r="N126" s="12" t="str">
        <x:f>IFERROR(VLOOKUP($D126&amp;"|"&amp;$K126,Recommendation_Lookup!$A$2:$H$19,4,FALSE),"")</x:f>
        <x:v>Prioritize foundational strength and positional competency. Use progressive resistance, isometrics and unilateral patterns before advanced power methods.</x:v>
      </x:c>
      <x:c r="O126" s="12" t="str">
        <x:f>IFERROR(VLOOKUP($D126&amp;"|"&amp;$K126,Recommendation_Lookup!$A$2:$H$19,5,FALSE),"")</x:f>
        <x:v>RVX Strength Foundations</x:v>
      </x:c>
      <x:c r="P126" s="12" t="str">
        <x:f>IFERROR(VLOOKUP($D126&amp;"|"&amp;$K126,Recommendation_Lookup!$A$2:$H$19,6,FALSE),"")</x:f>
        <x:v>RVX Lower-Body Capacity</x:v>
      </x:c>
      <x:c r="Q126" s="12" t="str">
        <x:f>IFERROR(VLOOKUP($D126&amp;"|"&amp;$K126,Recommendation_Lookup!$A$2:$H$19,7,FALSE),"")</x:f>
        <x:v>Own the position first, then increase force with consistent intent.</x:v>
      </x:c>
      <x:c r="R126" s="12" t="str">
        <x:f>IFERROR(VLOOKUP($D126&amp;"|"&amp;$K126,Recommendation_Lookup!$A$2:$H$19,8,FALSE),"")</x:f>
        <x:v>Retest after 4–6 weeks; review body-mass-relative force when possible.</x:v>
      </x:c>
      <x:c r="S126" s="12"/>
      <x:c r="T126" s="12"/>
      <x:c r="U126" s="12"/>
      <x:c r="V126" s="12"/>
      <x:c r="W126" s="12" t="str">
        <x:f>IF($S126&lt;&gt;"",$S126,$K126)</x:f>
        <x:v>Below Norm</x:v>
      </x:c>
      <x:c r="X126" s="12" t="str">
        <x:f>IF($T126&lt;&gt;"",$T126,$L126)</x:f>
        <x:v>Build foundational force production</x:v>
      </x:c>
      <x:c r="Y126" s="12" t="str">
        <x:f>IF($U126&lt;&gt;"",$U126,$N126)</x:f>
        <x:v>Prioritize foundational strength and positional competency. Use progressive resistance, isometrics and unilateral patterns before advanced power methods.</x:v>
      </x:c>
      <x:c r="Z126" s="12" t="str">
        <x:f>IF($V126&lt;&gt;"",$V126,$O126)</x:f>
        <x:v>RVX Strength Foundations</x:v>
      </x:c>
      <x:c r="AA126" s="12"/>
    </x:row>
    <x:row r="127">
      <x:c r="A127" s="12" t="str">
        <x:v>RVX-00021</x:v>
      </x:c>
      <x:c r="B127" s="12" t="str">
        <x:f>IFERROR(VLOOKUP($A127,Athlete_Profile!$A$2:$L$51,6,FALSE),"")</x:f>
        <x:v>Hockey</x:v>
      </x:c>
      <x:c r="C127" s="12" t="str">
        <x:f>IFERROR(VLOOKUP($A127,Athlete_Profile!$A$2:$L$51,5,FALSE),"")</x:f>
        <x:v>Female</x:v>
      </x:c>
      <x:c r="D127" s="12" t="str">
        <x:v>impulse</x:v>
      </x:c>
      <x:c r="E127" s="12" t="str">
        <x:f>IFERROR(VLOOKUP($D127,Dropdown_Lists!$K$2:$N$7,2,FALSE),"")</x:f>
        <x:v>Impulse-Momentum</x:v>
      </x:c>
      <x:c r="F127" s="12" t="str">
        <x:f>IFERROR(VLOOKUP($D127,Dropdown_Lists!$K$2:$N$7,3,FALSE),"")</x:f>
        <x:v>higher</x:v>
      </x:c>
      <x:c r="G127" s="17" t="n">
        <x:f>IFERROR(LOOKUP(2,1/((Performance_Metrics!$A$2:$A$3000=$A127)*(Performance_Metrics!$D$2:$D$3000=$D127)),Performance_Metrics!$C$2:$C$3000),"")</x:f>
        <x:v>46230</x:v>
      </x:c>
      <x:c r="H127" s="12" t="n">
        <x:f>IFERROR(LOOKUP(2,1/((Performance_Metrics!$A$2:$A$3000=$A127)*(Performance_Metrics!$D$2:$D$3000=$D127)),Performance_Metrics!$G$2:$G$3000),"")</x:f>
        <x:v>205.7</x:v>
      </x:c>
      <x:c r="I127" s="12" t="n">
        <x:f>IFERROR(SUMIFS(Normative_Data!$G$2:$G$1000,Normative_Data!$A$2:$A$1000,$B127,Normative_Data!$B$2:$B$1000,$C127,Normative_Data!$E$2:$E$1000,$D127),"")</x:f>
        <x:v>215</x:v>
      </x:c>
      <x:c r="J127" s="18" t="n">
        <x:f>IF(OR($H127="",$I127=""),"",($H127-$I127)/$I127)</x:f>
        <x:v>-0.043255813953488424</x:v>
      </x:c>
      <x:c r="K127" s="12" t="str">
        <x:f>IF(OR($H127="",$I127="",$F127=""),"",IF(ABS($J127)&lt;=0.05,"Equal to Norm",IF($F127="lower",IF($H127&lt;$I127,"Above Norm","Below Norm"),IF($H127&gt;$I127,"Above Norm","Below Norm"))))</x:f>
        <x:v>Equal to Norm</x:v>
      </x:c>
      <x:c r="L127" s="12" t="str">
        <x:f>IFERROR(VLOOKUP($D127&amp;"|"&amp;$K127,Recommendation_Lookup!$A$2:$H$19,2,FALSE),"")</x:f>
        <x:v>Improve force applied over time</x:v>
      </x:c>
      <x:c r="M127" s="12" t="str">
        <x:f>IFERROR(VLOOKUP($D127&amp;"|"&amp;$K127,Recommendation_Lookup!$A$2:$H$19,3,FALSE),"")</x:f>
        <x:v>Strength; countermovement strategy; intent; coordination; power</x:v>
      </x:c>
      <x:c r="N127" s="12" t="str">
        <x:f>IFERROR(VLOOKUP($D127&amp;"|"&amp;$K127,Recommendation_Lookup!$A$2:$H$19,4,FALSE),"")</x:f>
        <x:v>Use loaded jumps, isometrics and strength-power exercises that improve the athlete’s ability to produce and sustain force through the propulsion phase.</x:v>
      </x:c>
      <x:c r="O127" s="12" t="str">
        <x:f>IFERROR(VLOOKUP($D127&amp;"|"&amp;$K127,Recommendation_Lookup!$A$2:$H$19,5,FALSE),"")</x:f>
        <x:v>RVX Power Development</x:v>
      </x:c>
      <x:c r="P127" s="12" t="str">
        <x:f>IFERROR(VLOOKUP($D127&amp;"|"&amp;$K127,Recommendation_Lookup!$A$2:$H$19,6,FALSE),"")</x:f>
        <x:v>RVX Strength-Speed</x:v>
      </x:c>
      <x:c r="Q127" s="12" t="str">
        <x:f>IFERROR(VLOOKUP($D127&amp;"|"&amp;$K127,Recommendation_Lookup!$A$2:$H$19,7,FALSE),"")</x:f>
        <x:v>Apply force early and continue driving through take-off.</x:v>
      </x:c>
      <x:c r="R127" s="12" t="str">
        <x:f>IFERROR(VLOOKUP($D127&amp;"|"&amp;$K127,Recommendation_Lookup!$A$2:$H$19,8,FALSE),"")</x:f>
        <x:v>Retest after 4–6 weeks.</x:v>
      </x:c>
      <x:c r="S127" s="12"/>
      <x:c r="T127" s="12"/>
      <x:c r="U127" s="12"/>
      <x:c r="V127" s="12"/>
      <x:c r="W127" s="12" t="str">
        <x:f>IF($S127&lt;&gt;"",$S127,$K127)</x:f>
        <x:v>Equal to Norm</x:v>
      </x:c>
      <x:c r="X127" s="12" t="str">
        <x:f>IF($T127&lt;&gt;"",$T127,$L127)</x:f>
        <x:v>Improve force applied over time</x:v>
      </x:c>
      <x:c r="Y127" s="12" t="str">
        <x:f>IF($U127&lt;&gt;"",$U127,$N127)</x:f>
        <x:v>Use loaded jumps, isometrics and strength-power exercises that improve the athlete’s ability to produce and sustain force through the propulsion phase.</x:v>
      </x:c>
      <x:c r="Z127" s="12" t="str">
        <x:f>IF($V127&lt;&gt;"",$V127,$O127)</x:f>
        <x:v>RVX Power Development</x:v>
      </x:c>
      <x:c r="AA127" s="12"/>
    </x:row>
    <x:row r="128">
      <x:c r="A128" s="12" t="str">
        <x:v>RVX-00022</x:v>
      </x:c>
      <x:c r="B128" s="12" t="str">
        <x:f>IFERROR(VLOOKUP($A128,Athlete_Profile!$A$2:$L$51,6,FALSE),"")</x:f>
        <x:v>Hockey</x:v>
      </x:c>
      <x:c r="C128" s="12" t="str">
        <x:f>IFERROR(VLOOKUP($A128,Athlete_Profile!$A$2:$L$51,5,FALSE),"")</x:f>
        <x:v>Male</x:v>
      </x:c>
      <x:c r="D128" s="12" t="str">
        <x:v>sprint_5m</x:v>
      </x:c>
      <x:c r="E128" s="12" t="str">
        <x:f>IFERROR(VLOOKUP($D128,Dropdown_Lists!$K$2:$N$7,2,FALSE),"")</x:f>
        <x:v>5m Sprint</x:v>
      </x:c>
      <x:c r="F128" s="12" t="str">
        <x:f>IFERROR(VLOOKUP($D128,Dropdown_Lists!$K$2:$N$7,3,FALSE),"")</x:f>
        <x:v>lower</x:v>
      </x:c>
      <x:c r="G128" s="17" t="n">
        <x:f>IFERROR(LOOKUP(2,1/((Performance_Metrics!$A$2:$A$3000=$A128)*(Performance_Metrics!$D$2:$D$3000=$D128)),Performance_Metrics!$C$2:$C$3000),"")</x:f>
        <x:v>46230</x:v>
      </x:c>
      <x:c r="H128" s="12" t="n">
        <x:f>IFERROR(LOOKUP(2,1/((Performance_Metrics!$A$2:$A$3000=$A128)*(Performance_Metrics!$D$2:$D$3000=$D128)),Performance_Metrics!$G$2:$G$3000),"")</x:f>
        <x:v>0.89</x:v>
      </x:c>
      <x:c r="I128" s="12" t="n">
        <x:f>IFERROR(SUMIFS(Normative_Data!$G$2:$G$1000,Normative_Data!$A$2:$A$1000,$B128,Normative_Data!$B$2:$B$1000,$C128,Normative_Data!$E$2:$E$1000,$D128),"")</x:f>
        <x:v>1.08</x:v>
      </x:c>
      <x:c r="J128" s="18" t="n">
        <x:f>IF(OR($H128="",$I128=""),"",($H128-$I128)/$I128)</x:f>
        <x:v>-0.17592592592592596</x:v>
      </x:c>
      <x:c r="K128" s="12" t="str">
        <x:f>IF(OR($H128="",$I128="",$F128=""),"",IF(ABS($J128)&lt;=0.05,"Equal to Norm",IF($F128="lower",IF($H128&lt;$I128,"Above Norm","Below Norm"),IF($H128&gt;$I128,"Above Norm","Below Norm"))))</x:f>
        <x:v>Above Norm</x:v>
      </x:c>
      <x:c r="L128" s="12" t="str">
        <x:f>IFERROR(VLOOKUP($D128&amp;"|"&amp;$K128,Recommendation_Lookup!$A$2:$H$19,2,FALSE),"")</x:f>
        <x:v>Maintain first-step explosiveness</x:v>
      </x:c>
      <x:c r="M128" s="12" t="str">
        <x:f>IFERROR(VLOOKUP($D128&amp;"|"&amp;$K128,Recommendation_Lookup!$A$2:$H$19,3,FALSE),"")</x:f>
        <x:v>Start consistency; projection angle; horizontal force; reaction quality</x:v>
      </x:c>
      <x:c r="N128" s="12" t="str">
        <x:f>IFERROR(VLOOKUP($D128&amp;"|"&amp;$K128,Recommendation_Lookup!$A$2:$H$19,4,FALSE),"")</x:f>
        <x:v>Maintain speed with low-volume, high-quality acceleration exposures. Avoid unnecessary volume that could reduce sprint quality. Progress through resisted and reactive starts while preserving mechanics.</x:v>
      </x:c>
      <x:c r="O128" s="12" t="str">
        <x:f>IFERROR(VLOOKUP($D128&amp;"|"&amp;$K128,Recommendation_Lookup!$A$2:$H$19,5,FALSE),"")</x:f>
        <x:v>RVX Advanced Acceleration</x:v>
      </x:c>
      <x:c r="P128" s="12" t="str">
        <x:f>IFERROR(VLOOKUP($D128&amp;"|"&amp;$K128,Recommendation_Lookup!$A$2:$H$19,6,FALSE),"")</x:f>
        <x:v>RVX Explosive Starts Microdose</x:v>
      </x:c>
      <x:c r="Q128" s="12" t="str">
        <x:f>IFERROR(VLOOKUP($D128&amp;"|"&amp;$K128,Recommendation_Lookup!$A$2:$H$19,7,FALSE),"")</x:f>
        <x:v>Project forward, push the ground back, and win the first three steps.</x:v>
      </x:c>
      <x:c r="R128" s="12" t="str">
        <x:f>IFERROR(VLOOKUP($D128&amp;"|"&amp;$K128,Recommendation_Lookup!$A$2:$H$19,8,FALSE),"")</x:f>
        <x:v>Retest every 6–8 weeks or after a dedicated acceleration block.</x:v>
      </x:c>
      <x:c r="S128" s="12"/>
      <x:c r="T128" s="12"/>
      <x:c r="U128" s="12"/>
      <x:c r="V128" s="12"/>
      <x:c r="W128" s="12" t="str">
        <x:f>IF($S128&lt;&gt;"",$S128,$K128)</x:f>
        <x:v>Above Norm</x:v>
      </x:c>
      <x:c r="X128" s="12" t="str">
        <x:f>IF($T128&lt;&gt;"",$T128,$L128)</x:f>
        <x:v>Maintain first-step explosiveness</x:v>
      </x:c>
      <x:c r="Y128" s="12" t="str">
        <x:f>IF($U128&lt;&gt;"",$U128,$N128)</x:f>
        <x:v>Maintain speed with low-volume, high-quality acceleration exposures. Avoid unnecessary volume that could reduce sprint quality. Progress through resisted and reactive starts while preserving mechanics.</x:v>
      </x:c>
      <x:c r="Z128" s="12" t="str">
        <x:f>IF($V128&lt;&gt;"",$V128,$O128)</x:f>
        <x:v>RVX Advanced Acceleration</x:v>
      </x:c>
      <x:c r="AA128" s="12"/>
    </x:row>
    <x:row r="129">
      <x:c r="A129" s="12" t="str">
        <x:v>RVX-00022</x:v>
      </x:c>
      <x:c r="B129" s="12" t="str">
        <x:f>IFERROR(VLOOKUP($A129,Athlete_Profile!$A$2:$L$51,6,FALSE),"")</x:f>
        <x:v>Hockey</x:v>
      </x:c>
      <x:c r="C129" s="12" t="str">
        <x:f>IFERROR(VLOOKUP($A129,Athlete_Profile!$A$2:$L$51,5,FALSE),"")</x:f>
        <x:v>Male</x:v>
      </x:c>
      <x:c r="D129" s="12" t="str">
        <x:v>sprint_10m</x:v>
      </x:c>
      <x:c r="E129" s="12" t="str">
        <x:f>IFERROR(VLOOKUP($D129,Dropdown_Lists!$K$2:$N$7,2,FALSE),"")</x:f>
        <x:v>10m Sprint</x:v>
      </x:c>
      <x:c r="F129" s="12" t="str">
        <x:f>IFERROR(VLOOKUP($D129,Dropdown_Lists!$K$2:$N$7,3,FALSE),"")</x:f>
        <x:v>lower</x:v>
      </x:c>
      <x:c r="G129" s="17" t="n">
        <x:f>IFERROR(LOOKUP(2,1/((Performance_Metrics!$A$2:$A$3000=$A129)*(Performance_Metrics!$D$2:$D$3000=$D129)),Performance_Metrics!$C$2:$C$3000),"")</x:f>
        <x:v>46230</x:v>
      </x:c>
      <x:c r="H129" s="12" t="n">
        <x:f>IFERROR(LOOKUP(2,1/((Performance_Metrics!$A$2:$A$3000=$A129)*(Performance_Metrics!$D$2:$D$3000=$D129)),Performance_Metrics!$G$2:$G$3000),"")</x:f>
        <x:v>1.56</x:v>
      </x:c>
      <x:c r="I129" s="12" t="n">
        <x:f>IFERROR(SUMIFS(Normative_Data!$G$2:$G$1000,Normative_Data!$A$2:$A$1000,$B129,Normative_Data!$B$2:$B$1000,$C129,Normative_Data!$E$2:$E$1000,$D129),"")</x:f>
        <x:v>1.8</x:v>
      </x:c>
      <x:c r="J129" s="18" t="n">
        <x:f>IF(OR($H129="",$I129=""),"",($H129-$I129)/$I129)</x:f>
        <x:v>-0.13333333333333333</x:v>
      </x:c>
      <x:c r="K129" s="12" t="str">
        <x:f>IF(OR($H129="",$I129="",$F129=""),"",IF(ABS($J129)&lt;=0.05,"Equal to Norm",IF($F129="lower",IF($H129&lt;$I129,"Above Norm","Below Norm"),IF($H129&gt;$I129,"Above Norm","Below Norm"))))</x:f>
        <x:v>Above Norm</x:v>
      </x:c>
      <x:c r="L129" s="12" t="str">
        <x:f>IFERROR(VLOOKUP($D129&amp;"|"&amp;$K129,Recommendation_Lookup!$A$2:$H$19,2,FALSE),"")</x:f>
        <x:v>Maintain acceleration through 10 m</x:v>
      </x:c>
      <x:c r="M129" s="12" t="str">
        <x:f>IFERROR(VLOOKUP($D129&amp;"|"&amp;$K129,Recommendation_Lookup!$A$2:$H$19,3,FALSE),"")</x:f>
        <x:v>Transition mechanics; stride rhythm; stiffness; repeatability</x:v>
      </x:c>
      <x:c r="N129" s="12" t="str">
        <x:f>IFERROR(VLOOKUP($D129&amp;"|"&amp;$K129,Recommendation_Lookup!$A$2:$H$19,4,FALSE),"")</x:f>
        <x:v>Maintain one to two weekly high-quality acceleration exposures. Add varied starts and light resistance while monitoring consistency across trials.</x:v>
      </x:c>
      <x:c r="O129" s="12" t="str">
        <x:f>IFERROR(VLOOKUP($D129&amp;"|"&amp;$K129,Recommendation_Lookup!$A$2:$H$19,5,FALSE),"")</x:f>
        <x:v>RVX Advanced Acceleration</x:v>
      </x:c>
      <x:c r="P129" s="12" t="str">
        <x:f>IFERROR(VLOOKUP($D129&amp;"|"&amp;$K129,Recommendation_Lookup!$A$2:$H$19,6,FALSE),"")</x:f>
        <x:v>RVX Speed Maintenance Microdose</x:v>
      </x:c>
      <x:c r="Q129" s="12" t="str">
        <x:f>IFERROR(VLOOKUP($D129&amp;"|"&amp;$K129,Recommendation_Lookup!$A$2:$H$19,7,FALSE),"")</x:f>
        <x:v>Stay patient through acceleration and keep pushing behind the body.</x:v>
      </x:c>
      <x:c r="R129" s="12" t="str">
        <x:f>IFERROR(VLOOKUP($D129&amp;"|"&amp;$K129,Recommendation_Lookup!$A$2:$H$19,8,FALSE),"")</x:f>
        <x:v>Retest every 6–8 weeks or after a speed block.</x:v>
      </x:c>
      <x:c r="S129" s="12"/>
      <x:c r="T129" s="12"/>
      <x:c r="U129" s="12"/>
      <x:c r="V129" s="12"/>
      <x:c r="W129" s="12" t="str">
        <x:f>IF($S129&lt;&gt;"",$S129,$K129)</x:f>
        <x:v>Above Norm</x:v>
      </x:c>
      <x:c r="X129" s="12" t="str">
        <x:f>IF($T129&lt;&gt;"",$T129,$L129)</x:f>
        <x:v>Maintain acceleration through 10 m</x:v>
      </x:c>
      <x:c r="Y129" s="12" t="str">
        <x:f>IF($U129&lt;&gt;"",$U129,$N129)</x:f>
        <x:v>Maintain one to two weekly high-quality acceleration exposures. Add varied starts and light resistance while monitoring consistency across trials.</x:v>
      </x:c>
      <x:c r="Z129" s="12" t="str">
        <x:f>IF($V129&lt;&gt;"",$V129,$O129)</x:f>
        <x:v>RVX Advanced Acceleration</x:v>
      </x:c>
      <x:c r="AA129" s="12"/>
    </x:row>
    <x:row r="130">
      <x:c r="A130" s="12" t="str">
        <x:v>RVX-00022</x:v>
      </x:c>
      <x:c r="B130" s="12" t="str">
        <x:f>IFERROR(VLOOKUP($A130,Athlete_Profile!$A$2:$L$51,6,FALSE),"")</x:f>
        <x:v>Hockey</x:v>
      </x:c>
      <x:c r="C130" s="12" t="str">
        <x:f>IFERROR(VLOOKUP($A130,Athlete_Profile!$A$2:$L$51,5,FALSE),"")</x:f>
        <x:v>Male</x:v>
      </x:c>
      <x:c r="D130" s="12" t="str">
        <x:v>pro_agility</x:v>
      </x:c>
      <x:c r="E130" s="12" t="str">
        <x:f>IFERROR(VLOOKUP($D130,Dropdown_Lists!$K$2:$N$7,2,FALSE),"")</x:f>
        <x:v>5-10-5 Pro Agility</x:v>
      </x:c>
      <x:c r="F130" s="12" t="str">
        <x:f>IFERROR(VLOOKUP($D130,Dropdown_Lists!$K$2:$N$7,3,FALSE),"")</x:f>
        <x:v>lower</x:v>
      </x:c>
      <x:c r="G130" s="17" t="n">
        <x:f>IFERROR(LOOKUP(2,1/((Performance_Metrics!$A$2:$A$3000=$A130)*(Performance_Metrics!$D$2:$D$3000=$D130)),Performance_Metrics!$C$2:$C$3000),"")</x:f>
        <x:v>46230</x:v>
      </x:c>
      <x:c r="H130" s="12" t="n">
        <x:f>IFERROR(LOOKUP(2,1/((Performance_Metrics!$A$2:$A$3000=$A130)*(Performance_Metrics!$D$2:$D$3000=$D130)),Performance_Metrics!$G$2:$G$3000),"")</x:f>
        <x:v>3.81</x:v>
      </x:c>
      <x:c r="I130" s="12" t="n">
        <x:f>IFERROR(SUMIFS(Normative_Data!$G$2:$G$1000,Normative_Data!$A$2:$A$1000,$B130,Normative_Data!$B$2:$B$1000,$C130,Normative_Data!$E$2:$E$1000,$D130),"")</x:f>
        <x:v>4.63</x:v>
      </x:c>
      <x:c r="J130" s="18" t="n">
        <x:f>IF(OR($H130="",$I130=""),"",($H130-$I130)/$I130)</x:f>
        <x:v>-0.17710583153347728</x:v>
      </x:c>
      <x:c r="K130" s="12" t="str">
        <x:f>IF(OR($H130="",$I130="",$F130=""),"",IF(ABS($J130)&lt;=0.05,"Equal to Norm",IF($F130="lower",IF($H130&lt;$I130,"Above Norm","Below Norm"),IF($H130&gt;$I130,"Above Norm","Below Norm"))))</x:f>
        <x:v>Above Norm</x:v>
      </x:c>
      <x:c r="L130" s="12" t="str">
        <x:f>IFERROR(VLOOKUP($D130&amp;"|"&amp;$K130,Recommendation_Lookup!$A$2:$H$19,2,FALSE),"")</x:f>
        <x:v>Maintain change-of-direction performance</x:v>
      </x:c>
      <x:c r="M130" s="12" t="str">
        <x:f>IFERROR(VLOOKUP($D130&amp;"|"&amp;$K130,Recommendation_Lookup!$A$2:$H$19,3,FALSE),"")</x:f>
        <x:v>Reactive decision-making; braking tolerance; bilateral symmetry; movement variability</x:v>
      </x:c>
      <x:c r="N130" s="12" t="str">
        <x:f>IFERROR(VLOOKUP($D130&amp;"|"&amp;$K130,Recommendation_Lookup!$A$2:$H$19,4,FALSE),"")</x:f>
        <x:v>Maintain planned change-of-direction work and progress toward reactive agility. Use low-volume, high-quality exposures with multiple starting and turning strategies.</x:v>
      </x:c>
      <x:c r="O130" s="12" t="str">
        <x:f>IFERROR(VLOOKUP($D130&amp;"|"&amp;$K130,Recommendation_Lookup!$A$2:$H$19,5,FALSE),"")</x:f>
        <x:v>RVX Advanced Change of Direction</x:v>
      </x:c>
      <x:c r="P130" s="12" t="str">
        <x:f>IFERROR(VLOOKUP($D130&amp;"|"&amp;$K130,Recommendation_Lookup!$A$2:$H$19,6,FALSE),"")</x:f>
        <x:v>RVX Reactive Agility</x:v>
      </x:c>
      <x:c r="Q130" s="12" t="str">
        <x:f>IFERROR(VLOOKUP($D130&amp;"|"&amp;$K130,Recommendation_Lookup!$A$2:$H$19,7,FALSE),"")</x:f>
        <x:v>Brake under control, own the plant and accelerate out immediately.</x:v>
      </x:c>
      <x:c r="R130" s="12" t="str">
        <x:f>IFERROR(VLOOKUP($D130&amp;"|"&amp;$K130,Recommendation_Lookup!$A$2:$H$19,8,FALSE),"")</x:f>
        <x:v>Retest every 6–8 weeks with left and right trial review.</x:v>
      </x:c>
      <x:c r="S130" s="12"/>
      <x:c r="T130" s="12"/>
      <x:c r="U130" s="12"/>
      <x:c r="V130" s="12"/>
      <x:c r="W130" s="12" t="str">
        <x:f>IF($S130&lt;&gt;"",$S130,$K130)</x:f>
        <x:v>Above Norm</x:v>
      </x:c>
      <x:c r="X130" s="12" t="str">
        <x:f>IF($T130&lt;&gt;"",$T130,$L130)</x:f>
        <x:v>Maintain change-of-direction performance</x:v>
      </x:c>
      <x:c r="Y130" s="12" t="str">
        <x:f>IF($U130&lt;&gt;"",$U130,$N130)</x:f>
        <x:v>Maintain planned change-of-direction work and progress toward reactive agility. Use low-volume, high-quality exposures with multiple starting and turning strategies.</x:v>
      </x:c>
      <x:c r="Z130" s="12" t="str">
        <x:f>IF($V130&lt;&gt;"",$V130,$O130)</x:f>
        <x:v>RVX Advanced Change of Direction</x:v>
      </x:c>
      <x:c r="AA130" s="12"/>
    </x:row>
    <x:row r="131">
      <x:c r="A131" s="12" t="str">
        <x:v>RVX-00022</x:v>
      </x:c>
      <x:c r="B131" s="12" t="str">
        <x:f>IFERROR(VLOOKUP($A131,Athlete_Profile!$A$2:$L$51,6,FALSE),"")</x:f>
        <x:v>Hockey</x:v>
      </x:c>
      <x:c r="C131" s="12" t="str">
        <x:f>IFERROR(VLOOKUP($A131,Athlete_Profile!$A$2:$L$51,5,FALSE),"")</x:f>
        <x:v>Male</x:v>
      </x:c>
      <x:c r="D131" s="12" t="str">
        <x:v>cmj_depth</x:v>
      </x:c>
      <x:c r="E131" s="12" t="str">
        <x:f>IFERROR(VLOOKUP($D131,Dropdown_Lists!$K$2:$N$7,2,FALSE),"")</x:f>
        <x:v>Countermovement Depth</x:v>
      </x:c>
      <x:c r="F131" s="12" t="str">
        <x:f>IFERROR(VLOOKUP($D131,Dropdown_Lists!$K$2:$N$7,3,FALSE),"")</x:f>
        <x:v>higher</x:v>
      </x:c>
      <x:c r="G131" s="17" t="n">
        <x:f>IFERROR(LOOKUP(2,1/((Performance_Metrics!$A$2:$A$3000=$A131)*(Performance_Metrics!$D$2:$D$3000=$D131)),Performance_Metrics!$C$2:$C$3000),"")</x:f>
        <x:v>46230</x:v>
      </x:c>
      <x:c r="H131" s="12" t="n">
        <x:f>IFERROR(LOOKUP(2,1/((Performance_Metrics!$A$2:$A$3000=$A131)*(Performance_Metrics!$D$2:$D$3000=$D131)),Performance_Metrics!$G$2:$G$3000),"")</x:f>
        <x:v>38.8</x:v>
      </x:c>
      <x:c r="I131" s="12" t="n">
        <x:f>IFERROR(SUMIFS(Normative_Data!$G$2:$G$1000,Normative_Data!$A$2:$A$1000,$B131,Normative_Data!$B$2:$B$1000,$C131,Normative_Data!$E$2:$E$1000,$D131),"")</x:f>
        <x:v>33</x:v>
      </x:c>
      <x:c r="J131" s="18" t="n">
        <x:f>IF(OR($H131="",$I131=""),"",($H131-$I131)/$I131)</x:f>
        <x:v>0.17575757575757567</x:v>
      </x:c>
      <x:c r="K131" s="12" t="str">
        <x:f>IF(OR($H131="",$I131="",$F131=""),"",IF(ABS($J131)&lt;=0.05,"Equal to Norm",IF($F131="lower",IF($H131&lt;$I131,"Above Norm","Below Norm"),IF($H131&gt;$I131,"Above Norm","Below Norm"))))</x:f>
        <x:v>Above Norm</x:v>
      </x:c>
      <x:c r="L131" s="12" t="str">
        <x:f>IFERROR(VLOOKUP($D131&amp;"|"&amp;$K131,Recommendation_Lookup!$A$2:$H$19,2,FALSE),"")</x:f>
        <x:v>Maintain effective countermovement strategy</x:v>
      </x:c>
      <x:c r="M131" s="12" t="str">
        <x:f>IFERROR(VLOOKUP($D131&amp;"|"&amp;$K131,Recommendation_Lookup!$A$2:$H$19,3,FALSE),"")</x:f>
        <x:v>Movement efficiency; eccentric control; jump consistency; depth-to-output relationship</x:v>
      </x:c>
      <x:c r="N131" s="12" t="str">
        <x:f>IFERROR(VLOOKUP($D131&amp;"|"&amp;$K131,Recommendation_Lookup!$A$2:$H$19,4,FALSE),"")</x:f>
        <x:v>Maintain the athlete’s preferred countermovement strategy while ensuring the additional depth contributes to force and impulse rather than excessive movement time.</x:v>
      </x:c>
      <x:c r="O131" s="12" t="str">
        <x:f>IFERROR(VLOOKUP($D131&amp;"|"&amp;$K131,Recommendation_Lookup!$A$2:$H$19,5,FALSE),"")</x:f>
        <x:v>RVX Jump Performance Advanced</x:v>
      </x:c>
      <x:c r="P131" s="12" t="str">
        <x:f>IFERROR(VLOOKUP($D131&amp;"|"&amp;$K131,Recommendation_Lookup!$A$2:$H$19,6,FALSE),"")</x:f>
        <x:v>RVX Eccentric Strength Microdose</x:v>
      </x:c>
      <x:c r="Q131" s="12" t="str">
        <x:f>IFERROR(VLOOKUP($D131&amp;"|"&amp;$K131,Recommendation_Lookup!$A$2:$H$19,7,FALSE),"")</x:f>
        <x:v>Use the depth you can control, then reverse quickly and aggressively.</x:v>
      </x:c>
      <x:c r="R131" s="12" t="str">
        <x:f>IFERROR(VLOOKUP($D131&amp;"|"&amp;$K131,Recommendation_Lookup!$A$2:$H$19,8,FALSE),"")</x:f>
        <x:v>Retest every 6–8 weeks while monitoring jump height and contraction time.</x:v>
      </x:c>
      <x:c r="S131" s="12"/>
      <x:c r="T131" s="12"/>
      <x:c r="U131" s="12"/>
      <x:c r="V131" s="12"/>
      <x:c r="W131" s="12" t="str">
        <x:f>IF($S131&lt;&gt;"",$S131,$K131)</x:f>
        <x:v>Above Norm</x:v>
      </x:c>
      <x:c r="X131" s="12" t="str">
        <x:f>IF($T131&lt;&gt;"",$T131,$L131)</x:f>
        <x:v>Maintain effective countermovement strategy</x:v>
      </x:c>
      <x:c r="Y131" s="12" t="str">
        <x:f>IF($U131&lt;&gt;"",$U131,$N131)</x:f>
        <x:v>Maintain the athlete’s preferred countermovement strategy while ensuring the additional depth contributes to force and impulse rather than excessive movement time.</x:v>
      </x:c>
      <x:c r="Z131" s="12" t="str">
        <x:f>IF($V131&lt;&gt;"",$V131,$O131)</x:f>
        <x:v>RVX Jump Performance Advanced</x:v>
      </x:c>
      <x:c r="AA131" s="12"/>
    </x:row>
    <x:row r="132">
      <x:c r="A132" s="12" t="str">
        <x:v>RVX-00022</x:v>
      </x:c>
      <x:c r="B132" s="12" t="str">
        <x:f>IFERROR(VLOOKUP($A132,Athlete_Profile!$A$2:$L$51,6,FALSE),"")</x:f>
        <x:v>Hockey</x:v>
      </x:c>
      <x:c r="C132" s="12" t="str">
        <x:f>IFERROR(VLOOKUP($A132,Athlete_Profile!$A$2:$L$51,5,FALSE),"")</x:f>
        <x:v>Male</x:v>
      </x:c>
      <x:c r="D132" s="12" t="str">
        <x:v>peak_force</x:v>
      </x:c>
      <x:c r="E132" s="12" t="str">
        <x:f>IFERROR(VLOOKUP($D132,Dropdown_Lists!$K$2:$N$7,2,FALSE),"")</x:f>
        <x:v>Peak Force</x:v>
      </x:c>
      <x:c r="F132" s="12" t="str">
        <x:f>IFERROR(VLOOKUP($D132,Dropdown_Lists!$K$2:$N$7,3,FALSE),"")</x:f>
        <x:v>higher</x:v>
      </x:c>
      <x:c r="G132" s="17" t="n">
        <x:f>IFERROR(LOOKUP(2,1/((Performance_Metrics!$A$2:$A$3000=$A132)*(Performance_Metrics!$D$2:$D$3000=$D132)),Performance_Metrics!$C$2:$C$3000),"")</x:f>
        <x:v>46230</x:v>
      </x:c>
      <x:c r="H132" s="12" t="n">
        <x:f>IFERROR(LOOKUP(2,1/((Performance_Metrics!$A$2:$A$3000=$A132)*(Performance_Metrics!$D$2:$D$3000=$D132)),Performance_Metrics!$G$2:$G$3000),"")</x:f>
        <x:v>2203</x:v>
      </x:c>
      <x:c r="I132" s="12" t="n">
        <x:f>IFERROR(SUMIFS(Normative_Data!$G$2:$G$1000,Normative_Data!$A$2:$A$1000,$B132,Normative_Data!$B$2:$B$1000,$C132,Normative_Data!$E$2:$E$1000,$D132),"")</x:f>
        <x:v>1925</x:v>
      </x:c>
      <x:c r="J132" s="18" t="n">
        <x:f>IF(OR($H132="",$I132=""),"",($H132-$I132)/$I132)</x:f>
        <x:v>0.1444155844155844</x:v>
      </x:c>
      <x:c r="K132" s="12" t="str">
        <x:f>IF(OR($H132="",$I132="",$F132=""),"",IF(ABS($J132)&lt;=0.05,"Equal to Norm",IF($F132="lower",IF($H132&lt;$I132,"Above Norm","Below Norm"),IF($H132&gt;$I132,"Above Norm","Below Norm"))))</x:f>
        <x:v>Above Norm</x:v>
      </x:c>
      <x:c r="L132" s="12" t="str">
        <x:f>IFERROR(VLOOKUP($D132&amp;"|"&amp;$K132,Recommendation_Lookup!$A$2:$H$19,2,FALSE),"")</x:f>
        <x:v>Maintain maximal force qualities</x:v>
      </x:c>
      <x:c r="M132" s="12" t="str">
        <x:f>IFERROR(VLOOKUP($D132&amp;"|"&amp;$K132,Recommendation_Lookup!$A$2:$H$19,3,FALSE),"")</x:f>
        <x:v>Force application speed; asymmetry; fatigue management; sport transfer</x:v>
      </x:c>
      <x:c r="N132" s="12" t="str">
        <x:f>IFERROR(VLOOKUP($D132&amp;"|"&amp;$K132,Recommendation_Lookup!$A$2:$H$19,4,FALSE),"")</x:f>
        <x:v>Maintain maximal force with low-volume strength exposure while shifting selected work toward power and sport-specific application. Monitor asymmetry and fatigue.</x:v>
      </x:c>
      <x:c r="O132" s="12" t="str">
        <x:f>IFERROR(VLOOKUP($D132&amp;"|"&amp;$K132,Recommendation_Lookup!$A$2:$H$19,5,FALSE),"")</x:f>
        <x:v>RVX Advanced Strength-Power</x:v>
      </x:c>
      <x:c r="P132" s="12" t="str">
        <x:f>IFERROR(VLOOKUP($D132&amp;"|"&amp;$K132,Recommendation_Lookup!$A$2:$H$19,6,FALSE),"")</x:f>
        <x:v>RVX Force Maintenance Microdose</x:v>
      </x:c>
      <x:c r="Q132" s="12" t="str">
        <x:f>IFERROR(VLOOKUP($D132&amp;"|"&amp;$K132,Recommendation_Lookup!$A$2:$H$19,7,FALSE),"")</x:f>
        <x:v>Produce high force without losing position or movement speed.</x:v>
      </x:c>
      <x:c r="R132" s="12" t="str">
        <x:f>IFERROR(VLOOKUP($D132&amp;"|"&amp;$K132,Recommendation_Lookup!$A$2:$H$19,8,FALSE),"")</x:f>
        <x:v>Retest every 6–8 weeks or following a strength-power phase.</x:v>
      </x:c>
      <x:c r="S132" s="12"/>
      <x:c r="T132" s="12"/>
      <x:c r="U132" s="12"/>
      <x:c r="V132" s="12"/>
      <x:c r="W132" s="12" t="str">
        <x:f>IF($S132&lt;&gt;"",$S132,$K132)</x:f>
        <x:v>Above Norm</x:v>
      </x:c>
      <x:c r="X132" s="12" t="str">
        <x:f>IF($T132&lt;&gt;"",$T132,$L132)</x:f>
        <x:v>Maintain maximal force qualities</x:v>
      </x:c>
      <x:c r="Y132" s="12" t="str">
        <x:f>IF($U132&lt;&gt;"",$U132,$N132)</x:f>
        <x:v>Maintain maximal force with low-volume strength exposure while shifting selected work toward power and sport-specific application. Monitor asymmetry and fatigue.</x:v>
      </x:c>
      <x:c r="Z132" s="12" t="str">
        <x:f>IF($V132&lt;&gt;"",$V132,$O132)</x:f>
        <x:v>RVX Advanced Strength-Power</x:v>
      </x:c>
      <x:c r="AA132" s="12"/>
    </x:row>
    <x:row r="133">
      <x:c r="A133" s="12" t="str">
        <x:v>RVX-00022</x:v>
      </x:c>
      <x:c r="B133" s="12" t="str">
        <x:f>IFERROR(VLOOKUP($A133,Athlete_Profile!$A$2:$L$51,6,FALSE),"")</x:f>
        <x:v>Hockey</x:v>
      </x:c>
      <x:c r="C133" s="12" t="str">
        <x:f>IFERROR(VLOOKUP($A133,Athlete_Profile!$A$2:$L$51,5,FALSE),"")</x:f>
        <x:v>Male</x:v>
      </x:c>
      <x:c r="D133" s="12" t="str">
        <x:v>impulse</x:v>
      </x:c>
      <x:c r="E133" s="12" t="str">
        <x:f>IFERROR(VLOOKUP($D133,Dropdown_Lists!$K$2:$N$7,2,FALSE),"")</x:f>
        <x:v>Impulse-Momentum</x:v>
      </x:c>
      <x:c r="F133" s="12" t="str">
        <x:f>IFERROR(VLOOKUP($D133,Dropdown_Lists!$K$2:$N$7,3,FALSE),"")</x:f>
        <x:v>higher</x:v>
      </x:c>
      <x:c r="G133" s="17" t="n">
        <x:f>IFERROR(LOOKUP(2,1/((Performance_Metrics!$A$2:$A$3000=$A133)*(Performance_Metrics!$D$2:$D$3000=$D133)),Performance_Metrics!$C$2:$C$3000),"")</x:f>
        <x:v>46230</x:v>
      </x:c>
      <x:c r="H133" s="12" t="n">
        <x:f>IFERROR(LOOKUP(2,1/((Performance_Metrics!$A$2:$A$3000=$A133)*(Performance_Metrics!$D$2:$D$3000=$D133)),Performance_Metrics!$G$2:$G$3000),"")</x:f>
        <x:v>272.5</x:v>
      </x:c>
      <x:c r="I133" s="12" t="n">
        <x:f>IFERROR(SUMIFS(Normative_Data!$G$2:$G$1000,Normative_Data!$A$2:$A$1000,$B133,Normative_Data!$B$2:$B$1000,$C133,Normative_Data!$E$2:$E$1000,$D133),"")</x:f>
        <x:v>236.5</x:v>
      </x:c>
      <x:c r="J133" s="18" t="n">
        <x:f>IF(OR($H133="",$I133=""),"",($H133-$I133)/$I133)</x:f>
        <x:v>0.1522198731501057</x:v>
      </x:c>
      <x:c r="K133" s="12" t="str">
        <x:f>IF(OR($H133="",$I133="",$F133=""),"",IF(ABS($J133)&lt;=0.05,"Equal to Norm",IF($F133="lower",IF($H133&lt;$I133,"Above Norm","Below Norm"),IF($H133&gt;$I133,"Above Norm","Below Norm"))))</x:f>
        <x:v>Above Norm</x:v>
      </x:c>
      <x:c r="L133" s="12" t="str">
        <x:f>IFERROR(VLOOKUP($D133&amp;"|"&amp;$K133,Recommendation_Lookup!$A$2:$H$19,2,FALSE),"")</x:f>
        <x:v>Maintain total force-time output</x:v>
      </x:c>
      <x:c r="M133" s="12" t="str">
        <x:f>IFERROR(VLOOKUP($D133&amp;"|"&amp;$K133,Recommendation_Lookup!$A$2:$H$19,3,FALSE),"")</x:f>
        <x:v>Rate of force development; movement time; power transfer; fatigue resistance</x:v>
      </x:c>
      <x:c r="N133" s="12" t="str">
        <x:f>IFERROR(VLOOKUP($D133&amp;"|"&amp;$K133,Recommendation_Lookup!$A$2:$H$19,4,FALSE),"")</x:f>
        <x:v>Maintain impulse with strength-power microdosing and varied jump or sprint exposures. Ensure high impulse is achieved efficiently rather than through excessive movement time.</x:v>
      </x:c>
      <x:c r="O133" s="12" t="str">
        <x:f>IFERROR(VLOOKUP($D133&amp;"|"&amp;$K133,Recommendation_Lookup!$A$2:$H$19,5,FALSE),"")</x:f>
        <x:v>RVX Advanced Power Development</x:v>
      </x:c>
      <x:c r="P133" s="12" t="str">
        <x:f>IFERROR(VLOOKUP($D133&amp;"|"&amp;$K133,Recommendation_Lookup!$A$2:$H$19,6,FALSE),"")</x:f>
        <x:v>RVX Elastic Power Microdose</x:v>
      </x:c>
      <x:c r="Q133" s="12" t="str">
        <x:f>IFERROR(VLOOKUP($D133&amp;"|"&amp;$K133,Recommendation_Lookup!$A$2:$H$19,7,FALSE),"")</x:f>
        <x:v>Build force quickly and keep applying it through the full movement.</x:v>
      </x:c>
      <x:c r="R133" s="12" t="str">
        <x:f>IFERROR(VLOOKUP($D133&amp;"|"&amp;$K133,Recommendation_Lookup!$A$2:$H$19,8,FALSE),"")</x:f>
        <x:v>Retest every 6–8 weeks while reviewing contraction time and jump outcome.</x:v>
      </x:c>
      <x:c r="S133" s="12"/>
      <x:c r="T133" s="12"/>
      <x:c r="U133" s="12"/>
      <x:c r="V133" s="12"/>
      <x:c r="W133" s="12" t="str">
        <x:f>IF($S133&lt;&gt;"",$S133,$K133)</x:f>
        <x:v>Above Norm</x:v>
      </x:c>
      <x:c r="X133" s="12" t="str">
        <x:f>IF($T133&lt;&gt;"",$T133,$L133)</x:f>
        <x:v>Maintain total force-time output</x:v>
      </x:c>
      <x:c r="Y133" s="12" t="str">
        <x:f>IF($U133&lt;&gt;"",$U133,$N133)</x:f>
        <x:v>Maintain impulse with strength-power microdosing and varied jump or sprint exposures. Ensure high impulse is achieved efficiently rather than through excessive movement time.</x:v>
      </x:c>
      <x:c r="Z133" s="12" t="str">
        <x:f>IF($V133&lt;&gt;"",$V133,$O133)</x:f>
        <x:v>RVX Advanced Power Development</x:v>
      </x:c>
      <x:c r="AA133" s="12"/>
    </x:row>
    <x:row r="134">
      <x:c r="A134" s="12" t="str">
        <x:v>RVX-00023</x:v>
      </x:c>
      <x:c r="B134" s="12" t="str">
        <x:f>IFERROR(VLOOKUP($A134,Athlete_Profile!$A$2:$L$51,6,FALSE),"")</x:f>
        <x:v>Hockey</x:v>
      </x:c>
      <x:c r="C134" s="12" t="str">
        <x:f>IFERROR(VLOOKUP($A134,Athlete_Profile!$A$2:$L$51,5,FALSE),"")</x:f>
        <x:v>Female</x:v>
      </x:c>
      <x:c r="D134" s="12" t="str">
        <x:v>sprint_5m</x:v>
      </x:c>
      <x:c r="E134" s="12" t="str">
        <x:f>IFERROR(VLOOKUP($D134,Dropdown_Lists!$K$2:$N$7,2,FALSE),"")</x:f>
        <x:v>5m Sprint</x:v>
      </x:c>
      <x:c r="F134" s="12" t="str">
        <x:f>IFERROR(VLOOKUP($D134,Dropdown_Lists!$K$2:$N$7,3,FALSE),"")</x:f>
        <x:v>lower</x:v>
      </x:c>
      <x:c r="G134" s="17" t="n">
        <x:f>IFERROR(LOOKUP(2,1/((Performance_Metrics!$A$2:$A$3000=$A134)*(Performance_Metrics!$D$2:$D$3000=$D134)),Performance_Metrics!$C$2:$C$3000),"")</x:f>
        <x:v>46230</x:v>
      </x:c>
      <x:c r="H134" s="12" t="n">
        <x:f>IFERROR(LOOKUP(2,1/((Performance_Metrics!$A$2:$A$3000=$A134)*(Performance_Metrics!$D$2:$D$3000=$D134)),Performance_Metrics!$G$2:$G$3000),"")</x:f>
        <x:v>1.06</x:v>
      </x:c>
      <x:c r="I134" s="12" t="n">
        <x:f>IFERROR(SUMIFS(Normative_Data!$G$2:$G$1000,Normative_Data!$A$2:$A$1000,$B134,Normative_Data!$B$2:$B$1000,$C134,Normative_Data!$E$2:$E$1000,$D134),"")</x:f>
        <x:v>1.12</x:v>
      </x:c>
      <x:c r="J134" s="18" t="n">
        <x:f>IF(OR($H134="",$I134=""),"",($H134-$I134)/$I134)</x:f>
        <x:v>-0.05357142857142862</x:v>
      </x:c>
      <x:c r="K134" s="12" t="str">
        <x:f>IF(OR($H134="",$I134="",$F134=""),"",IF(ABS($J134)&lt;=0.05,"Equal to Norm",IF($F134="lower",IF($H134&lt;$I134,"Above Norm","Below Norm"),IF($H134&gt;$I134,"Above Norm","Below Norm"))))</x:f>
        <x:v>Above Norm</x:v>
      </x:c>
      <x:c r="L134" s="12" t="str">
        <x:f>IFERROR(VLOOKUP($D134&amp;"|"&amp;$K134,Recommendation_Lookup!$A$2:$H$19,2,FALSE),"")</x:f>
        <x:v>Maintain first-step explosiveness</x:v>
      </x:c>
      <x:c r="M134" s="12" t="str">
        <x:f>IFERROR(VLOOKUP($D134&amp;"|"&amp;$K134,Recommendation_Lookup!$A$2:$H$19,3,FALSE),"")</x:f>
        <x:v>Start consistency; projection angle; horizontal force; reaction quality</x:v>
      </x:c>
      <x:c r="N134" s="12" t="str">
        <x:f>IFERROR(VLOOKUP($D134&amp;"|"&amp;$K134,Recommendation_Lookup!$A$2:$H$19,4,FALSE),"")</x:f>
        <x:v>Maintain speed with low-volume, high-quality acceleration exposures. Avoid unnecessary volume that could reduce sprint quality. Progress through resisted and reactive starts while preserving mechanics.</x:v>
      </x:c>
      <x:c r="O134" s="12" t="str">
        <x:f>IFERROR(VLOOKUP($D134&amp;"|"&amp;$K134,Recommendation_Lookup!$A$2:$H$19,5,FALSE),"")</x:f>
        <x:v>RVX Advanced Acceleration</x:v>
      </x:c>
      <x:c r="P134" s="12" t="str">
        <x:f>IFERROR(VLOOKUP($D134&amp;"|"&amp;$K134,Recommendation_Lookup!$A$2:$H$19,6,FALSE),"")</x:f>
        <x:v>RVX Explosive Starts Microdose</x:v>
      </x:c>
      <x:c r="Q134" s="12" t="str">
        <x:f>IFERROR(VLOOKUP($D134&amp;"|"&amp;$K134,Recommendation_Lookup!$A$2:$H$19,7,FALSE),"")</x:f>
        <x:v>Project forward, push the ground back, and win the first three steps.</x:v>
      </x:c>
      <x:c r="R134" s="12" t="str">
        <x:f>IFERROR(VLOOKUP($D134&amp;"|"&amp;$K134,Recommendation_Lookup!$A$2:$H$19,8,FALSE),"")</x:f>
        <x:v>Retest every 6–8 weeks or after a dedicated acceleration block.</x:v>
      </x:c>
      <x:c r="S134" s="12"/>
      <x:c r="T134" s="12"/>
      <x:c r="U134" s="12"/>
      <x:c r="V134" s="12"/>
      <x:c r="W134" s="12" t="str">
        <x:f>IF($S134&lt;&gt;"",$S134,$K134)</x:f>
        <x:v>Above Norm</x:v>
      </x:c>
      <x:c r="X134" s="12" t="str">
        <x:f>IF($T134&lt;&gt;"",$T134,$L134)</x:f>
        <x:v>Maintain first-step explosiveness</x:v>
      </x:c>
      <x:c r="Y134" s="12" t="str">
        <x:f>IF($U134&lt;&gt;"",$U134,$N134)</x:f>
        <x:v>Maintain speed with low-volume, high-quality acceleration exposures. Avoid unnecessary volume that could reduce sprint quality. Progress through resisted and reactive starts while preserving mechanics.</x:v>
      </x:c>
      <x:c r="Z134" s="12" t="str">
        <x:f>IF($V134&lt;&gt;"",$V134,$O134)</x:f>
        <x:v>RVX Advanced Acceleration</x:v>
      </x:c>
      <x:c r="AA134" s="12"/>
    </x:row>
    <x:row r="135">
      <x:c r="A135" s="12" t="str">
        <x:v>RVX-00023</x:v>
      </x:c>
      <x:c r="B135" s="12" t="str">
        <x:f>IFERROR(VLOOKUP($A135,Athlete_Profile!$A$2:$L$51,6,FALSE),"")</x:f>
        <x:v>Hockey</x:v>
      </x:c>
      <x:c r="C135" s="12" t="str">
        <x:f>IFERROR(VLOOKUP($A135,Athlete_Profile!$A$2:$L$51,5,FALSE),"")</x:f>
        <x:v>Female</x:v>
      </x:c>
      <x:c r="D135" s="12" t="str">
        <x:v>sprint_10m</x:v>
      </x:c>
      <x:c r="E135" s="12" t="str">
        <x:f>IFERROR(VLOOKUP($D135,Dropdown_Lists!$K$2:$N$7,2,FALSE),"")</x:f>
        <x:v>10m Sprint</x:v>
      </x:c>
      <x:c r="F135" s="12" t="str">
        <x:f>IFERROR(VLOOKUP($D135,Dropdown_Lists!$K$2:$N$7,3,FALSE),"")</x:f>
        <x:v>lower</x:v>
      </x:c>
      <x:c r="G135" s="17" t="n">
        <x:f>IFERROR(LOOKUP(2,1/((Performance_Metrics!$A$2:$A$3000=$A135)*(Performance_Metrics!$D$2:$D$3000=$D135)),Performance_Metrics!$C$2:$C$3000),"")</x:f>
        <x:v>46230</x:v>
      </x:c>
      <x:c r="H135" s="12" t="n">
        <x:f>IFERROR(LOOKUP(2,1/((Performance_Metrics!$A$2:$A$3000=$A135)*(Performance_Metrics!$D$2:$D$3000=$D135)),Performance_Metrics!$G$2:$G$3000),"")</x:f>
        <x:v>1.75</x:v>
      </x:c>
      <x:c r="I135" s="12" t="n">
        <x:f>IFERROR(SUMIFS(Normative_Data!$G$2:$G$1000,Normative_Data!$A$2:$A$1000,$B135,Normative_Data!$B$2:$B$1000,$C135,Normative_Data!$E$2:$E$1000,$D135),"")</x:f>
        <x:v>1.88</x:v>
      </x:c>
      <x:c r="J135" s="18" t="n">
        <x:f>IF(OR($H135="",$I135=""),"",($H135-$I135)/$I135)</x:f>
        <x:v>-0.06914893617021271</x:v>
      </x:c>
      <x:c r="K135" s="12" t="str">
        <x:f>IF(OR($H135="",$I135="",$F135=""),"",IF(ABS($J135)&lt;=0.05,"Equal to Norm",IF($F135="lower",IF($H135&lt;$I135,"Above Norm","Below Norm"),IF($H135&gt;$I135,"Above Norm","Below Norm"))))</x:f>
        <x:v>Above Norm</x:v>
      </x:c>
      <x:c r="L135" s="12" t="str">
        <x:f>IFERROR(VLOOKUP($D135&amp;"|"&amp;$K135,Recommendation_Lookup!$A$2:$H$19,2,FALSE),"")</x:f>
        <x:v>Maintain acceleration through 10 m</x:v>
      </x:c>
      <x:c r="M135" s="12" t="str">
        <x:f>IFERROR(VLOOKUP($D135&amp;"|"&amp;$K135,Recommendation_Lookup!$A$2:$H$19,3,FALSE),"")</x:f>
        <x:v>Transition mechanics; stride rhythm; stiffness; repeatability</x:v>
      </x:c>
      <x:c r="N135" s="12" t="str">
        <x:f>IFERROR(VLOOKUP($D135&amp;"|"&amp;$K135,Recommendation_Lookup!$A$2:$H$19,4,FALSE),"")</x:f>
        <x:v>Maintain one to two weekly high-quality acceleration exposures. Add varied starts and light resistance while monitoring consistency across trials.</x:v>
      </x:c>
      <x:c r="O135" s="12" t="str">
        <x:f>IFERROR(VLOOKUP($D135&amp;"|"&amp;$K135,Recommendation_Lookup!$A$2:$H$19,5,FALSE),"")</x:f>
        <x:v>RVX Advanced Acceleration</x:v>
      </x:c>
      <x:c r="P135" s="12" t="str">
        <x:f>IFERROR(VLOOKUP($D135&amp;"|"&amp;$K135,Recommendation_Lookup!$A$2:$H$19,6,FALSE),"")</x:f>
        <x:v>RVX Speed Maintenance Microdose</x:v>
      </x:c>
      <x:c r="Q135" s="12" t="str">
        <x:f>IFERROR(VLOOKUP($D135&amp;"|"&amp;$K135,Recommendation_Lookup!$A$2:$H$19,7,FALSE),"")</x:f>
        <x:v>Stay patient through acceleration and keep pushing behind the body.</x:v>
      </x:c>
      <x:c r="R135" s="12" t="str">
        <x:f>IFERROR(VLOOKUP($D135&amp;"|"&amp;$K135,Recommendation_Lookup!$A$2:$H$19,8,FALSE),"")</x:f>
        <x:v>Retest every 6–8 weeks or after a speed block.</x:v>
      </x:c>
      <x:c r="S135" s="12"/>
      <x:c r="T135" s="12"/>
      <x:c r="U135" s="12"/>
      <x:c r="V135" s="12"/>
      <x:c r="W135" s="12" t="str">
        <x:f>IF($S135&lt;&gt;"",$S135,$K135)</x:f>
        <x:v>Above Norm</x:v>
      </x:c>
      <x:c r="X135" s="12" t="str">
        <x:f>IF($T135&lt;&gt;"",$T135,$L135)</x:f>
        <x:v>Maintain acceleration through 10 m</x:v>
      </x:c>
      <x:c r="Y135" s="12" t="str">
        <x:f>IF($U135&lt;&gt;"",$U135,$N135)</x:f>
        <x:v>Maintain one to two weekly high-quality acceleration exposures. Add varied starts and light resistance while monitoring consistency across trials.</x:v>
      </x:c>
      <x:c r="Z135" s="12" t="str">
        <x:f>IF($V135&lt;&gt;"",$V135,$O135)</x:f>
        <x:v>RVX Advanced Acceleration</x:v>
      </x:c>
      <x:c r="AA135" s="12"/>
    </x:row>
    <x:row r="136">
      <x:c r="A136" s="12" t="str">
        <x:v>RVX-00023</x:v>
      </x:c>
      <x:c r="B136" s="12" t="str">
        <x:f>IFERROR(VLOOKUP($A136,Athlete_Profile!$A$2:$L$51,6,FALSE),"")</x:f>
        <x:v>Hockey</x:v>
      </x:c>
      <x:c r="C136" s="12" t="str">
        <x:f>IFERROR(VLOOKUP($A136,Athlete_Profile!$A$2:$L$51,5,FALSE),"")</x:f>
        <x:v>Female</x:v>
      </x:c>
      <x:c r="D136" s="12" t="str">
        <x:v>pro_agility</x:v>
      </x:c>
      <x:c r="E136" s="12" t="str">
        <x:f>IFERROR(VLOOKUP($D136,Dropdown_Lists!$K$2:$N$7,2,FALSE),"")</x:f>
        <x:v>5-10-5 Pro Agility</x:v>
      </x:c>
      <x:c r="F136" s="12" t="str">
        <x:f>IFERROR(VLOOKUP($D136,Dropdown_Lists!$K$2:$N$7,3,FALSE),"")</x:f>
        <x:v>lower</x:v>
      </x:c>
      <x:c r="G136" s="17" t="n">
        <x:f>IFERROR(LOOKUP(2,1/((Performance_Metrics!$A$2:$A$3000=$A136)*(Performance_Metrics!$D$2:$D$3000=$D136)),Performance_Metrics!$C$2:$C$3000),"")</x:f>
        <x:v>46230</x:v>
      </x:c>
      <x:c r="H136" s="12" t="n">
        <x:f>IFERROR(LOOKUP(2,1/((Performance_Metrics!$A$2:$A$3000=$A136)*(Performance_Metrics!$D$2:$D$3000=$D136)),Performance_Metrics!$G$2:$G$3000),"")</x:f>
        <x:v>4.52</x:v>
      </x:c>
      <x:c r="I136" s="12" t="n">
        <x:f>IFERROR(SUMIFS(Normative_Data!$G$2:$G$1000,Normative_Data!$A$2:$A$1000,$B136,Normative_Data!$B$2:$B$1000,$C136,Normative_Data!$E$2:$E$1000,$D136),"")</x:f>
        <x:v>4.82</x:v>
      </x:c>
      <x:c r="J136" s="18" t="n">
        <x:f>IF(OR($H136="",$I136=""),"",($H136-$I136)/$I136)</x:f>
        <x:v>-0.062240663900415084</x:v>
      </x:c>
      <x:c r="K136" s="12" t="str">
        <x:f>IF(OR($H136="",$I136="",$F136=""),"",IF(ABS($J136)&lt;=0.05,"Equal to Norm",IF($F136="lower",IF($H136&lt;$I136,"Above Norm","Below Norm"),IF($H136&gt;$I136,"Above Norm","Below Norm"))))</x:f>
        <x:v>Above Norm</x:v>
      </x:c>
      <x:c r="L136" s="12" t="str">
        <x:f>IFERROR(VLOOKUP($D136&amp;"|"&amp;$K136,Recommendation_Lookup!$A$2:$H$19,2,FALSE),"")</x:f>
        <x:v>Maintain change-of-direction performance</x:v>
      </x:c>
      <x:c r="M136" s="12" t="str">
        <x:f>IFERROR(VLOOKUP($D136&amp;"|"&amp;$K136,Recommendation_Lookup!$A$2:$H$19,3,FALSE),"")</x:f>
        <x:v>Reactive decision-making; braking tolerance; bilateral symmetry; movement variability</x:v>
      </x:c>
      <x:c r="N136" s="12" t="str">
        <x:f>IFERROR(VLOOKUP($D136&amp;"|"&amp;$K136,Recommendation_Lookup!$A$2:$H$19,4,FALSE),"")</x:f>
        <x:v>Maintain planned change-of-direction work and progress toward reactive agility. Use low-volume, high-quality exposures with multiple starting and turning strategies.</x:v>
      </x:c>
      <x:c r="O136" s="12" t="str">
        <x:f>IFERROR(VLOOKUP($D136&amp;"|"&amp;$K136,Recommendation_Lookup!$A$2:$H$19,5,FALSE),"")</x:f>
        <x:v>RVX Advanced Change of Direction</x:v>
      </x:c>
      <x:c r="P136" s="12" t="str">
        <x:f>IFERROR(VLOOKUP($D136&amp;"|"&amp;$K136,Recommendation_Lookup!$A$2:$H$19,6,FALSE),"")</x:f>
        <x:v>RVX Reactive Agility</x:v>
      </x:c>
      <x:c r="Q136" s="12" t="str">
        <x:f>IFERROR(VLOOKUP($D136&amp;"|"&amp;$K136,Recommendation_Lookup!$A$2:$H$19,7,FALSE),"")</x:f>
        <x:v>Brake under control, own the plant and accelerate out immediately.</x:v>
      </x:c>
      <x:c r="R136" s="12" t="str">
        <x:f>IFERROR(VLOOKUP($D136&amp;"|"&amp;$K136,Recommendation_Lookup!$A$2:$H$19,8,FALSE),"")</x:f>
        <x:v>Retest every 6–8 weeks with left and right trial review.</x:v>
      </x:c>
      <x:c r="S136" s="12"/>
      <x:c r="T136" s="12"/>
      <x:c r="U136" s="12"/>
      <x:c r="V136" s="12"/>
      <x:c r="W136" s="12" t="str">
        <x:f>IF($S136&lt;&gt;"",$S136,$K136)</x:f>
        <x:v>Above Norm</x:v>
      </x:c>
      <x:c r="X136" s="12" t="str">
        <x:f>IF($T136&lt;&gt;"",$T136,$L136)</x:f>
        <x:v>Maintain change-of-direction performance</x:v>
      </x:c>
      <x:c r="Y136" s="12" t="str">
        <x:f>IF($U136&lt;&gt;"",$U136,$N136)</x:f>
        <x:v>Maintain planned change-of-direction work and progress toward reactive agility. Use low-volume, high-quality exposures with multiple starting and turning strategies.</x:v>
      </x:c>
      <x:c r="Z136" s="12" t="str">
        <x:f>IF($V136&lt;&gt;"",$V136,$O136)</x:f>
        <x:v>RVX Advanced Change of Direction</x:v>
      </x:c>
      <x:c r="AA136" s="12"/>
    </x:row>
    <x:row r="137">
      <x:c r="A137" s="12" t="str">
        <x:v>RVX-00023</x:v>
      </x:c>
      <x:c r="B137" s="12" t="str">
        <x:f>IFERROR(VLOOKUP($A137,Athlete_Profile!$A$2:$L$51,6,FALSE),"")</x:f>
        <x:v>Hockey</x:v>
      </x:c>
      <x:c r="C137" s="12" t="str">
        <x:f>IFERROR(VLOOKUP($A137,Athlete_Profile!$A$2:$L$51,5,FALSE),"")</x:f>
        <x:v>Female</x:v>
      </x:c>
      <x:c r="D137" s="12" t="str">
        <x:v>cmj_depth</x:v>
      </x:c>
      <x:c r="E137" s="12" t="str">
        <x:f>IFERROR(VLOOKUP($D137,Dropdown_Lists!$K$2:$N$7,2,FALSE),"")</x:f>
        <x:v>Countermovement Depth</x:v>
      </x:c>
      <x:c r="F137" s="12" t="str">
        <x:f>IFERROR(VLOOKUP($D137,Dropdown_Lists!$K$2:$N$7,3,FALSE),"")</x:f>
        <x:v>higher</x:v>
      </x:c>
      <x:c r="G137" s="17" t="n">
        <x:f>IFERROR(LOOKUP(2,1/((Performance_Metrics!$A$2:$A$3000=$A137)*(Performance_Metrics!$D$2:$D$3000=$D137)),Performance_Metrics!$C$2:$C$3000),"")</x:f>
        <x:v>46230</x:v>
      </x:c>
      <x:c r="H137" s="12" t="n">
        <x:f>IFERROR(LOOKUP(2,1/((Performance_Metrics!$A$2:$A$3000=$A137)*(Performance_Metrics!$D$2:$D$3000=$D137)),Performance_Metrics!$G$2:$G$3000),"")</x:f>
        <x:v>32.2</x:v>
      </x:c>
      <x:c r="I137" s="12" t="n">
        <x:f>IFERROR(SUMIFS(Normative_Data!$G$2:$G$1000,Normative_Data!$A$2:$A$1000,$B137,Normative_Data!$B$2:$B$1000,$C137,Normative_Data!$E$2:$E$1000,$D137),"")</x:f>
        <x:v>30</x:v>
      </x:c>
      <x:c r="J137" s="18" t="n">
        <x:f>IF(OR($H137="",$I137=""),"",($H137-$I137)/$I137)</x:f>
        <x:v>0.07333333333333343</x:v>
      </x:c>
      <x:c r="K137" s="12" t="str">
        <x:f>IF(OR($H137="",$I137="",$F137=""),"",IF(ABS($J137)&lt;=0.05,"Equal to Norm",IF($F137="lower",IF($H137&lt;$I137,"Above Norm","Below Norm"),IF($H137&gt;$I137,"Above Norm","Below Norm"))))</x:f>
        <x:v>Above Norm</x:v>
      </x:c>
      <x:c r="L137" s="12" t="str">
        <x:f>IFERROR(VLOOKUP($D137&amp;"|"&amp;$K137,Recommendation_Lookup!$A$2:$H$19,2,FALSE),"")</x:f>
        <x:v>Maintain effective countermovement strategy</x:v>
      </x:c>
      <x:c r="M137" s="12" t="str">
        <x:f>IFERROR(VLOOKUP($D137&amp;"|"&amp;$K137,Recommendation_Lookup!$A$2:$H$19,3,FALSE),"")</x:f>
        <x:v>Movement efficiency; eccentric control; jump consistency; depth-to-output relationship</x:v>
      </x:c>
      <x:c r="N137" s="12" t="str">
        <x:f>IFERROR(VLOOKUP($D137&amp;"|"&amp;$K137,Recommendation_Lookup!$A$2:$H$19,4,FALSE),"")</x:f>
        <x:v>Maintain the athlete’s preferred countermovement strategy while ensuring the additional depth contributes to force and impulse rather than excessive movement time.</x:v>
      </x:c>
      <x:c r="O137" s="12" t="str">
        <x:f>IFERROR(VLOOKUP($D137&amp;"|"&amp;$K137,Recommendation_Lookup!$A$2:$H$19,5,FALSE),"")</x:f>
        <x:v>RVX Jump Performance Advanced</x:v>
      </x:c>
      <x:c r="P137" s="12" t="str">
        <x:f>IFERROR(VLOOKUP($D137&amp;"|"&amp;$K137,Recommendation_Lookup!$A$2:$H$19,6,FALSE),"")</x:f>
        <x:v>RVX Eccentric Strength Microdose</x:v>
      </x:c>
      <x:c r="Q137" s="12" t="str">
        <x:f>IFERROR(VLOOKUP($D137&amp;"|"&amp;$K137,Recommendation_Lookup!$A$2:$H$19,7,FALSE),"")</x:f>
        <x:v>Use the depth you can control, then reverse quickly and aggressively.</x:v>
      </x:c>
      <x:c r="R137" s="12" t="str">
        <x:f>IFERROR(VLOOKUP($D137&amp;"|"&amp;$K137,Recommendation_Lookup!$A$2:$H$19,8,FALSE),"")</x:f>
        <x:v>Retest every 6–8 weeks while monitoring jump height and contraction time.</x:v>
      </x:c>
      <x:c r="S137" s="12"/>
      <x:c r="T137" s="12"/>
      <x:c r="U137" s="12"/>
      <x:c r="V137" s="12"/>
      <x:c r="W137" s="12" t="str">
        <x:f>IF($S137&lt;&gt;"",$S137,$K137)</x:f>
        <x:v>Above Norm</x:v>
      </x:c>
      <x:c r="X137" s="12" t="str">
        <x:f>IF($T137&lt;&gt;"",$T137,$L137)</x:f>
        <x:v>Maintain effective countermovement strategy</x:v>
      </x:c>
      <x:c r="Y137" s="12" t="str">
        <x:f>IF($U137&lt;&gt;"",$U137,$N137)</x:f>
        <x:v>Maintain the athlete’s preferred countermovement strategy while ensuring the additional depth contributes to force and impulse rather than excessive movement time.</x:v>
      </x:c>
      <x:c r="Z137" s="12" t="str">
        <x:f>IF($V137&lt;&gt;"",$V137,$O137)</x:f>
        <x:v>RVX Jump Performance Advanced</x:v>
      </x:c>
      <x:c r="AA137" s="12"/>
    </x:row>
    <x:row r="138">
      <x:c r="A138" s="12" t="str">
        <x:v>RVX-00023</x:v>
      </x:c>
      <x:c r="B138" s="12" t="str">
        <x:f>IFERROR(VLOOKUP($A138,Athlete_Profile!$A$2:$L$51,6,FALSE),"")</x:f>
        <x:v>Hockey</x:v>
      </x:c>
      <x:c r="C138" s="12" t="str">
        <x:f>IFERROR(VLOOKUP($A138,Athlete_Profile!$A$2:$L$51,5,FALSE),"")</x:f>
        <x:v>Female</x:v>
      </x:c>
      <x:c r="D138" s="12" t="str">
        <x:v>peak_force</x:v>
      </x:c>
      <x:c r="E138" s="12" t="str">
        <x:f>IFERROR(VLOOKUP($D138,Dropdown_Lists!$K$2:$N$7,2,FALSE),"")</x:f>
        <x:v>Peak Force</x:v>
      </x:c>
      <x:c r="F138" s="12" t="str">
        <x:f>IFERROR(VLOOKUP($D138,Dropdown_Lists!$K$2:$N$7,3,FALSE),"")</x:f>
        <x:v>higher</x:v>
      </x:c>
      <x:c r="G138" s="17" t="n">
        <x:f>IFERROR(LOOKUP(2,1/((Performance_Metrics!$A$2:$A$3000=$A138)*(Performance_Metrics!$D$2:$D$3000=$D138)),Performance_Metrics!$C$2:$C$3000),"")</x:f>
        <x:v>46230</x:v>
      </x:c>
      <x:c r="H138" s="12" t="n">
        <x:f>IFERROR(LOOKUP(2,1/((Performance_Metrics!$A$2:$A$3000=$A138)*(Performance_Metrics!$D$2:$D$3000=$D138)),Performance_Metrics!$G$2:$G$3000),"")</x:f>
        <x:v>1832</x:v>
      </x:c>
      <x:c r="I138" s="12" t="n">
        <x:f>IFERROR(SUMIFS(Normative_Data!$G$2:$G$1000,Normative_Data!$A$2:$A$1000,$B138,Normative_Data!$B$2:$B$1000,$C138,Normative_Data!$E$2:$E$1000,$D138),"")</x:f>
        <x:v>1750</x:v>
      </x:c>
      <x:c r="J138" s="18" t="n">
        <x:f>IF(OR($H138="",$I138=""),"",($H138-$I138)/$I138)</x:f>
        <x:v>0.046857142857142854</x:v>
      </x:c>
      <x:c r="K138" s="12" t="str">
        <x:f>IF(OR($H138="",$I138="",$F138=""),"",IF(ABS($J138)&lt;=0.05,"Equal to Norm",IF($F138="lower",IF($H138&lt;$I138,"Above Norm","Below Norm"),IF($H138&gt;$I138,"Above Norm","Below Norm"))))</x:f>
        <x:v>Equal to Norm</x:v>
      </x:c>
      <x:c r="L138" s="12" t="str">
        <x:f>IFERROR(VLOOKUP($D138&amp;"|"&amp;$K138,Recommendation_Lookup!$A$2:$H$19,2,FALSE),"")</x:f>
        <x:v>Increase force capacity</x:v>
      </x:c>
      <x:c r="M138" s="12" t="str">
        <x:f>IFERROR(VLOOKUP($D138&amp;"|"&amp;$K138,Recommendation_Lookup!$A$2:$H$19,3,FALSE),"")</x:f>
        <x:v>Relative strength; bracing; lower-body strength; isometric force</x:v>
      </x:c>
      <x:c r="N138" s="12" t="str">
        <x:f>IFERROR(VLOOKUP($D138&amp;"|"&amp;$K138,Recommendation_Lookup!$A$2:$H$19,4,FALSE),"")</x:f>
        <x:v>Use progressive lower-body strength training with compound lifts, isometrics and unilateral work. Maintain technical quality and appropriate loading progression.</x:v>
      </x:c>
      <x:c r="O138" s="12" t="str">
        <x:f>IFERROR(VLOOKUP($D138&amp;"|"&amp;$K138,Recommendation_Lookup!$A$2:$H$19,5,FALSE),"")</x:f>
        <x:v>RVX Strength Development</x:v>
      </x:c>
      <x:c r="P138" s="12" t="str">
        <x:f>IFERROR(VLOOKUP($D138&amp;"|"&amp;$K138,Recommendation_Lookup!$A$2:$H$19,6,FALSE),"")</x:f>
        <x:v>RVX Isometric Force Builder</x:v>
      </x:c>
      <x:c r="Q138" s="12" t="str">
        <x:f>IFERROR(VLOOKUP($D138&amp;"|"&amp;$K138,Recommendation_Lookup!$A$2:$H$19,7,FALSE),"")</x:f>
        <x:v>Create full-body tension and push through the floor with intent.</x:v>
      </x:c>
      <x:c r="R138" s="12" t="str">
        <x:f>IFERROR(VLOOKUP($D138&amp;"|"&amp;$K138,Recommendation_Lookup!$A$2:$H$19,8,FALSE),"")</x:f>
        <x:v>Retest after 4–6 weeks.</x:v>
      </x:c>
      <x:c r="S138" s="12"/>
      <x:c r="T138" s="12"/>
      <x:c r="U138" s="12"/>
      <x:c r="V138" s="12"/>
      <x:c r="W138" s="12" t="str">
        <x:f>IF($S138&lt;&gt;"",$S138,$K138)</x:f>
        <x:v>Equal to Norm</x:v>
      </x:c>
      <x:c r="X138" s="12" t="str">
        <x:f>IF($T138&lt;&gt;"",$T138,$L138)</x:f>
        <x:v>Increase force capacity</x:v>
      </x:c>
      <x:c r="Y138" s="12" t="str">
        <x:f>IF($U138&lt;&gt;"",$U138,$N138)</x:f>
        <x:v>Use progressive lower-body strength training with compound lifts, isometrics and unilateral work. Maintain technical quality and appropriate loading progression.</x:v>
      </x:c>
      <x:c r="Z138" s="12" t="str">
        <x:f>IF($V138&lt;&gt;"",$V138,$O138)</x:f>
        <x:v>RVX Strength Development</x:v>
      </x:c>
      <x:c r="AA138" s="12"/>
    </x:row>
    <x:row r="139">
      <x:c r="A139" s="12" t="str">
        <x:v>RVX-00023</x:v>
      </x:c>
      <x:c r="B139" s="12" t="str">
        <x:f>IFERROR(VLOOKUP($A139,Athlete_Profile!$A$2:$L$51,6,FALSE),"")</x:f>
        <x:v>Hockey</x:v>
      </x:c>
      <x:c r="C139" s="12" t="str">
        <x:f>IFERROR(VLOOKUP($A139,Athlete_Profile!$A$2:$L$51,5,FALSE),"")</x:f>
        <x:v>Female</x:v>
      </x:c>
      <x:c r="D139" s="12" t="str">
        <x:v>impulse</x:v>
      </x:c>
      <x:c r="E139" s="12" t="str">
        <x:f>IFERROR(VLOOKUP($D139,Dropdown_Lists!$K$2:$N$7,2,FALSE),"")</x:f>
        <x:v>Impulse-Momentum</x:v>
      </x:c>
      <x:c r="F139" s="12" t="str">
        <x:f>IFERROR(VLOOKUP($D139,Dropdown_Lists!$K$2:$N$7,3,FALSE),"")</x:f>
        <x:v>higher</x:v>
      </x:c>
      <x:c r="G139" s="17" t="n">
        <x:f>IFERROR(LOOKUP(2,1/((Performance_Metrics!$A$2:$A$3000=$A139)*(Performance_Metrics!$D$2:$D$3000=$D139)),Performance_Metrics!$C$2:$C$3000),"")</x:f>
        <x:v>46230</x:v>
      </x:c>
      <x:c r="H139" s="12" t="n">
        <x:f>IFERROR(LOOKUP(2,1/((Performance_Metrics!$A$2:$A$3000=$A139)*(Performance_Metrics!$D$2:$D$3000=$D139)),Performance_Metrics!$G$2:$G$3000),"")</x:f>
        <x:v>225.4</x:v>
      </x:c>
      <x:c r="I139" s="12" t="n">
        <x:f>IFERROR(SUMIFS(Normative_Data!$G$2:$G$1000,Normative_Data!$A$2:$A$1000,$B139,Normative_Data!$B$2:$B$1000,$C139,Normative_Data!$E$2:$E$1000,$D139),"")</x:f>
        <x:v>215</x:v>
      </x:c>
      <x:c r="J139" s="18" t="n">
        <x:f>IF(OR($H139="",$I139=""),"",($H139-$I139)/$I139)</x:f>
        <x:v>0.04837209302325584</x:v>
      </x:c>
      <x:c r="K139" s="12" t="str">
        <x:f>IF(OR($H139="",$I139="",$F139=""),"",IF(ABS($J139)&lt;=0.05,"Equal to Norm",IF($F139="lower",IF($H139&lt;$I139,"Above Norm","Below Norm"),IF($H139&gt;$I139,"Above Norm","Below Norm"))))</x:f>
        <x:v>Equal to Norm</x:v>
      </x:c>
      <x:c r="L139" s="12" t="str">
        <x:f>IFERROR(VLOOKUP($D139&amp;"|"&amp;$K139,Recommendation_Lookup!$A$2:$H$19,2,FALSE),"")</x:f>
        <x:v>Improve force applied over time</x:v>
      </x:c>
      <x:c r="M139" s="12" t="str">
        <x:f>IFERROR(VLOOKUP($D139&amp;"|"&amp;$K139,Recommendation_Lookup!$A$2:$H$19,3,FALSE),"")</x:f>
        <x:v>Strength; countermovement strategy; intent; coordination; power</x:v>
      </x:c>
      <x:c r="N139" s="12" t="str">
        <x:f>IFERROR(VLOOKUP($D139&amp;"|"&amp;$K139,Recommendation_Lookup!$A$2:$H$19,4,FALSE),"")</x:f>
        <x:v>Use loaded jumps, isometrics and strength-power exercises that improve the athlete’s ability to produce and sustain force through the propulsion phase.</x:v>
      </x:c>
      <x:c r="O139" s="12" t="str">
        <x:f>IFERROR(VLOOKUP($D139&amp;"|"&amp;$K139,Recommendation_Lookup!$A$2:$H$19,5,FALSE),"")</x:f>
        <x:v>RVX Power Development</x:v>
      </x:c>
      <x:c r="P139" s="12" t="str">
        <x:f>IFERROR(VLOOKUP($D139&amp;"|"&amp;$K139,Recommendation_Lookup!$A$2:$H$19,6,FALSE),"")</x:f>
        <x:v>RVX Strength-Speed</x:v>
      </x:c>
      <x:c r="Q139" s="12" t="str">
        <x:f>IFERROR(VLOOKUP($D139&amp;"|"&amp;$K139,Recommendation_Lookup!$A$2:$H$19,7,FALSE),"")</x:f>
        <x:v>Apply force early and continue driving through take-off.</x:v>
      </x:c>
      <x:c r="R139" s="12" t="str">
        <x:f>IFERROR(VLOOKUP($D139&amp;"|"&amp;$K139,Recommendation_Lookup!$A$2:$H$19,8,FALSE),"")</x:f>
        <x:v>Retest after 4–6 weeks.</x:v>
      </x:c>
      <x:c r="S139" s="12"/>
      <x:c r="T139" s="12"/>
      <x:c r="U139" s="12"/>
      <x:c r="V139" s="12"/>
      <x:c r="W139" s="12" t="str">
        <x:f>IF($S139&lt;&gt;"",$S139,$K139)</x:f>
        <x:v>Equal to Norm</x:v>
      </x:c>
      <x:c r="X139" s="12" t="str">
        <x:f>IF($T139&lt;&gt;"",$T139,$L139)</x:f>
        <x:v>Improve force applied over time</x:v>
      </x:c>
      <x:c r="Y139" s="12" t="str">
        <x:f>IF($U139&lt;&gt;"",$U139,$N139)</x:f>
        <x:v>Use loaded jumps, isometrics and strength-power exercises that improve the athlete’s ability to produce and sustain force through the propulsion phase.</x:v>
      </x:c>
      <x:c r="Z139" s="12" t="str">
        <x:f>IF($V139&lt;&gt;"",$V139,$O139)</x:f>
        <x:v>RVX Power Development</x:v>
      </x:c>
      <x:c r="AA139" s="12"/>
    </x:row>
    <x:row r="140">
      <x:c r="A140" s="12" t="str">
        <x:v>RVX-00024</x:v>
      </x:c>
      <x:c r="B140" s="12" t="str">
        <x:f>IFERROR(VLOOKUP($A140,Athlete_Profile!$A$2:$L$51,6,FALSE),"")</x:f>
        <x:v>Hockey</x:v>
      </x:c>
      <x:c r="C140" s="12" t="str">
        <x:f>IFERROR(VLOOKUP($A140,Athlete_Profile!$A$2:$L$51,5,FALSE),"")</x:f>
        <x:v>Male</x:v>
      </x:c>
      <x:c r="D140" s="12" t="str">
        <x:v>sprint_5m</x:v>
      </x:c>
      <x:c r="E140" s="12" t="str">
        <x:f>IFERROR(VLOOKUP($D140,Dropdown_Lists!$K$2:$N$7,2,FALSE),"")</x:f>
        <x:v>5m Sprint</x:v>
      </x:c>
      <x:c r="F140" s="12" t="str">
        <x:f>IFERROR(VLOOKUP($D140,Dropdown_Lists!$K$2:$N$7,3,FALSE),"")</x:f>
        <x:v>lower</x:v>
      </x:c>
      <x:c r="G140" s="17" t="n">
        <x:f>IFERROR(LOOKUP(2,1/((Performance_Metrics!$A$2:$A$3000=$A140)*(Performance_Metrics!$D$2:$D$3000=$D140)),Performance_Metrics!$C$2:$C$3000),"")</x:f>
        <x:v>46230</x:v>
      </x:c>
      <x:c r="H140" s="12" t="n">
        <x:f>IFERROR(LOOKUP(2,1/((Performance_Metrics!$A$2:$A$3000=$A140)*(Performance_Metrics!$D$2:$D$3000=$D140)),Performance_Metrics!$G$2:$G$3000),"")</x:f>
        <x:v>1.1</x:v>
      </x:c>
      <x:c r="I140" s="12" t="n">
        <x:f>IFERROR(SUMIFS(Normative_Data!$G$2:$G$1000,Normative_Data!$A$2:$A$1000,$B140,Normative_Data!$B$2:$B$1000,$C140,Normative_Data!$E$2:$E$1000,$D140),"")</x:f>
        <x:v>1.08</x:v>
      </x:c>
      <x:c r="J140" s="18" t="n">
        <x:f>IF(OR($H140="",$I140=""),"",($H140-$I140)/$I140)</x:f>
        <x:v>0.018518518518518535</x:v>
      </x:c>
      <x:c r="K140" s="12" t="str">
        <x:f>IF(OR($H140="",$I140="",$F140=""),"",IF(ABS($J140)&lt;=0.05,"Equal to Norm",IF($F140="lower",IF($H140&lt;$I140,"Above Norm","Below Norm"),IF($H140&gt;$I140,"Above Norm","Below Norm"))))</x:f>
        <x:v>Equal to Norm</x:v>
      </x:c>
      <x:c r="L140" s="12" t="str">
        <x:f>IFERROR(VLOOKUP($D140&amp;"|"&amp;$K140,Recommendation_Lookup!$A$2:$H$19,2,FALSE),"")</x:f>
        <x:v>Improve acceleration efficiency</x:v>
      </x:c>
      <x:c r="M140" s="12" t="str">
        <x:f>IFERROR(VLOOKUP($D140&amp;"|"&amp;$K140,Recommendation_Lookup!$A$2:$H$19,3,FALSE),"")</x:f>
        <x:v>Starting posture; shin angle; first-step direction; arm action</x:v>
      </x:c>
      <x:c r="N140" s="12" t="str">
        <x:f>IFERROR(VLOOKUP($D140&amp;"|"&amp;$K140,Recommendation_Lookup!$A$2:$H$19,4,FALSE),"")</x:f>
        <x:v>Use a focused acceleration-development block emphasizing starting position, projection and force application. Keep repetitions short with full recovery.</x:v>
      </x:c>
      <x:c r="O140" s="12" t="str">
        <x:f>IFERROR(VLOOKUP($D140&amp;"|"&amp;$K140,Recommendation_Lookup!$A$2:$H$19,5,FALSE),"")</x:f>
        <x:v>RVX Acceleration Foundations</x:v>
      </x:c>
      <x:c r="P140" s="12" t="str">
        <x:f>IFERROR(VLOOKUP($D140&amp;"|"&amp;$K140,Recommendation_Lookup!$A$2:$H$19,6,FALSE),"")</x:f>
        <x:v>RVX Sprint Mechanics</x:v>
      </x:c>
      <x:c r="Q140" s="12" t="str">
        <x:f>IFERROR(VLOOKUP($D140&amp;"|"&amp;$K140,Recommendation_Lookup!$A$2:$H$19,7,FALSE),"")</x:f>
        <x:v>Push out, not up. Keep the first steps powerful and connected.</x:v>
      </x:c>
      <x:c r="R140" s="12" t="str">
        <x:f>IFERROR(VLOOKUP($D140&amp;"|"&amp;$K140,Recommendation_Lookup!$A$2:$H$19,8,FALSE),"")</x:f>
        <x:v>Retest after 4–6 weeks of focused acceleration work.</x:v>
      </x:c>
      <x:c r="S140" s="12"/>
      <x:c r="T140" s="12"/>
      <x:c r="U140" s="12"/>
      <x:c r="V140" s="12"/>
      <x:c r="W140" s="12" t="str">
        <x:f>IF($S140&lt;&gt;"",$S140,$K140)</x:f>
        <x:v>Equal to Norm</x:v>
      </x:c>
      <x:c r="X140" s="12" t="str">
        <x:f>IF($T140&lt;&gt;"",$T140,$L140)</x:f>
        <x:v>Improve acceleration efficiency</x:v>
      </x:c>
      <x:c r="Y140" s="12" t="str">
        <x:f>IF($U140&lt;&gt;"",$U140,$N140)</x:f>
        <x:v>Use a focused acceleration-development block emphasizing starting position, projection and force application. Keep repetitions short with full recovery.</x:v>
      </x:c>
      <x:c r="Z140" s="12" t="str">
        <x:f>IF($V140&lt;&gt;"",$V140,$O140)</x:f>
        <x:v>RVX Acceleration Foundations</x:v>
      </x:c>
      <x:c r="AA140" s="12"/>
    </x:row>
    <x:row r="141">
      <x:c r="A141" s="12" t="str">
        <x:v>RVX-00024</x:v>
      </x:c>
      <x:c r="B141" s="12" t="str">
        <x:f>IFERROR(VLOOKUP($A141,Athlete_Profile!$A$2:$L$51,6,FALSE),"")</x:f>
        <x:v>Hockey</x:v>
      </x:c>
      <x:c r="C141" s="12" t="str">
        <x:f>IFERROR(VLOOKUP($A141,Athlete_Profile!$A$2:$L$51,5,FALSE),"")</x:f>
        <x:v>Male</x:v>
      </x:c>
      <x:c r="D141" s="12" t="str">
        <x:v>sprint_10m</x:v>
      </x:c>
      <x:c r="E141" s="12" t="str">
        <x:f>IFERROR(VLOOKUP($D141,Dropdown_Lists!$K$2:$N$7,2,FALSE),"")</x:f>
        <x:v>10m Sprint</x:v>
      </x:c>
      <x:c r="F141" s="12" t="str">
        <x:f>IFERROR(VLOOKUP($D141,Dropdown_Lists!$K$2:$N$7,3,FALSE),"")</x:f>
        <x:v>lower</x:v>
      </x:c>
      <x:c r="G141" s="17" t="n">
        <x:f>IFERROR(LOOKUP(2,1/((Performance_Metrics!$A$2:$A$3000=$A141)*(Performance_Metrics!$D$2:$D$3000=$D141)),Performance_Metrics!$C$2:$C$3000),"")</x:f>
        <x:v>46230</x:v>
      </x:c>
      <x:c r="H141" s="12" t="n">
        <x:f>IFERROR(LOOKUP(2,1/((Performance_Metrics!$A$2:$A$3000=$A141)*(Performance_Metrics!$D$2:$D$3000=$D141)),Performance_Metrics!$G$2:$G$3000),"")</x:f>
        <x:v>1.92</x:v>
      </x:c>
      <x:c r="I141" s="12" t="n">
        <x:f>IFERROR(SUMIFS(Normative_Data!$G$2:$G$1000,Normative_Data!$A$2:$A$1000,$B141,Normative_Data!$B$2:$B$1000,$C141,Normative_Data!$E$2:$E$1000,$D141),"")</x:f>
        <x:v>1.8</x:v>
      </x:c>
      <x:c r="J141" s="18" t="n">
        <x:f>IF(OR($H141="",$I141=""),"",($H141-$I141)/$I141)</x:f>
        <x:v>0.0666666666666666</x:v>
      </x:c>
      <x:c r="K141" s="12" t="str">
        <x:f>IF(OR($H141="",$I141="",$F141=""),"",IF(ABS($J141)&lt;=0.05,"Equal to Norm",IF($F141="lower",IF($H141&lt;$I141,"Above Norm","Below Norm"),IF($H141&gt;$I141,"Above Norm","Below Norm"))))</x:f>
        <x:v>Below Norm</x:v>
      </x:c>
      <x:c r="L141" s="12" t="str">
        <x:f>IFERROR(VLOOKUP($D141&amp;"|"&amp;$K141,Recommendation_Lookup!$A$2:$H$19,2,FALSE),"")</x:f>
        <x:v>Develop 0–10 m speed</x:v>
      </x:c>
      <x:c r="M141" s="12" t="str">
        <x:f>IFERROR(VLOOKUP($D141&amp;"|"&amp;$K141,Recommendation_Lookup!$A$2:$H$19,3,FALSE),"")</x:f>
        <x:v>Relative strength; first-step mechanics; force application; acceleration endurance</x:v>
      </x:c>
      <x:c r="N141" s="12" t="str">
        <x:f>IFERROR(VLOOKUP($D141&amp;"|"&amp;$K141,Recommendation_Lookup!$A$2:$H$19,4,FALSE),"")</x:f>
        <x:v>Use a foundational acceleration block paired with strength development. Limit sprint distances initially and improve the quality of each step before adding volume.</x:v>
      </x:c>
      <x:c r="O141" s="12" t="str">
        <x:f>IFERROR(VLOOKUP($D141&amp;"|"&amp;$K141,Recommendation_Lookup!$A$2:$H$19,5,FALSE),"")</x:f>
        <x:v>RVX Acceleration Foundations</x:v>
      </x:c>
      <x:c r="P141" s="12" t="str">
        <x:f>IFERROR(VLOOKUP($D141&amp;"|"&amp;$K141,Recommendation_Lookup!$A$2:$H$19,6,FALSE),"")</x:f>
        <x:v>RVX Relative Strength Builder</x:v>
      </x:c>
      <x:c r="Q141" s="12" t="str">
        <x:f>IFERROR(VLOOKUP($D141&amp;"|"&amp;$K141,Recommendation_Lookup!$A$2:$H$19,7,FALSE),"")</x:f>
        <x:v>Push longer, maintain posture and create force in the correct direction.</x:v>
      </x:c>
      <x:c r="R141" s="12" t="str">
        <x:f>IFERROR(VLOOKUP($D141&amp;"|"&amp;$K141,Recommendation_Lookup!$A$2:$H$19,8,FALSE),"")</x:f>
        <x:v>Retest in 4 weeks and compare 5 m versus 10 m split changes.</x:v>
      </x:c>
      <x:c r="S141" s="12"/>
      <x:c r="T141" s="12"/>
      <x:c r="U141" s="12"/>
      <x:c r="V141" s="12"/>
      <x:c r="W141" s="12" t="str">
        <x:f>IF($S141&lt;&gt;"",$S141,$K141)</x:f>
        <x:v>Below Norm</x:v>
      </x:c>
      <x:c r="X141" s="12" t="str">
        <x:f>IF($T141&lt;&gt;"",$T141,$L141)</x:f>
        <x:v>Develop 0–10 m speed</x:v>
      </x:c>
      <x:c r="Y141" s="12" t="str">
        <x:f>IF($U141&lt;&gt;"",$U141,$N141)</x:f>
        <x:v>Use a foundational acceleration block paired with strength development. Limit sprint distances initially and improve the quality of each step before adding volume.</x:v>
      </x:c>
      <x:c r="Z141" s="12" t="str">
        <x:f>IF($V141&lt;&gt;"",$V141,$O141)</x:f>
        <x:v>RVX Acceleration Foundations</x:v>
      </x:c>
      <x:c r="AA141" s="12"/>
    </x:row>
    <x:row r="142">
      <x:c r="A142" s="12" t="str">
        <x:v>RVX-00024</x:v>
      </x:c>
      <x:c r="B142" s="12" t="str">
        <x:f>IFERROR(VLOOKUP($A142,Athlete_Profile!$A$2:$L$51,6,FALSE),"")</x:f>
        <x:v>Hockey</x:v>
      </x:c>
      <x:c r="C142" s="12" t="str">
        <x:f>IFERROR(VLOOKUP($A142,Athlete_Profile!$A$2:$L$51,5,FALSE),"")</x:f>
        <x:v>Male</x:v>
      </x:c>
      <x:c r="D142" s="12" t="str">
        <x:v>pro_agility</x:v>
      </x:c>
      <x:c r="E142" s="12" t="str">
        <x:f>IFERROR(VLOOKUP($D142,Dropdown_Lists!$K$2:$N$7,2,FALSE),"")</x:f>
        <x:v>5-10-5 Pro Agility</x:v>
      </x:c>
      <x:c r="F142" s="12" t="str">
        <x:f>IFERROR(VLOOKUP($D142,Dropdown_Lists!$K$2:$N$7,3,FALSE),"")</x:f>
        <x:v>lower</x:v>
      </x:c>
      <x:c r="G142" s="17" t="n">
        <x:f>IFERROR(LOOKUP(2,1/((Performance_Metrics!$A$2:$A$3000=$A142)*(Performance_Metrics!$D$2:$D$3000=$D142)),Performance_Metrics!$C$2:$C$3000),"")</x:f>
        <x:v>46230</x:v>
      </x:c>
      <x:c r="H142" s="12" t="n">
        <x:f>IFERROR(LOOKUP(2,1/((Performance_Metrics!$A$2:$A$3000=$A142)*(Performance_Metrics!$D$2:$D$3000=$D142)),Performance_Metrics!$G$2:$G$3000),"")</x:f>
        <x:v>4.76</x:v>
      </x:c>
      <x:c r="I142" s="12" t="n">
        <x:f>IFERROR(SUMIFS(Normative_Data!$G$2:$G$1000,Normative_Data!$A$2:$A$1000,$B142,Normative_Data!$B$2:$B$1000,$C142,Normative_Data!$E$2:$E$1000,$D142),"")</x:f>
        <x:v>4.63</x:v>
      </x:c>
      <x:c r="J142" s="18" t="n">
        <x:f>IF(OR($H142="",$I142=""),"",($H142-$I142)/$I142)</x:f>
        <x:v>0.028077753779697602</x:v>
      </x:c>
      <x:c r="K142" s="12" t="str">
        <x:f>IF(OR($H142="",$I142="",$F142=""),"",IF(ABS($J142)&lt;=0.05,"Equal to Norm",IF($F142="lower",IF($H142&lt;$I142,"Above Norm","Below Norm"),IF($H142&gt;$I142,"Above Norm","Below Norm"))))</x:f>
        <x:v>Equal to Norm</x:v>
      </x:c>
      <x:c r="L142" s="12" t="str">
        <x:f>IFERROR(VLOOKUP($D142&amp;"|"&amp;$K142,Recommendation_Lookup!$A$2:$H$19,2,FALSE),"")</x:f>
        <x:v>Improve braking and re-acceleration</x:v>
      </x:c>
      <x:c r="M142" s="12" t="str">
        <x:f>IFERROR(VLOOKUP($D142&amp;"|"&amp;$K142,Recommendation_Lookup!$A$2:$H$19,3,FALSE),"")</x:f>
        <x:v>Deceleration mechanics; foot placement; hip position; crossover efficiency</x:v>
      </x:c>
      <x:c r="N142" s="12" t="str">
        <x:f>IFERROR(VLOOKUP($D142&amp;"|"&amp;$K142,Recommendation_Lookup!$A$2:$H$19,4,FALSE),"")</x:f>
        <x:v>Use a structured change-of-direction block emphasizing braking positions, plant-foot control and efficient re-acceleration on both sides.</x:v>
      </x:c>
      <x:c r="O142" s="12" t="str">
        <x:f>IFERROR(VLOOKUP($D142&amp;"|"&amp;$K142,Recommendation_Lookup!$A$2:$H$19,5,FALSE),"")</x:f>
        <x:v>RVX Change of Direction Development</x:v>
      </x:c>
      <x:c r="P142" s="12" t="str">
        <x:f>IFERROR(VLOOKUP($D142&amp;"|"&amp;$K142,Recommendation_Lookup!$A$2:$H$19,6,FALSE),"")</x:f>
        <x:v>RVX Deceleration Mechanics</x:v>
      </x:c>
      <x:c r="Q142" s="12" t="str">
        <x:f>IFERROR(VLOOKUP($D142&amp;"|"&amp;$K142,Recommendation_Lookup!$A$2:$H$19,7,FALSE),"")</x:f>
        <x:v>Lower the centre of mass before the turn and push away from the plant.</x:v>
      </x:c>
      <x:c r="R142" s="12" t="str">
        <x:f>IFERROR(VLOOKUP($D142&amp;"|"&amp;$K142,Recommendation_Lookup!$A$2:$H$19,8,FALSE),"")</x:f>
        <x:v>Retest after 4–6 weeks and review directional splits if available.</x:v>
      </x:c>
      <x:c r="S142" s="12"/>
      <x:c r="T142" s="12"/>
      <x:c r="U142" s="12"/>
      <x:c r="V142" s="12"/>
      <x:c r="W142" s="12" t="str">
        <x:f>IF($S142&lt;&gt;"",$S142,$K142)</x:f>
        <x:v>Equal to Norm</x:v>
      </x:c>
      <x:c r="X142" s="12" t="str">
        <x:f>IF($T142&lt;&gt;"",$T142,$L142)</x:f>
        <x:v>Improve braking and re-acceleration</x:v>
      </x:c>
      <x:c r="Y142" s="12" t="str">
        <x:f>IF($U142&lt;&gt;"",$U142,$N142)</x:f>
        <x:v>Use a structured change-of-direction block emphasizing braking positions, plant-foot control and efficient re-acceleration on both sides.</x:v>
      </x:c>
      <x:c r="Z142" s="12" t="str">
        <x:f>IF($V142&lt;&gt;"",$V142,$O142)</x:f>
        <x:v>RVX Change of Direction Development</x:v>
      </x:c>
      <x:c r="AA142" s="12"/>
    </x:row>
    <x:row r="143">
      <x:c r="A143" s="12" t="str">
        <x:v>RVX-00024</x:v>
      </x:c>
      <x:c r="B143" s="12" t="str">
        <x:f>IFERROR(VLOOKUP($A143,Athlete_Profile!$A$2:$L$51,6,FALSE),"")</x:f>
        <x:v>Hockey</x:v>
      </x:c>
      <x:c r="C143" s="12" t="str">
        <x:f>IFERROR(VLOOKUP($A143,Athlete_Profile!$A$2:$L$51,5,FALSE),"")</x:f>
        <x:v>Male</x:v>
      </x:c>
      <x:c r="D143" s="12" t="str">
        <x:v>cmj_depth</x:v>
      </x:c>
      <x:c r="E143" s="12" t="str">
        <x:f>IFERROR(VLOOKUP($D143,Dropdown_Lists!$K$2:$N$7,2,FALSE),"")</x:f>
        <x:v>Countermovement Depth</x:v>
      </x:c>
      <x:c r="F143" s="12" t="str">
        <x:f>IFERROR(VLOOKUP($D143,Dropdown_Lists!$K$2:$N$7,3,FALSE),"")</x:f>
        <x:v>higher</x:v>
      </x:c>
      <x:c r="G143" s="17" t="n">
        <x:f>IFERROR(LOOKUP(2,1/((Performance_Metrics!$A$2:$A$3000=$A143)*(Performance_Metrics!$D$2:$D$3000=$D143)),Performance_Metrics!$C$2:$C$3000),"")</x:f>
        <x:v>46230</x:v>
      </x:c>
      <x:c r="H143" s="12" t="n">
        <x:f>IFERROR(LOOKUP(2,1/((Performance_Metrics!$A$2:$A$3000=$A143)*(Performance_Metrics!$D$2:$D$3000=$D143)),Performance_Metrics!$G$2:$G$3000),"")</x:f>
        <x:v>31.8</x:v>
      </x:c>
      <x:c r="I143" s="12" t="n">
        <x:f>IFERROR(SUMIFS(Normative_Data!$G$2:$G$1000,Normative_Data!$A$2:$A$1000,$B143,Normative_Data!$B$2:$B$1000,$C143,Normative_Data!$E$2:$E$1000,$D143),"")</x:f>
        <x:v>33</x:v>
      </x:c>
      <x:c r="J143" s="18" t="n">
        <x:f>IF(OR($H143="",$I143=""),"",($H143-$I143)/$I143)</x:f>
        <x:v>-0.03636363636363634</x:v>
      </x:c>
      <x:c r="K143" s="12" t="str">
        <x:f>IF(OR($H143="",$I143="",$F143=""),"",IF(ABS($J143)&lt;=0.05,"Equal to Norm",IF($F143="lower",IF($H143&lt;$I143,"Above Norm","Below Norm"),IF($H143&gt;$I143,"Above Norm","Below Norm"))))</x:f>
        <x:v>Equal to Norm</x:v>
      </x:c>
      <x:c r="L143" s="12" t="str">
        <x:f>IFERROR(VLOOKUP($D143&amp;"|"&amp;$K143,Recommendation_Lookup!$A$2:$H$19,2,FALSE),"")</x:f>
        <x:v>Optimize countermovement strategy</x:v>
      </x:c>
      <x:c r="M143" s="12" t="str">
        <x:f>IFERROR(VLOOKUP($D143&amp;"|"&amp;$K143,Recommendation_Lookup!$A$2:$H$19,3,FALSE),"")</x:f>
        <x:v>Eccentric control; trunk position; reversal timing; mobility</x:v>
      </x:c>
      <x:c r="N143" s="12" t="str">
        <x:f>IFERROR(VLOOKUP($D143&amp;"|"&amp;$K143,Recommendation_Lookup!$A$2:$H$19,4,FALSE),"")</x:f>
        <x:v>Use controlled countermovement drills and landing-to-jump progressions. Determine whether additional or reduced depth improves the athlete’s overall jump output.</x:v>
      </x:c>
      <x:c r="O143" s="12" t="str">
        <x:f>IFERROR(VLOOKUP($D143&amp;"|"&amp;$K143,Recommendation_Lookup!$A$2:$H$19,5,FALSE),"")</x:f>
        <x:v>RVX Jump Mechanics</x:v>
      </x:c>
      <x:c r="P143" s="12" t="str">
        <x:f>IFERROR(VLOOKUP($D143&amp;"|"&amp;$K143,Recommendation_Lookup!$A$2:$H$19,6,FALSE),"")</x:f>
        <x:v>RVX Eccentric Control</x:v>
      </x:c>
      <x:c r="Q143" s="12" t="str">
        <x:f>IFERROR(VLOOKUP($D143&amp;"|"&amp;$K143,Recommendation_Lookup!$A$2:$H$19,7,FALSE),"")</x:f>
        <x:v>Sit into the movement under control and reverse without losing posture.</x:v>
      </x:c>
      <x:c r="R143" s="12" t="str">
        <x:f>IFERROR(VLOOKUP($D143&amp;"|"&amp;$K143,Recommendation_Lookup!$A$2:$H$19,8,FALSE),"")</x:f>
        <x:v>Retest after 4–6 weeks with jump height and impulse reviewed together.</x:v>
      </x:c>
      <x:c r="S143" s="12"/>
      <x:c r="T143" s="12"/>
      <x:c r="U143" s="12"/>
      <x:c r="V143" s="12"/>
      <x:c r="W143" s="12" t="str">
        <x:f>IF($S143&lt;&gt;"",$S143,$K143)</x:f>
        <x:v>Equal to Norm</x:v>
      </x:c>
      <x:c r="X143" s="12" t="str">
        <x:f>IF($T143&lt;&gt;"",$T143,$L143)</x:f>
        <x:v>Optimize countermovement strategy</x:v>
      </x:c>
      <x:c r="Y143" s="12" t="str">
        <x:f>IF($U143&lt;&gt;"",$U143,$N143)</x:f>
        <x:v>Use controlled countermovement drills and landing-to-jump progressions. Determine whether additional or reduced depth improves the athlete’s overall jump output.</x:v>
      </x:c>
      <x:c r="Z143" s="12" t="str">
        <x:f>IF($V143&lt;&gt;"",$V143,$O143)</x:f>
        <x:v>RVX Jump Mechanics</x:v>
      </x:c>
      <x:c r="AA143" s="12"/>
    </x:row>
    <x:row r="144">
      <x:c r="A144" s="12" t="str">
        <x:v>RVX-00024</x:v>
      </x:c>
      <x:c r="B144" s="12" t="str">
        <x:f>IFERROR(VLOOKUP($A144,Athlete_Profile!$A$2:$L$51,6,FALSE),"")</x:f>
        <x:v>Hockey</x:v>
      </x:c>
      <x:c r="C144" s="12" t="str">
        <x:f>IFERROR(VLOOKUP($A144,Athlete_Profile!$A$2:$L$51,5,FALSE),"")</x:f>
        <x:v>Male</x:v>
      </x:c>
      <x:c r="D144" s="12" t="str">
        <x:v>peak_force</x:v>
      </x:c>
      <x:c r="E144" s="12" t="str">
        <x:f>IFERROR(VLOOKUP($D144,Dropdown_Lists!$K$2:$N$7,2,FALSE),"")</x:f>
        <x:v>Peak Force</x:v>
      </x:c>
      <x:c r="F144" s="12" t="str">
        <x:f>IFERROR(VLOOKUP($D144,Dropdown_Lists!$K$2:$N$7,3,FALSE),"")</x:f>
        <x:v>higher</x:v>
      </x:c>
      <x:c r="G144" s="17" t="n">
        <x:f>IFERROR(LOOKUP(2,1/((Performance_Metrics!$A$2:$A$3000=$A144)*(Performance_Metrics!$D$2:$D$3000=$D144)),Performance_Metrics!$C$2:$C$3000),"")</x:f>
        <x:v>46230</x:v>
      </x:c>
      <x:c r="H144" s="12" t="n">
        <x:f>IFERROR(LOOKUP(2,1/((Performance_Metrics!$A$2:$A$3000=$A144)*(Performance_Metrics!$D$2:$D$3000=$D144)),Performance_Metrics!$G$2:$G$3000),"")</x:f>
        <x:v>1799</x:v>
      </x:c>
      <x:c r="I144" s="12" t="n">
        <x:f>IFERROR(SUMIFS(Normative_Data!$G$2:$G$1000,Normative_Data!$A$2:$A$1000,$B144,Normative_Data!$B$2:$B$1000,$C144,Normative_Data!$E$2:$E$1000,$D144),"")</x:f>
        <x:v>1925</x:v>
      </x:c>
      <x:c r="J144" s="18" t="n">
        <x:f>IF(OR($H144="",$I144=""),"",($H144-$I144)/$I144)</x:f>
        <x:v>-0.06545454545454546</x:v>
      </x:c>
      <x:c r="K144" s="12" t="str">
        <x:f>IF(OR($H144="",$I144="",$F144=""),"",IF(ABS($J144)&lt;=0.05,"Equal to Norm",IF($F144="lower",IF($H144&lt;$I144,"Above Norm","Below Norm"),IF($H144&gt;$I144,"Above Norm","Below Norm"))))</x:f>
        <x:v>Below Norm</x:v>
      </x:c>
      <x:c r="L144" s="12" t="str">
        <x:f>IFERROR(VLOOKUP($D144&amp;"|"&amp;$K144,Recommendation_Lookup!$A$2:$H$19,2,FALSE),"")</x:f>
        <x:v>Build foundational force production</x:v>
      </x:c>
      <x:c r="M144" s="12" t="str">
        <x:f>IFERROR(VLOOKUP($D144&amp;"|"&amp;$K144,Recommendation_Lookup!$A$2:$H$19,3,FALSE),"")</x:f>
        <x:v>Relative strength; technique; tendon capacity; trunk stability; unilateral strength</x:v>
      </x:c>
      <x:c r="N144" s="12" t="str">
        <x:f>IFERROR(VLOOKUP($D144&amp;"|"&amp;$K144,Recommendation_Lookup!$A$2:$H$19,4,FALSE),"")</x:f>
        <x:v>Prioritize foundational strength and positional competency. Use progressive resistance, isometrics and unilateral patterns before advanced power methods.</x:v>
      </x:c>
      <x:c r="O144" s="12" t="str">
        <x:f>IFERROR(VLOOKUP($D144&amp;"|"&amp;$K144,Recommendation_Lookup!$A$2:$H$19,5,FALSE),"")</x:f>
        <x:v>RVX Strength Foundations</x:v>
      </x:c>
      <x:c r="P144" s="12" t="str">
        <x:f>IFERROR(VLOOKUP($D144&amp;"|"&amp;$K144,Recommendation_Lookup!$A$2:$H$19,6,FALSE),"")</x:f>
        <x:v>RVX Lower-Body Capacity</x:v>
      </x:c>
      <x:c r="Q144" s="12" t="str">
        <x:f>IFERROR(VLOOKUP($D144&amp;"|"&amp;$K144,Recommendation_Lookup!$A$2:$H$19,7,FALSE),"")</x:f>
        <x:v>Own the position first, then increase force with consistent intent.</x:v>
      </x:c>
      <x:c r="R144" s="12" t="str">
        <x:f>IFERROR(VLOOKUP($D144&amp;"|"&amp;$K144,Recommendation_Lookup!$A$2:$H$19,8,FALSE),"")</x:f>
        <x:v>Retest after 4–6 weeks; review body-mass-relative force when possible.</x:v>
      </x:c>
      <x:c r="S144" s="12"/>
      <x:c r="T144" s="12"/>
      <x:c r="U144" s="12"/>
      <x:c r="V144" s="12"/>
      <x:c r="W144" s="12" t="str">
        <x:f>IF($S144&lt;&gt;"",$S144,$K144)</x:f>
        <x:v>Below Norm</x:v>
      </x:c>
      <x:c r="X144" s="12" t="str">
        <x:f>IF($T144&lt;&gt;"",$T144,$L144)</x:f>
        <x:v>Build foundational force production</x:v>
      </x:c>
      <x:c r="Y144" s="12" t="str">
        <x:f>IF($U144&lt;&gt;"",$U144,$N144)</x:f>
        <x:v>Prioritize foundational strength and positional competency. Use progressive resistance, isometrics and unilateral patterns before advanced power methods.</x:v>
      </x:c>
      <x:c r="Z144" s="12" t="str">
        <x:f>IF($V144&lt;&gt;"",$V144,$O144)</x:f>
        <x:v>RVX Strength Foundations</x:v>
      </x:c>
      <x:c r="AA144" s="12"/>
    </x:row>
    <x:row r="145">
      <x:c r="A145" s="12" t="str">
        <x:v>RVX-00024</x:v>
      </x:c>
      <x:c r="B145" s="12" t="str">
        <x:f>IFERROR(VLOOKUP($A145,Athlete_Profile!$A$2:$L$51,6,FALSE),"")</x:f>
        <x:v>Hockey</x:v>
      </x:c>
      <x:c r="C145" s="12" t="str">
        <x:f>IFERROR(VLOOKUP($A145,Athlete_Profile!$A$2:$L$51,5,FALSE),"")</x:f>
        <x:v>Male</x:v>
      </x:c>
      <x:c r="D145" s="12" t="str">
        <x:v>impulse</x:v>
      </x:c>
      <x:c r="E145" s="12" t="str">
        <x:f>IFERROR(VLOOKUP($D145,Dropdown_Lists!$K$2:$N$7,2,FALSE),"")</x:f>
        <x:v>Impulse-Momentum</x:v>
      </x:c>
      <x:c r="F145" s="12" t="str">
        <x:f>IFERROR(VLOOKUP($D145,Dropdown_Lists!$K$2:$N$7,3,FALSE),"")</x:f>
        <x:v>higher</x:v>
      </x:c>
      <x:c r="G145" s="17" t="n">
        <x:f>IFERROR(LOOKUP(2,1/((Performance_Metrics!$A$2:$A$3000=$A145)*(Performance_Metrics!$D$2:$D$3000=$D145)),Performance_Metrics!$C$2:$C$3000),"")</x:f>
        <x:v>46230</x:v>
      </x:c>
      <x:c r="H145" s="12" t="n">
        <x:f>IFERROR(LOOKUP(2,1/((Performance_Metrics!$A$2:$A$3000=$A145)*(Performance_Metrics!$D$2:$D$3000=$D145)),Performance_Metrics!$G$2:$G$3000),"")</x:f>
        <x:v>221.1</x:v>
      </x:c>
      <x:c r="I145" s="12" t="n">
        <x:f>IFERROR(SUMIFS(Normative_Data!$G$2:$G$1000,Normative_Data!$A$2:$A$1000,$B145,Normative_Data!$B$2:$B$1000,$C145,Normative_Data!$E$2:$E$1000,$D145),"")</x:f>
        <x:v>236.5</x:v>
      </x:c>
      <x:c r="J145" s="18" t="n">
        <x:f>IF(OR($H145="",$I145=""),"",($H145-$I145)/$I145)</x:f>
        <x:v>-0.06511627906976747</x:v>
      </x:c>
      <x:c r="K145" s="12" t="str">
        <x:f>IF(OR($H145="",$I145="",$F145=""),"",IF(ABS($J145)&lt;=0.05,"Equal to Norm",IF($F145="lower",IF($H145&lt;$I145,"Above Norm","Below Norm"),IF($H145&gt;$I145,"Above Norm","Below Norm"))))</x:f>
        <x:v>Below Norm</x:v>
      </x:c>
      <x:c r="L145" s="12" t="str">
        <x:f>IFERROR(VLOOKUP($D145&amp;"|"&amp;$K145,Recommendation_Lookup!$A$2:$H$19,2,FALSE),"")</x:f>
        <x:v>Develop force-time capacity</x:v>
      </x:c>
      <x:c r="M145" s="12" t="str">
        <x:f>IFERROR(VLOOKUP($D145&amp;"|"&amp;$K145,Recommendation_Lookup!$A$2:$H$19,3,FALSE),"")</x:f>
        <x:v>Maximal strength; eccentric control; concentric force; movement coordination</x:v>
      </x:c>
      <x:c r="N145" s="12" t="str">
        <x:f>IFERROR(VLOOKUP($D145&amp;"|"&amp;$K145,Recommendation_Lookup!$A$2:$H$19,4,FALSE),"")</x:f>
        <x:v>Build foundational force production before progressing to advanced plyometrics. Pair strength work with controlled jumps and explosive intent at appropriate loads.</x:v>
      </x:c>
      <x:c r="O145" s="12" t="str">
        <x:f>IFERROR(VLOOKUP($D145&amp;"|"&amp;$K145,Recommendation_Lookup!$A$2:$H$19,5,FALSE),"")</x:f>
        <x:v>RVX Power Foundations</x:v>
      </x:c>
      <x:c r="P145" s="12" t="str">
        <x:f>IFERROR(VLOOKUP($D145&amp;"|"&amp;$K145,Recommendation_Lookup!$A$2:$H$19,6,FALSE),"")</x:f>
        <x:v>RVX Strength Foundations</x:v>
      </x:c>
      <x:c r="Q145" s="12" t="str">
        <x:f>IFERROR(VLOOKUP($D145&amp;"|"&amp;$K145,Recommendation_Lookup!$A$2:$H$19,7,FALSE),"")</x:f>
        <x:v>Control the loading phase, then drive through the entire push with intent.</x:v>
      </x:c>
      <x:c r="R145" s="12" t="str">
        <x:f>IFERROR(VLOOKUP($D145&amp;"|"&amp;$K145,Recommendation_Lookup!$A$2:$H$19,8,FALSE),"")</x:f>
        <x:v>Retest after 4 weeks and review peak force, depth and movement time together.</x:v>
      </x:c>
      <x:c r="S145" s="12"/>
      <x:c r="T145" s="12"/>
      <x:c r="U145" s="12"/>
      <x:c r="V145" s="12"/>
      <x:c r="W145" s="12" t="str">
        <x:f>IF($S145&lt;&gt;"",$S145,$K145)</x:f>
        <x:v>Below Norm</x:v>
      </x:c>
      <x:c r="X145" s="12" t="str">
        <x:f>IF($T145&lt;&gt;"",$T145,$L145)</x:f>
        <x:v>Develop force-time capacity</x:v>
      </x:c>
      <x:c r="Y145" s="12" t="str">
        <x:f>IF($U145&lt;&gt;"",$U145,$N145)</x:f>
        <x:v>Build foundational force production before progressing to advanced plyometrics. Pair strength work with controlled jumps and explosive intent at appropriate loads.</x:v>
      </x:c>
      <x:c r="Z145" s="12" t="str">
        <x:f>IF($V145&lt;&gt;"",$V145,$O145)</x:f>
        <x:v>RVX Power Foundations</x:v>
      </x:c>
      <x:c r="AA145" s="12"/>
    </x:row>
    <x:row r="146">
      <x:c r="A146" s="12" t="str">
        <x:v>RVX-00025</x:v>
      </x:c>
      <x:c r="B146" s="12" t="str">
        <x:f>IFERROR(VLOOKUP($A146,Athlete_Profile!$A$2:$L$51,6,FALSE),"")</x:f>
        <x:v>Hockey</x:v>
      </x:c>
      <x:c r="C146" s="12" t="str">
        <x:f>IFERROR(VLOOKUP($A146,Athlete_Profile!$A$2:$L$51,5,FALSE),"")</x:f>
        <x:v>Female</x:v>
      </x:c>
      <x:c r="D146" s="12" t="str">
        <x:v>sprint_5m</x:v>
      </x:c>
      <x:c r="E146" s="12" t="str">
        <x:f>IFERROR(VLOOKUP($D146,Dropdown_Lists!$K$2:$N$7,2,FALSE),"")</x:f>
        <x:v>5m Sprint</x:v>
      </x:c>
      <x:c r="F146" s="12" t="str">
        <x:f>IFERROR(VLOOKUP($D146,Dropdown_Lists!$K$2:$N$7,3,FALSE),"")</x:f>
        <x:v>lower</x:v>
      </x:c>
      <x:c r="G146" s="17" t="n">
        <x:f>IFERROR(LOOKUP(2,1/((Performance_Metrics!$A$2:$A$3000=$A146)*(Performance_Metrics!$D$2:$D$3000=$D146)),Performance_Metrics!$C$2:$C$3000),"")</x:f>
        <x:v>46230</x:v>
      </x:c>
      <x:c r="H146" s="12" t="n">
        <x:f>IFERROR(LOOKUP(2,1/((Performance_Metrics!$A$2:$A$3000=$A146)*(Performance_Metrics!$D$2:$D$3000=$D146)),Performance_Metrics!$G$2:$G$3000),"")</x:f>
        <x:v>0.96</x:v>
      </x:c>
      <x:c r="I146" s="12" t="n">
        <x:f>IFERROR(SUMIFS(Normative_Data!$G$2:$G$1000,Normative_Data!$A$2:$A$1000,$B146,Normative_Data!$B$2:$B$1000,$C146,Normative_Data!$E$2:$E$1000,$D146),"")</x:f>
        <x:v>1.12</x:v>
      </x:c>
      <x:c r="J146" s="18" t="n">
        <x:f>IF(OR($H146="",$I146=""),"",($H146-$I146)/$I146)</x:f>
        <x:v>-0.14285714285714296</x:v>
      </x:c>
      <x:c r="K146" s="12" t="str">
        <x:f>IF(OR($H146="",$I146="",$F146=""),"",IF(ABS($J146)&lt;=0.05,"Equal to Norm",IF($F146="lower",IF($H146&lt;$I146,"Above Norm","Below Norm"),IF($H146&gt;$I146,"Above Norm","Below Norm"))))</x:f>
        <x:v>Above Norm</x:v>
      </x:c>
      <x:c r="L146" s="12" t="str">
        <x:f>IFERROR(VLOOKUP($D146&amp;"|"&amp;$K146,Recommendation_Lookup!$A$2:$H$19,2,FALSE),"")</x:f>
        <x:v>Maintain first-step explosiveness</x:v>
      </x:c>
      <x:c r="M146" s="12" t="str">
        <x:f>IFERROR(VLOOKUP($D146&amp;"|"&amp;$K146,Recommendation_Lookup!$A$2:$H$19,3,FALSE),"")</x:f>
        <x:v>Start consistency; projection angle; horizontal force; reaction quality</x:v>
      </x:c>
      <x:c r="N146" s="12" t="str">
        <x:f>IFERROR(VLOOKUP($D146&amp;"|"&amp;$K146,Recommendation_Lookup!$A$2:$H$19,4,FALSE),"")</x:f>
        <x:v>Maintain speed with low-volume, high-quality acceleration exposures. Avoid unnecessary volume that could reduce sprint quality. Progress through resisted and reactive starts while preserving mechanics.</x:v>
      </x:c>
      <x:c r="O146" s="12" t="str">
        <x:f>IFERROR(VLOOKUP($D146&amp;"|"&amp;$K146,Recommendation_Lookup!$A$2:$H$19,5,FALSE),"")</x:f>
        <x:v>RVX Advanced Acceleration</x:v>
      </x:c>
      <x:c r="P146" s="12" t="str">
        <x:f>IFERROR(VLOOKUP($D146&amp;"|"&amp;$K146,Recommendation_Lookup!$A$2:$H$19,6,FALSE),"")</x:f>
        <x:v>RVX Explosive Starts Microdose</x:v>
      </x:c>
      <x:c r="Q146" s="12" t="str">
        <x:f>IFERROR(VLOOKUP($D146&amp;"|"&amp;$K146,Recommendation_Lookup!$A$2:$H$19,7,FALSE),"")</x:f>
        <x:v>Project forward, push the ground back, and win the first three steps.</x:v>
      </x:c>
      <x:c r="R146" s="12" t="str">
        <x:f>IFERROR(VLOOKUP($D146&amp;"|"&amp;$K146,Recommendation_Lookup!$A$2:$H$19,8,FALSE),"")</x:f>
        <x:v>Retest every 6–8 weeks or after a dedicated acceleration block.</x:v>
      </x:c>
      <x:c r="S146" s="12"/>
      <x:c r="T146" s="12"/>
      <x:c r="U146" s="12"/>
      <x:c r="V146" s="12"/>
      <x:c r="W146" s="12" t="str">
        <x:f>IF($S146&lt;&gt;"",$S146,$K146)</x:f>
        <x:v>Above Norm</x:v>
      </x:c>
      <x:c r="X146" s="12" t="str">
        <x:f>IF($T146&lt;&gt;"",$T146,$L146)</x:f>
        <x:v>Maintain first-step explosiveness</x:v>
      </x:c>
      <x:c r="Y146" s="12" t="str">
        <x:f>IF($U146&lt;&gt;"",$U146,$N146)</x:f>
        <x:v>Maintain speed with low-volume, high-quality acceleration exposures. Avoid unnecessary volume that could reduce sprint quality. Progress through resisted and reactive starts while preserving mechanics.</x:v>
      </x:c>
      <x:c r="Z146" s="12" t="str">
        <x:f>IF($V146&lt;&gt;"",$V146,$O146)</x:f>
        <x:v>RVX Advanced Acceleration</x:v>
      </x:c>
      <x:c r="AA146" s="12"/>
    </x:row>
    <x:row r="147">
      <x:c r="A147" s="12" t="str">
        <x:v>RVX-00025</x:v>
      </x:c>
      <x:c r="B147" s="12" t="str">
        <x:f>IFERROR(VLOOKUP($A147,Athlete_Profile!$A$2:$L$51,6,FALSE),"")</x:f>
        <x:v>Hockey</x:v>
      </x:c>
      <x:c r="C147" s="12" t="str">
        <x:f>IFERROR(VLOOKUP($A147,Athlete_Profile!$A$2:$L$51,5,FALSE),"")</x:f>
        <x:v>Female</x:v>
      </x:c>
      <x:c r="D147" s="12" t="str">
        <x:v>sprint_10m</x:v>
      </x:c>
      <x:c r="E147" s="12" t="str">
        <x:f>IFERROR(VLOOKUP($D147,Dropdown_Lists!$K$2:$N$7,2,FALSE),"")</x:f>
        <x:v>10m Sprint</x:v>
      </x:c>
      <x:c r="F147" s="12" t="str">
        <x:f>IFERROR(VLOOKUP($D147,Dropdown_Lists!$K$2:$N$7,3,FALSE),"")</x:f>
        <x:v>lower</x:v>
      </x:c>
      <x:c r="G147" s="17" t="n">
        <x:f>IFERROR(LOOKUP(2,1/((Performance_Metrics!$A$2:$A$3000=$A147)*(Performance_Metrics!$D$2:$D$3000=$D147)),Performance_Metrics!$C$2:$C$3000),"")</x:f>
        <x:v>46230</x:v>
      </x:c>
      <x:c r="H147" s="12" t="n">
        <x:f>IFERROR(LOOKUP(2,1/((Performance_Metrics!$A$2:$A$3000=$A147)*(Performance_Metrics!$D$2:$D$3000=$D147)),Performance_Metrics!$G$2:$G$3000),"")</x:f>
        <x:v>1.62</x:v>
      </x:c>
      <x:c r="I147" s="12" t="n">
        <x:f>IFERROR(SUMIFS(Normative_Data!$G$2:$G$1000,Normative_Data!$A$2:$A$1000,$B147,Normative_Data!$B$2:$B$1000,$C147,Normative_Data!$E$2:$E$1000,$D147),"")</x:f>
        <x:v>1.88</x:v>
      </x:c>
      <x:c r="J147" s="18" t="n">
        <x:f>IF(OR($H147="",$I147=""),"",($H147-$I147)/$I147)</x:f>
        <x:v>-0.13829787234042543</x:v>
      </x:c>
      <x:c r="K147" s="12" t="str">
        <x:f>IF(OR($H147="",$I147="",$F147=""),"",IF(ABS($J147)&lt;=0.05,"Equal to Norm",IF($F147="lower",IF($H147&lt;$I147,"Above Norm","Below Norm"),IF($H147&gt;$I147,"Above Norm","Below Norm"))))</x:f>
        <x:v>Above Norm</x:v>
      </x:c>
      <x:c r="L147" s="12" t="str">
        <x:f>IFERROR(VLOOKUP($D147&amp;"|"&amp;$K147,Recommendation_Lookup!$A$2:$H$19,2,FALSE),"")</x:f>
        <x:v>Maintain acceleration through 10 m</x:v>
      </x:c>
      <x:c r="M147" s="12" t="str">
        <x:f>IFERROR(VLOOKUP($D147&amp;"|"&amp;$K147,Recommendation_Lookup!$A$2:$H$19,3,FALSE),"")</x:f>
        <x:v>Transition mechanics; stride rhythm; stiffness; repeatability</x:v>
      </x:c>
      <x:c r="N147" s="12" t="str">
        <x:f>IFERROR(VLOOKUP($D147&amp;"|"&amp;$K147,Recommendation_Lookup!$A$2:$H$19,4,FALSE),"")</x:f>
        <x:v>Maintain one to two weekly high-quality acceleration exposures. Add varied starts and light resistance while monitoring consistency across trials.</x:v>
      </x:c>
      <x:c r="O147" s="12" t="str">
        <x:f>IFERROR(VLOOKUP($D147&amp;"|"&amp;$K147,Recommendation_Lookup!$A$2:$H$19,5,FALSE),"")</x:f>
        <x:v>RVX Advanced Acceleration</x:v>
      </x:c>
      <x:c r="P147" s="12" t="str">
        <x:f>IFERROR(VLOOKUP($D147&amp;"|"&amp;$K147,Recommendation_Lookup!$A$2:$H$19,6,FALSE),"")</x:f>
        <x:v>RVX Speed Maintenance Microdose</x:v>
      </x:c>
      <x:c r="Q147" s="12" t="str">
        <x:f>IFERROR(VLOOKUP($D147&amp;"|"&amp;$K147,Recommendation_Lookup!$A$2:$H$19,7,FALSE),"")</x:f>
        <x:v>Stay patient through acceleration and keep pushing behind the body.</x:v>
      </x:c>
      <x:c r="R147" s="12" t="str">
        <x:f>IFERROR(VLOOKUP($D147&amp;"|"&amp;$K147,Recommendation_Lookup!$A$2:$H$19,8,FALSE),"")</x:f>
        <x:v>Retest every 6–8 weeks or after a speed block.</x:v>
      </x:c>
      <x:c r="S147" s="12"/>
      <x:c r="T147" s="12"/>
      <x:c r="U147" s="12"/>
      <x:c r="V147" s="12"/>
      <x:c r="W147" s="12" t="str">
        <x:f>IF($S147&lt;&gt;"",$S147,$K147)</x:f>
        <x:v>Above Norm</x:v>
      </x:c>
      <x:c r="X147" s="12" t="str">
        <x:f>IF($T147&lt;&gt;"",$T147,$L147)</x:f>
        <x:v>Maintain acceleration through 10 m</x:v>
      </x:c>
      <x:c r="Y147" s="12" t="str">
        <x:f>IF($U147&lt;&gt;"",$U147,$N147)</x:f>
        <x:v>Maintain one to two weekly high-quality acceleration exposures. Add varied starts and light resistance while monitoring consistency across trials.</x:v>
      </x:c>
      <x:c r="Z147" s="12" t="str">
        <x:f>IF($V147&lt;&gt;"",$V147,$O147)</x:f>
        <x:v>RVX Advanced Acceleration</x:v>
      </x:c>
      <x:c r="AA147" s="12"/>
    </x:row>
    <x:row r="148">
      <x:c r="A148" s="12" t="str">
        <x:v>RVX-00025</x:v>
      </x:c>
      <x:c r="B148" s="12" t="str">
        <x:f>IFERROR(VLOOKUP($A148,Athlete_Profile!$A$2:$L$51,6,FALSE),"")</x:f>
        <x:v>Hockey</x:v>
      </x:c>
      <x:c r="C148" s="12" t="str">
        <x:f>IFERROR(VLOOKUP($A148,Athlete_Profile!$A$2:$L$51,5,FALSE),"")</x:f>
        <x:v>Female</x:v>
      </x:c>
      <x:c r="D148" s="12" t="str">
        <x:v>pro_agility</x:v>
      </x:c>
      <x:c r="E148" s="12" t="str">
        <x:f>IFERROR(VLOOKUP($D148,Dropdown_Lists!$K$2:$N$7,2,FALSE),"")</x:f>
        <x:v>5-10-5 Pro Agility</x:v>
      </x:c>
      <x:c r="F148" s="12" t="str">
        <x:f>IFERROR(VLOOKUP($D148,Dropdown_Lists!$K$2:$N$7,3,FALSE),"")</x:f>
        <x:v>lower</x:v>
      </x:c>
      <x:c r="G148" s="17" t="n">
        <x:f>IFERROR(LOOKUP(2,1/((Performance_Metrics!$A$2:$A$3000=$A148)*(Performance_Metrics!$D$2:$D$3000=$D148)),Performance_Metrics!$C$2:$C$3000),"")</x:f>
        <x:v>46230</x:v>
      </x:c>
      <x:c r="H148" s="12" t="n">
        <x:f>IFERROR(LOOKUP(2,1/((Performance_Metrics!$A$2:$A$3000=$A148)*(Performance_Metrics!$D$2:$D$3000=$D148)),Performance_Metrics!$G$2:$G$3000),"")</x:f>
        <x:v>4.12</x:v>
      </x:c>
      <x:c r="I148" s="12" t="n">
        <x:f>IFERROR(SUMIFS(Normative_Data!$G$2:$G$1000,Normative_Data!$A$2:$A$1000,$B148,Normative_Data!$B$2:$B$1000,$C148,Normative_Data!$E$2:$E$1000,$D148),"")</x:f>
        <x:v>4.82</x:v>
      </x:c>
      <x:c r="J148" s="18" t="n">
        <x:f>IF(OR($H148="",$I148=""),"",($H148-$I148)/$I148)</x:f>
        <x:v>-0.1452282157676349</x:v>
      </x:c>
      <x:c r="K148" s="12" t="str">
        <x:f>IF(OR($H148="",$I148="",$F148=""),"",IF(ABS($J148)&lt;=0.05,"Equal to Norm",IF($F148="lower",IF($H148&lt;$I148,"Above Norm","Below Norm"),IF($H148&gt;$I148,"Above Norm","Below Norm"))))</x:f>
        <x:v>Above Norm</x:v>
      </x:c>
      <x:c r="L148" s="12" t="str">
        <x:f>IFERROR(VLOOKUP($D148&amp;"|"&amp;$K148,Recommendation_Lookup!$A$2:$H$19,2,FALSE),"")</x:f>
        <x:v>Maintain change-of-direction performance</x:v>
      </x:c>
      <x:c r="M148" s="12" t="str">
        <x:f>IFERROR(VLOOKUP($D148&amp;"|"&amp;$K148,Recommendation_Lookup!$A$2:$H$19,3,FALSE),"")</x:f>
        <x:v>Reactive decision-making; braking tolerance; bilateral symmetry; movement variability</x:v>
      </x:c>
      <x:c r="N148" s="12" t="str">
        <x:f>IFERROR(VLOOKUP($D148&amp;"|"&amp;$K148,Recommendation_Lookup!$A$2:$H$19,4,FALSE),"")</x:f>
        <x:v>Maintain planned change-of-direction work and progress toward reactive agility. Use low-volume, high-quality exposures with multiple starting and turning strategies.</x:v>
      </x:c>
      <x:c r="O148" s="12" t="str">
        <x:f>IFERROR(VLOOKUP($D148&amp;"|"&amp;$K148,Recommendation_Lookup!$A$2:$H$19,5,FALSE),"")</x:f>
        <x:v>RVX Advanced Change of Direction</x:v>
      </x:c>
      <x:c r="P148" s="12" t="str">
        <x:f>IFERROR(VLOOKUP($D148&amp;"|"&amp;$K148,Recommendation_Lookup!$A$2:$H$19,6,FALSE),"")</x:f>
        <x:v>RVX Reactive Agility</x:v>
      </x:c>
      <x:c r="Q148" s="12" t="str">
        <x:f>IFERROR(VLOOKUP($D148&amp;"|"&amp;$K148,Recommendation_Lookup!$A$2:$H$19,7,FALSE),"")</x:f>
        <x:v>Brake under control, own the plant and accelerate out immediately.</x:v>
      </x:c>
      <x:c r="R148" s="12" t="str">
        <x:f>IFERROR(VLOOKUP($D148&amp;"|"&amp;$K148,Recommendation_Lookup!$A$2:$H$19,8,FALSE),"")</x:f>
        <x:v>Retest every 6–8 weeks with left and right trial review.</x:v>
      </x:c>
      <x:c r="S148" s="12"/>
      <x:c r="T148" s="12"/>
      <x:c r="U148" s="12"/>
      <x:c r="V148" s="12"/>
      <x:c r="W148" s="12" t="str">
        <x:f>IF($S148&lt;&gt;"",$S148,$K148)</x:f>
        <x:v>Above Norm</x:v>
      </x:c>
      <x:c r="X148" s="12" t="str">
        <x:f>IF($T148&lt;&gt;"",$T148,$L148)</x:f>
        <x:v>Maintain change-of-direction performance</x:v>
      </x:c>
      <x:c r="Y148" s="12" t="str">
        <x:f>IF($U148&lt;&gt;"",$U148,$N148)</x:f>
        <x:v>Maintain planned change-of-direction work and progress toward reactive agility. Use low-volume, high-quality exposures with multiple starting and turning strategies.</x:v>
      </x:c>
      <x:c r="Z148" s="12" t="str">
        <x:f>IF($V148&lt;&gt;"",$V148,$O148)</x:f>
        <x:v>RVX Advanced Change of Direction</x:v>
      </x:c>
      <x:c r="AA148" s="12"/>
    </x:row>
    <x:row r="149">
      <x:c r="A149" s="12" t="str">
        <x:v>RVX-00025</x:v>
      </x:c>
      <x:c r="B149" s="12" t="str">
        <x:f>IFERROR(VLOOKUP($A149,Athlete_Profile!$A$2:$L$51,6,FALSE),"")</x:f>
        <x:v>Hockey</x:v>
      </x:c>
      <x:c r="C149" s="12" t="str">
        <x:f>IFERROR(VLOOKUP($A149,Athlete_Profile!$A$2:$L$51,5,FALSE),"")</x:f>
        <x:v>Female</x:v>
      </x:c>
      <x:c r="D149" s="12" t="str">
        <x:v>cmj_depth</x:v>
      </x:c>
      <x:c r="E149" s="12" t="str">
        <x:f>IFERROR(VLOOKUP($D149,Dropdown_Lists!$K$2:$N$7,2,FALSE),"")</x:f>
        <x:v>Countermovement Depth</x:v>
      </x:c>
      <x:c r="F149" s="12" t="str">
        <x:f>IFERROR(VLOOKUP($D149,Dropdown_Lists!$K$2:$N$7,3,FALSE),"")</x:f>
        <x:v>higher</x:v>
      </x:c>
      <x:c r="G149" s="17" t="n">
        <x:f>IFERROR(LOOKUP(2,1/((Performance_Metrics!$A$2:$A$3000=$A149)*(Performance_Metrics!$D$2:$D$3000=$D149)),Performance_Metrics!$C$2:$C$3000),"")</x:f>
        <x:v>46230</x:v>
      </x:c>
      <x:c r="H149" s="12" t="n">
        <x:f>IFERROR(LOOKUP(2,1/((Performance_Metrics!$A$2:$A$3000=$A149)*(Performance_Metrics!$D$2:$D$3000=$D149)),Performance_Metrics!$G$2:$G$3000),"")</x:f>
        <x:v>34.5</x:v>
      </x:c>
      <x:c r="I149" s="12" t="n">
        <x:f>IFERROR(SUMIFS(Normative_Data!$G$2:$G$1000,Normative_Data!$A$2:$A$1000,$B149,Normative_Data!$B$2:$B$1000,$C149,Normative_Data!$E$2:$E$1000,$D149),"")</x:f>
        <x:v>30</x:v>
      </x:c>
      <x:c r="J149" s="18" t="n">
        <x:f>IF(OR($H149="",$I149=""),"",($H149-$I149)/$I149)</x:f>
        <x:v>0.15</x:v>
      </x:c>
      <x:c r="K149" s="12" t="str">
        <x:f>IF(OR($H149="",$I149="",$F149=""),"",IF(ABS($J149)&lt;=0.05,"Equal to Norm",IF($F149="lower",IF($H149&lt;$I149,"Above Norm","Below Norm"),IF($H149&gt;$I149,"Above Norm","Below Norm"))))</x:f>
        <x:v>Above Norm</x:v>
      </x:c>
      <x:c r="L149" s="12" t="str">
        <x:f>IFERROR(VLOOKUP($D149&amp;"|"&amp;$K149,Recommendation_Lookup!$A$2:$H$19,2,FALSE),"")</x:f>
        <x:v>Maintain effective countermovement strategy</x:v>
      </x:c>
      <x:c r="M149" s="12" t="str">
        <x:f>IFERROR(VLOOKUP($D149&amp;"|"&amp;$K149,Recommendation_Lookup!$A$2:$H$19,3,FALSE),"")</x:f>
        <x:v>Movement efficiency; eccentric control; jump consistency; depth-to-output relationship</x:v>
      </x:c>
      <x:c r="N149" s="12" t="str">
        <x:f>IFERROR(VLOOKUP($D149&amp;"|"&amp;$K149,Recommendation_Lookup!$A$2:$H$19,4,FALSE),"")</x:f>
        <x:v>Maintain the athlete’s preferred countermovement strategy while ensuring the additional depth contributes to force and impulse rather than excessive movement time.</x:v>
      </x:c>
      <x:c r="O149" s="12" t="str">
        <x:f>IFERROR(VLOOKUP($D149&amp;"|"&amp;$K149,Recommendation_Lookup!$A$2:$H$19,5,FALSE),"")</x:f>
        <x:v>RVX Jump Performance Advanced</x:v>
      </x:c>
      <x:c r="P149" s="12" t="str">
        <x:f>IFERROR(VLOOKUP($D149&amp;"|"&amp;$K149,Recommendation_Lookup!$A$2:$H$19,6,FALSE),"")</x:f>
        <x:v>RVX Eccentric Strength Microdose</x:v>
      </x:c>
      <x:c r="Q149" s="12" t="str">
        <x:f>IFERROR(VLOOKUP($D149&amp;"|"&amp;$K149,Recommendation_Lookup!$A$2:$H$19,7,FALSE),"")</x:f>
        <x:v>Use the depth you can control, then reverse quickly and aggressively.</x:v>
      </x:c>
      <x:c r="R149" s="12" t="str">
        <x:f>IFERROR(VLOOKUP($D149&amp;"|"&amp;$K149,Recommendation_Lookup!$A$2:$H$19,8,FALSE),"")</x:f>
        <x:v>Retest every 6–8 weeks while monitoring jump height and contraction time.</x:v>
      </x:c>
      <x:c r="S149" s="12"/>
      <x:c r="T149" s="12"/>
      <x:c r="U149" s="12"/>
      <x:c r="V149" s="12"/>
      <x:c r="W149" s="12" t="str">
        <x:f>IF($S149&lt;&gt;"",$S149,$K149)</x:f>
        <x:v>Above Norm</x:v>
      </x:c>
      <x:c r="X149" s="12" t="str">
        <x:f>IF($T149&lt;&gt;"",$T149,$L149)</x:f>
        <x:v>Maintain effective countermovement strategy</x:v>
      </x:c>
      <x:c r="Y149" s="12" t="str">
        <x:f>IF($U149&lt;&gt;"",$U149,$N149)</x:f>
        <x:v>Maintain the athlete’s preferred countermovement strategy while ensuring the additional depth contributes to force and impulse rather than excessive movement time.</x:v>
      </x:c>
      <x:c r="Z149" s="12" t="str">
        <x:f>IF($V149&lt;&gt;"",$V149,$O149)</x:f>
        <x:v>RVX Jump Performance Advanced</x:v>
      </x:c>
      <x:c r="AA149" s="12"/>
    </x:row>
    <x:row r="150">
      <x:c r="A150" s="12" t="str">
        <x:v>RVX-00025</x:v>
      </x:c>
      <x:c r="B150" s="12" t="str">
        <x:f>IFERROR(VLOOKUP($A150,Athlete_Profile!$A$2:$L$51,6,FALSE),"")</x:f>
        <x:v>Hockey</x:v>
      </x:c>
      <x:c r="C150" s="12" t="str">
        <x:f>IFERROR(VLOOKUP($A150,Athlete_Profile!$A$2:$L$51,5,FALSE),"")</x:f>
        <x:v>Female</x:v>
      </x:c>
      <x:c r="D150" s="12" t="str">
        <x:v>peak_force</x:v>
      </x:c>
      <x:c r="E150" s="12" t="str">
        <x:f>IFERROR(VLOOKUP($D150,Dropdown_Lists!$K$2:$N$7,2,FALSE),"")</x:f>
        <x:v>Peak Force</x:v>
      </x:c>
      <x:c r="F150" s="12" t="str">
        <x:f>IFERROR(VLOOKUP($D150,Dropdown_Lists!$K$2:$N$7,3,FALSE),"")</x:f>
        <x:v>higher</x:v>
      </x:c>
      <x:c r="G150" s="17" t="n">
        <x:f>IFERROR(LOOKUP(2,1/((Performance_Metrics!$A$2:$A$3000=$A150)*(Performance_Metrics!$D$2:$D$3000=$D150)),Performance_Metrics!$C$2:$C$3000),"")</x:f>
        <x:v>46230</x:v>
      </x:c>
      <x:c r="H150" s="12" t="n">
        <x:f>IFERROR(LOOKUP(2,1/((Performance_Metrics!$A$2:$A$3000=$A150)*(Performance_Metrics!$D$2:$D$3000=$D150)),Performance_Metrics!$G$2:$G$3000),"")</x:f>
        <x:v>1993</x:v>
      </x:c>
      <x:c r="I150" s="12" t="n">
        <x:f>IFERROR(SUMIFS(Normative_Data!$G$2:$G$1000,Normative_Data!$A$2:$A$1000,$B150,Normative_Data!$B$2:$B$1000,$C150,Normative_Data!$E$2:$E$1000,$D150),"")</x:f>
        <x:v>1750</x:v>
      </x:c>
      <x:c r="J150" s="18" t="n">
        <x:f>IF(OR($H150="",$I150=""),"",($H150-$I150)/$I150)</x:f>
        <x:v>0.13885714285714285</x:v>
      </x:c>
      <x:c r="K150" s="12" t="str">
        <x:f>IF(OR($H150="",$I150="",$F150=""),"",IF(ABS($J150)&lt;=0.05,"Equal to Norm",IF($F150="lower",IF($H150&lt;$I150,"Above Norm","Below Norm"),IF($H150&gt;$I150,"Above Norm","Below Norm"))))</x:f>
        <x:v>Above Norm</x:v>
      </x:c>
      <x:c r="L150" s="12" t="str">
        <x:f>IFERROR(VLOOKUP($D150&amp;"|"&amp;$K150,Recommendation_Lookup!$A$2:$H$19,2,FALSE),"")</x:f>
        <x:v>Maintain maximal force qualities</x:v>
      </x:c>
      <x:c r="M150" s="12" t="str">
        <x:f>IFERROR(VLOOKUP($D150&amp;"|"&amp;$K150,Recommendation_Lookup!$A$2:$H$19,3,FALSE),"")</x:f>
        <x:v>Force application speed; asymmetry; fatigue management; sport transfer</x:v>
      </x:c>
      <x:c r="N150" s="12" t="str">
        <x:f>IFERROR(VLOOKUP($D150&amp;"|"&amp;$K150,Recommendation_Lookup!$A$2:$H$19,4,FALSE),"")</x:f>
        <x:v>Maintain maximal force with low-volume strength exposure while shifting selected work toward power and sport-specific application. Monitor asymmetry and fatigue.</x:v>
      </x:c>
      <x:c r="O150" s="12" t="str">
        <x:f>IFERROR(VLOOKUP($D150&amp;"|"&amp;$K150,Recommendation_Lookup!$A$2:$H$19,5,FALSE),"")</x:f>
        <x:v>RVX Advanced Strength-Power</x:v>
      </x:c>
      <x:c r="P150" s="12" t="str">
        <x:f>IFERROR(VLOOKUP($D150&amp;"|"&amp;$K150,Recommendation_Lookup!$A$2:$H$19,6,FALSE),"")</x:f>
        <x:v>RVX Force Maintenance Microdose</x:v>
      </x:c>
      <x:c r="Q150" s="12" t="str">
        <x:f>IFERROR(VLOOKUP($D150&amp;"|"&amp;$K150,Recommendation_Lookup!$A$2:$H$19,7,FALSE),"")</x:f>
        <x:v>Produce high force without losing position or movement speed.</x:v>
      </x:c>
      <x:c r="R150" s="12" t="str">
        <x:f>IFERROR(VLOOKUP($D150&amp;"|"&amp;$K150,Recommendation_Lookup!$A$2:$H$19,8,FALSE),"")</x:f>
        <x:v>Retest every 6–8 weeks or following a strength-power phase.</x:v>
      </x:c>
      <x:c r="S150" s="12"/>
      <x:c r="T150" s="12"/>
      <x:c r="U150" s="12"/>
      <x:c r="V150" s="12"/>
      <x:c r="W150" s="12" t="str">
        <x:f>IF($S150&lt;&gt;"",$S150,$K150)</x:f>
        <x:v>Above Norm</x:v>
      </x:c>
      <x:c r="X150" s="12" t="str">
        <x:f>IF($T150&lt;&gt;"",$T150,$L150)</x:f>
        <x:v>Maintain maximal force qualities</x:v>
      </x:c>
      <x:c r="Y150" s="12" t="str">
        <x:f>IF($U150&lt;&gt;"",$U150,$N150)</x:f>
        <x:v>Maintain maximal force with low-volume strength exposure while shifting selected work toward power and sport-specific application. Monitor asymmetry and fatigue.</x:v>
      </x:c>
      <x:c r="Z150" s="12" t="str">
        <x:f>IF($V150&lt;&gt;"",$V150,$O150)</x:f>
        <x:v>RVX Advanced Strength-Power</x:v>
      </x:c>
      <x:c r="AA150" s="12"/>
    </x:row>
    <x:row r="151">
      <x:c r="A151" s="12" t="str">
        <x:v>RVX-00025</x:v>
      </x:c>
      <x:c r="B151" s="12" t="str">
        <x:f>IFERROR(VLOOKUP($A151,Athlete_Profile!$A$2:$L$51,6,FALSE),"")</x:f>
        <x:v>Hockey</x:v>
      </x:c>
      <x:c r="C151" s="12" t="str">
        <x:f>IFERROR(VLOOKUP($A151,Athlete_Profile!$A$2:$L$51,5,FALSE),"")</x:f>
        <x:v>Female</x:v>
      </x:c>
      <x:c r="D151" s="12" t="str">
        <x:v>impulse</x:v>
      </x:c>
      <x:c r="E151" s="12" t="str">
        <x:f>IFERROR(VLOOKUP($D151,Dropdown_Lists!$K$2:$N$7,2,FALSE),"")</x:f>
        <x:v>Impulse-Momentum</x:v>
      </x:c>
      <x:c r="F151" s="12" t="str">
        <x:f>IFERROR(VLOOKUP($D151,Dropdown_Lists!$K$2:$N$7,3,FALSE),"")</x:f>
        <x:v>higher</x:v>
      </x:c>
      <x:c r="G151" s="17" t="n">
        <x:f>IFERROR(LOOKUP(2,1/((Performance_Metrics!$A$2:$A$3000=$A151)*(Performance_Metrics!$D$2:$D$3000=$D151)),Performance_Metrics!$C$2:$C$3000),"")</x:f>
        <x:v>46230</x:v>
      </x:c>
      <x:c r="H151" s="12" t="n">
        <x:f>IFERROR(LOOKUP(2,1/((Performance_Metrics!$A$2:$A$3000=$A151)*(Performance_Metrics!$D$2:$D$3000=$D151)),Performance_Metrics!$G$2:$G$3000),"")</x:f>
        <x:v>248.4</x:v>
      </x:c>
      <x:c r="I151" s="12" t="n">
        <x:f>IFERROR(SUMIFS(Normative_Data!$G$2:$G$1000,Normative_Data!$A$2:$A$1000,$B151,Normative_Data!$B$2:$B$1000,$C151,Normative_Data!$E$2:$E$1000,$D151),"")</x:f>
        <x:v>215</x:v>
      </x:c>
      <x:c r="J151" s="18" t="n">
        <x:f>IF(OR($H151="",$I151=""),"",($H151-$I151)/$I151)</x:f>
        <x:v>0.15534883720930234</x:v>
      </x:c>
      <x:c r="K151" s="12" t="str">
        <x:f>IF(OR($H151="",$I151="",$F151=""),"",IF(ABS($J151)&lt;=0.05,"Equal to Norm",IF($F151="lower",IF($H151&lt;$I151,"Above Norm","Below Norm"),IF($H151&gt;$I151,"Above Norm","Below Norm"))))</x:f>
        <x:v>Above Norm</x:v>
      </x:c>
      <x:c r="L151" s="12" t="str">
        <x:f>IFERROR(VLOOKUP($D151&amp;"|"&amp;$K151,Recommendation_Lookup!$A$2:$H$19,2,FALSE),"")</x:f>
        <x:v>Maintain total force-time output</x:v>
      </x:c>
      <x:c r="M151" s="12" t="str">
        <x:f>IFERROR(VLOOKUP($D151&amp;"|"&amp;$K151,Recommendation_Lookup!$A$2:$H$19,3,FALSE),"")</x:f>
        <x:v>Rate of force development; movement time; power transfer; fatigue resistance</x:v>
      </x:c>
      <x:c r="N151" s="12" t="str">
        <x:f>IFERROR(VLOOKUP($D151&amp;"|"&amp;$K151,Recommendation_Lookup!$A$2:$H$19,4,FALSE),"")</x:f>
        <x:v>Maintain impulse with strength-power microdosing and varied jump or sprint exposures. Ensure high impulse is achieved efficiently rather than through excessive movement time.</x:v>
      </x:c>
      <x:c r="O151" s="12" t="str">
        <x:f>IFERROR(VLOOKUP($D151&amp;"|"&amp;$K151,Recommendation_Lookup!$A$2:$H$19,5,FALSE),"")</x:f>
        <x:v>RVX Advanced Power Development</x:v>
      </x:c>
      <x:c r="P151" s="12" t="str">
        <x:f>IFERROR(VLOOKUP($D151&amp;"|"&amp;$K151,Recommendation_Lookup!$A$2:$H$19,6,FALSE),"")</x:f>
        <x:v>RVX Elastic Power Microdose</x:v>
      </x:c>
      <x:c r="Q151" s="12" t="str">
        <x:f>IFERROR(VLOOKUP($D151&amp;"|"&amp;$K151,Recommendation_Lookup!$A$2:$H$19,7,FALSE),"")</x:f>
        <x:v>Build force quickly and keep applying it through the full movement.</x:v>
      </x:c>
      <x:c r="R151" s="12" t="str">
        <x:f>IFERROR(VLOOKUP($D151&amp;"|"&amp;$K151,Recommendation_Lookup!$A$2:$H$19,8,FALSE),"")</x:f>
        <x:v>Retest every 6–8 weeks while reviewing contraction time and jump outcome.</x:v>
      </x:c>
      <x:c r="S151" s="12"/>
      <x:c r="T151" s="12"/>
      <x:c r="U151" s="12"/>
      <x:c r="V151" s="12"/>
      <x:c r="W151" s="12" t="str">
        <x:f>IF($S151&lt;&gt;"",$S151,$K151)</x:f>
        <x:v>Above Norm</x:v>
      </x:c>
      <x:c r="X151" s="12" t="str">
        <x:f>IF($T151&lt;&gt;"",$T151,$L151)</x:f>
        <x:v>Maintain total force-time output</x:v>
      </x:c>
      <x:c r="Y151" s="12" t="str">
        <x:f>IF($U151&lt;&gt;"",$U151,$N151)</x:f>
        <x:v>Maintain impulse with strength-power microdosing and varied jump or sprint exposures. Ensure high impulse is achieved efficiently rather than through excessive movement time.</x:v>
      </x:c>
      <x:c r="Z151" s="12" t="str">
        <x:f>IF($V151&lt;&gt;"",$V151,$O151)</x:f>
        <x:v>RVX Advanced Power Development</x:v>
      </x:c>
      <x:c r="AA151" s="12"/>
    </x:row>
    <x:row r="152">
      <x:c r="A152" s="12" t="str">
        <x:v>RVX-00026</x:v>
      </x:c>
      <x:c r="B152" s="12" t="str">
        <x:f>IFERROR(VLOOKUP($A152,Athlete_Profile!$A$2:$L$51,6,FALSE),"")</x:f>
        <x:v>Hockey</x:v>
      </x:c>
      <x:c r="C152" s="12" t="str">
        <x:f>IFERROR(VLOOKUP($A152,Athlete_Profile!$A$2:$L$51,5,FALSE),"")</x:f>
        <x:v>Male</x:v>
      </x:c>
      <x:c r="D152" s="12" t="str">
        <x:v>sprint_5m</x:v>
      </x:c>
      <x:c r="E152" s="12" t="str">
        <x:f>IFERROR(VLOOKUP($D152,Dropdown_Lists!$K$2:$N$7,2,FALSE),"")</x:f>
        <x:v>5m Sprint</x:v>
      </x:c>
      <x:c r="F152" s="12" t="str">
        <x:f>IFERROR(VLOOKUP($D152,Dropdown_Lists!$K$2:$N$7,3,FALSE),"")</x:f>
        <x:v>lower</x:v>
      </x:c>
      <x:c r="G152" s="17" t="n">
        <x:f>IFERROR(LOOKUP(2,1/((Performance_Metrics!$A$2:$A$3000=$A152)*(Performance_Metrics!$D$2:$D$3000=$D152)),Performance_Metrics!$C$2:$C$3000),"")</x:f>
        <x:v>46230</x:v>
      </x:c>
      <x:c r="H152" s="12" t="n">
        <x:f>IFERROR(LOOKUP(2,1/((Performance_Metrics!$A$2:$A$3000=$A152)*(Performance_Metrics!$D$2:$D$3000=$D152)),Performance_Metrics!$G$2:$G$3000),"")</x:f>
        <x:v>0.99</x:v>
      </x:c>
      <x:c r="I152" s="12" t="n">
        <x:f>IFERROR(SUMIFS(Normative_Data!$G$2:$G$1000,Normative_Data!$A$2:$A$1000,$B152,Normative_Data!$B$2:$B$1000,$C152,Normative_Data!$E$2:$E$1000,$D152),"")</x:f>
        <x:v>1.08</x:v>
      </x:c>
      <x:c r="J152" s="18" t="n">
        <x:f>IF(OR($H152="",$I152=""),"",($H152-$I152)/$I152)</x:f>
        <x:v>-0.0833333333333334</x:v>
      </x:c>
      <x:c r="K152" s="12" t="str">
        <x:f>IF(OR($H152="",$I152="",$F152=""),"",IF(ABS($J152)&lt;=0.05,"Equal to Norm",IF($F152="lower",IF($H152&lt;$I152,"Above Norm","Below Norm"),IF($H152&gt;$I152,"Above Norm","Below Norm"))))</x:f>
        <x:v>Above Norm</x:v>
      </x:c>
      <x:c r="L152" s="12" t="str">
        <x:f>IFERROR(VLOOKUP($D152&amp;"|"&amp;$K152,Recommendation_Lookup!$A$2:$H$19,2,FALSE),"")</x:f>
        <x:v>Maintain first-step explosiveness</x:v>
      </x:c>
      <x:c r="M152" s="12" t="str">
        <x:f>IFERROR(VLOOKUP($D152&amp;"|"&amp;$K152,Recommendation_Lookup!$A$2:$H$19,3,FALSE),"")</x:f>
        <x:v>Start consistency; projection angle; horizontal force; reaction quality</x:v>
      </x:c>
      <x:c r="N152" s="12" t="str">
        <x:f>IFERROR(VLOOKUP($D152&amp;"|"&amp;$K152,Recommendation_Lookup!$A$2:$H$19,4,FALSE),"")</x:f>
        <x:v>Maintain speed with low-volume, high-quality acceleration exposures. Avoid unnecessary volume that could reduce sprint quality. Progress through resisted and reactive starts while preserving mechanics.</x:v>
      </x:c>
      <x:c r="O152" s="12" t="str">
        <x:f>IFERROR(VLOOKUP($D152&amp;"|"&amp;$K152,Recommendation_Lookup!$A$2:$H$19,5,FALSE),"")</x:f>
        <x:v>RVX Advanced Acceleration</x:v>
      </x:c>
      <x:c r="P152" s="12" t="str">
        <x:f>IFERROR(VLOOKUP($D152&amp;"|"&amp;$K152,Recommendation_Lookup!$A$2:$H$19,6,FALSE),"")</x:f>
        <x:v>RVX Explosive Starts Microdose</x:v>
      </x:c>
      <x:c r="Q152" s="12" t="str">
        <x:f>IFERROR(VLOOKUP($D152&amp;"|"&amp;$K152,Recommendation_Lookup!$A$2:$H$19,7,FALSE),"")</x:f>
        <x:v>Project forward, push the ground back, and win the first three steps.</x:v>
      </x:c>
      <x:c r="R152" s="12" t="str">
        <x:f>IFERROR(VLOOKUP($D152&amp;"|"&amp;$K152,Recommendation_Lookup!$A$2:$H$19,8,FALSE),"")</x:f>
        <x:v>Retest every 6–8 weeks or after a dedicated acceleration block.</x:v>
      </x:c>
      <x:c r="S152" s="12"/>
      <x:c r="T152" s="12"/>
      <x:c r="U152" s="12"/>
      <x:c r="V152" s="12"/>
      <x:c r="W152" s="12" t="str">
        <x:f>IF($S152&lt;&gt;"",$S152,$K152)</x:f>
        <x:v>Above Norm</x:v>
      </x:c>
      <x:c r="X152" s="12" t="str">
        <x:f>IF($T152&lt;&gt;"",$T152,$L152)</x:f>
        <x:v>Maintain first-step explosiveness</x:v>
      </x:c>
      <x:c r="Y152" s="12" t="str">
        <x:f>IF($U152&lt;&gt;"",$U152,$N152)</x:f>
        <x:v>Maintain speed with low-volume, high-quality acceleration exposures. Avoid unnecessary volume that could reduce sprint quality. Progress through resisted and reactive starts while preserving mechanics.</x:v>
      </x:c>
      <x:c r="Z152" s="12" t="str">
        <x:f>IF($V152&lt;&gt;"",$V152,$O152)</x:f>
        <x:v>RVX Advanced Acceleration</x:v>
      </x:c>
      <x:c r="AA152" s="12"/>
    </x:row>
    <x:row r="153">
      <x:c r="A153" s="12" t="str">
        <x:v>RVX-00026</x:v>
      </x:c>
      <x:c r="B153" s="12" t="str">
        <x:f>IFERROR(VLOOKUP($A153,Athlete_Profile!$A$2:$L$51,6,FALSE),"")</x:f>
        <x:v>Hockey</x:v>
      </x:c>
      <x:c r="C153" s="12" t="str">
        <x:f>IFERROR(VLOOKUP($A153,Athlete_Profile!$A$2:$L$51,5,FALSE),"")</x:f>
        <x:v>Male</x:v>
      </x:c>
      <x:c r="D153" s="12" t="str">
        <x:v>sprint_10m</x:v>
      </x:c>
      <x:c r="E153" s="12" t="str">
        <x:f>IFERROR(VLOOKUP($D153,Dropdown_Lists!$K$2:$N$7,2,FALSE),"")</x:f>
        <x:v>10m Sprint</x:v>
      </x:c>
      <x:c r="F153" s="12" t="str">
        <x:f>IFERROR(VLOOKUP($D153,Dropdown_Lists!$K$2:$N$7,3,FALSE),"")</x:f>
        <x:v>lower</x:v>
      </x:c>
      <x:c r="G153" s="17" t="n">
        <x:f>IFERROR(LOOKUP(2,1/((Performance_Metrics!$A$2:$A$3000=$A153)*(Performance_Metrics!$D$2:$D$3000=$D153)),Performance_Metrics!$C$2:$C$3000),"")</x:f>
        <x:v>46230</x:v>
      </x:c>
      <x:c r="H153" s="12" t="n">
        <x:f>IFERROR(LOOKUP(2,1/((Performance_Metrics!$A$2:$A$3000=$A153)*(Performance_Metrics!$D$2:$D$3000=$D153)),Performance_Metrics!$G$2:$G$3000),"")</x:f>
        <x:v>1.72</x:v>
      </x:c>
      <x:c r="I153" s="12" t="n">
        <x:f>IFERROR(SUMIFS(Normative_Data!$G$2:$G$1000,Normative_Data!$A$2:$A$1000,$B153,Normative_Data!$B$2:$B$1000,$C153,Normative_Data!$E$2:$E$1000,$D153),"")</x:f>
        <x:v>1.8</x:v>
      </x:c>
      <x:c r="J153" s="18" t="n">
        <x:f>IF(OR($H153="",$I153=""),"",($H153-$I153)/$I153)</x:f>
        <x:v>-0.04444444444444448</x:v>
      </x:c>
      <x:c r="K153" s="12" t="str">
        <x:f>IF(OR($H153="",$I153="",$F153=""),"",IF(ABS($J153)&lt;=0.05,"Equal to Norm",IF($F153="lower",IF($H153&lt;$I153,"Above Norm","Below Norm"),IF($H153&gt;$I153,"Above Norm","Below Norm"))))</x:f>
        <x:v>Equal to Norm</x:v>
      </x:c>
      <x:c r="L153" s="12" t="str">
        <x:f>IFERROR(VLOOKUP($D153&amp;"|"&amp;$K153,Recommendation_Lookup!$A$2:$H$19,2,FALSE),"")</x:f>
        <x:v>Improve acceleration continuation</x:v>
      </x:c>
      <x:c r="M153" s="12" t="str">
        <x:f>IFERROR(VLOOKUP($D153&amp;"|"&amp;$K153,Recommendation_Lookup!$A$2:$H$19,3,FALSE),"")</x:f>
        <x:v>Projection; force orientation; step rhythm; trunk control</x:v>
      </x:c>
      <x:c r="N153" s="12" t="str">
        <x:f>IFERROR(VLOOKUP($D153&amp;"|"&amp;$K153,Recommendation_Lookup!$A$2:$H$19,4,FALSE),"")</x:f>
        <x:v>Build acceleration from 0–10 m using split starts, falling starts and progressive resisted sprints. Emphasize full recovery and technical consistency.</x:v>
      </x:c>
      <x:c r="O153" s="12" t="str">
        <x:f>IFERROR(VLOOKUP($D153&amp;"|"&amp;$K153,Recommendation_Lookup!$A$2:$H$19,5,FALSE),"")</x:f>
        <x:v>RVX Acceleration Development</x:v>
      </x:c>
      <x:c r="P153" s="12" t="str">
        <x:f>IFERROR(VLOOKUP($D153&amp;"|"&amp;$K153,Recommendation_Lookup!$A$2:$H$19,6,FALSE),"")</x:f>
        <x:v>RVX Sprint Mechanics</x:v>
      </x:c>
      <x:c r="Q153" s="12" t="str">
        <x:f>IFERROR(VLOOKUP($D153&amp;"|"&amp;$K153,Recommendation_Lookup!$A$2:$H$19,7,FALSE),"")</x:f>
        <x:v>Keep building speed through the line; do not stand up too early.</x:v>
      </x:c>
      <x:c r="R153" s="12" t="str">
        <x:f>IFERROR(VLOOKUP($D153&amp;"|"&amp;$K153,Recommendation_Lookup!$A$2:$H$19,8,FALSE),"")</x:f>
        <x:v>Retest after 4–6 weeks.</x:v>
      </x:c>
      <x:c r="S153" s="12"/>
      <x:c r="T153" s="12"/>
      <x:c r="U153" s="12"/>
      <x:c r="V153" s="12"/>
      <x:c r="W153" s="12" t="str">
        <x:f>IF($S153&lt;&gt;"",$S153,$K153)</x:f>
        <x:v>Equal to Norm</x:v>
      </x:c>
      <x:c r="X153" s="12" t="str">
        <x:f>IF($T153&lt;&gt;"",$T153,$L153)</x:f>
        <x:v>Improve acceleration continuation</x:v>
      </x:c>
      <x:c r="Y153" s="12" t="str">
        <x:f>IF($U153&lt;&gt;"",$U153,$N153)</x:f>
        <x:v>Build acceleration from 0–10 m using split starts, falling starts and progressive resisted sprints. Emphasize full recovery and technical consistency.</x:v>
      </x:c>
      <x:c r="Z153" s="12" t="str">
        <x:f>IF($V153&lt;&gt;"",$V153,$O153)</x:f>
        <x:v>RVX Acceleration Development</x:v>
      </x:c>
      <x:c r="AA153" s="12"/>
    </x:row>
    <x:row r="154">
      <x:c r="A154" s="12" t="str">
        <x:v>RVX-00026</x:v>
      </x:c>
      <x:c r="B154" s="12" t="str">
        <x:f>IFERROR(VLOOKUP($A154,Athlete_Profile!$A$2:$L$51,6,FALSE),"")</x:f>
        <x:v>Hockey</x:v>
      </x:c>
      <x:c r="C154" s="12" t="str">
        <x:f>IFERROR(VLOOKUP($A154,Athlete_Profile!$A$2:$L$51,5,FALSE),"")</x:f>
        <x:v>Male</x:v>
      </x:c>
      <x:c r="D154" s="12" t="str">
        <x:v>pro_agility</x:v>
      </x:c>
      <x:c r="E154" s="12" t="str">
        <x:f>IFERROR(VLOOKUP($D154,Dropdown_Lists!$K$2:$N$7,2,FALSE),"")</x:f>
        <x:v>5-10-5 Pro Agility</x:v>
      </x:c>
      <x:c r="F154" s="12" t="str">
        <x:f>IFERROR(VLOOKUP($D154,Dropdown_Lists!$K$2:$N$7,3,FALSE),"")</x:f>
        <x:v>lower</x:v>
      </x:c>
      <x:c r="G154" s="17" t="n">
        <x:f>IFERROR(LOOKUP(2,1/((Performance_Metrics!$A$2:$A$3000=$A154)*(Performance_Metrics!$D$2:$D$3000=$D154)),Performance_Metrics!$C$2:$C$3000),"")</x:f>
        <x:v>46230</x:v>
      </x:c>
      <x:c r="H154" s="12" t="n">
        <x:f>IFERROR(LOOKUP(2,1/((Performance_Metrics!$A$2:$A$3000=$A154)*(Performance_Metrics!$D$2:$D$3000=$D154)),Performance_Metrics!$G$2:$G$3000),"")</x:f>
        <x:v>4.36</x:v>
      </x:c>
      <x:c r="I154" s="12" t="n">
        <x:f>IFERROR(SUMIFS(Normative_Data!$G$2:$G$1000,Normative_Data!$A$2:$A$1000,$B154,Normative_Data!$B$2:$B$1000,$C154,Normative_Data!$E$2:$E$1000,$D154),"")</x:f>
        <x:v>4.63</x:v>
      </x:c>
      <x:c r="J154" s="18" t="n">
        <x:f>IF(OR($H154="",$I154=""),"",($H154-$I154)/$I154)</x:f>
        <x:v>-0.05831533477321805</x:v>
      </x:c>
      <x:c r="K154" s="12" t="str">
        <x:f>IF(OR($H154="",$I154="",$F154=""),"",IF(ABS($J154)&lt;=0.05,"Equal to Norm",IF($F154="lower",IF($H154&lt;$I154,"Above Norm","Below Norm"),IF($H154&gt;$I154,"Above Norm","Below Norm"))))</x:f>
        <x:v>Above Norm</x:v>
      </x:c>
      <x:c r="L154" s="12" t="str">
        <x:f>IFERROR(VLOOKUP($D154&amp;"|"&amp;$K154,Recommendation_Lookup!$A$2:$H$19,2,FALSE),"")</x:f>
        <x:v>Maintain change-of-direction performance</x:v>
      </x:c>
      <x:c r="M154" s="12" t="str">
        <x:f>IFERROR(VLOOKUP($D154&amp;"|"&amp;$K154,Recommendation_Lookup!$A$2:$H$19,3,FALSE),"")</x:f>
        <x:v>Reactive decision-making; braking tolerance; bilateral symmetry; movement variability</x:v>
      </x:c>
      <x:c r="N154" s="12" t="str">
        <x:f>IFERROR(VLOOKUP($D154&amp;"|"&amp;$K154,Recommendation_Lookup!$A$2:$H$19,4,FALSE),"")</x:f>
        <x:v>Maintain planned change-of-direction work and progress toward reactive agility. Use low-volume, high-quality exposures with multiple starting and turning strategies.</x:v>
      </x:c>
      <x:c r="O154" s="12" t="str">
        <x:f>IFERROR(VLOOKUP($D154&amp;"|"&amp;$K154,Recommendation_Lookup!$A$2:$H$19,5,FALSE),"")</x:f>
        <x:v>RVX Advanced Change of Direction</x:v>
      </x:c>
      <x:c r="P154" s="12" t="str">
        <x:f>IFERROR(VLOOKUP($D154&amp;"|"&amp;$K154,Recommendation_Lookup!$A$2:$H$19,6,FALSE),"")</x:f>
        <x:v>RVX Reactive Agility</x:v>
      </x:c>
      <x:c r="Q154" s="12" t="str">
        <x:f>IFERROR(VLOOKUP($D154&amp;"|"&amp;$K154,Recommendation_Lookup!$A$2:$H$19,7,FALSE),"")</x:f>
        <x:v>Brake under control, own the plant and accelerate out immediately.</x:v>
      </x:c>
      <x:c r="R154" s="12" t="str">
        <x:f>IFERROR(VLOOKUP($D154&amp;"|"&amp;$K154,Recommendation_Lookup!$A$2:$H$19,8,FALSE),"")</x:f>
        <x:v>Retest every 6–8 weeks with left and right trial review.</x:v>
      </x:c>
      <x:c r="S154" s="12"/>
      <x:c r="T154" s="12"/>
      <x:c r="U154" s="12"/>
      <x:c r="V154" s="12"/>
      <x:c r="W154" s="12" t="str">
        <x:f>IF($S154&lt;&gt;"",$S154,$K154)</x:f>
        <x:v>Above Norm</x:v>
      </x:c>
      <x:c r="X154" s="12" t="str">
        <x:f>IF($T154&lt;&gt;"",$T154,$L154)</x:f>
        <x:v>Maintain change-of-direction performance</x:v>
      </x:c>
      <x:c r="Y154" s="12" t="str">
        <x:f>IF($U154&lt;&gt;"",$U154,$N154)</x:f>
        <x:v>Maintain planned change-of-direction work and progress toward reactive agility. Use low-volume, high-quality exposures with multiple starting and turning strategies.</x:v>
      </x:c>
      <x:c r="Z154" s="12" t="str">
        <x:f>IF($V154&lt;&gt;"",$V154,$O154)</x:f>
        <x:v>RVX Advanced Change of Direction</x:v>
      </x:c>
      <x:c r="AA154" s="12"/>
    </x:row>
    <x:row r="155">
      <x:c r="A155" s="12" t="str">
        <x:v>RVX-00026</x:v>
      </x:c>
      <x:c r="B155" s="12" t="str">
        <x:f>IFERROR(VLOOKUP($A155,Athlete_Profile!$A$2:$L$51,6,FALSE),"")</x:f>
        <x:v>Hockey</x:v>
      </x:c>
      <x:c r="C155" s="12" t="str">
        <x:f>IFERROR(VLOOKUP($A155,Athlete_Profile!$A$2:$L$51,5,FALSE),"")</x:f>
        <x:v>Male</x:v>
      </x:c>
      <x:c r="D155" s="12" t="str">
        <x:v>cmj_depth</x:v>
      </x:c>
      <x:c r="E155" s="12" t="str">
        <x:f>IFERROR(VLOOKUP($D155,Dropdown_Lists!$K$2:$N$7,2,FALSE),"")</x:f>
        <x:v>Countermovement Depth</x:v>
      </x:c>
      <x:c r="F155" s="12" t="str">
        <x:f>IFERROR(VLOOKUP($D155,Dropdown_Lists!$K$2:$N$7,3,FALSE),"")</x:f>
        <x:v>higher</x:v>
      </x:c>
      <x:c r="G155" s="17" t="n">
        <x:f>IFERROR(LOOKUP(2,1/((Performance_Metrics!$A$2:$A$3000=$A155)*(Performance_Metrics!$D$2:$D$3000=$D155)),Performance_Metrics!$C$2:$C$3000),"")</x:f>
        <x:v>46230</x:v>
      </x:c>
      <x:c r="H155" s="12" t="n">
        <x:f>IFERROR(LOOKUP(2,1/((Performance_Metrics!$A$2:$A$3000=$A155)*(Performance_Metrics!$D$2:$D$3000=$D155)),Performance_Metrics!$G$2:$G$3000),"")</x:f>
        <x:v>35</x:v>
      </x:c>
      <x:c r="I155" s="12" t="n">
        <x:f>IFERROR(SUMIFS(Normative_Data!$G$2:$G$1000,Normative_Data!$A$2:$A$1000,$B155,Normative_Data!$B$2:$B$1000,$C155,Normative_Data!$E$2:$E$1000,$D155),"")</x:f>
        <x:v>33</x:v>
      </x:c>
      <x:c r="J155" s="18" t="n">
        <x:f>IF(OR($H155="",$I155=""),"",($H155-$I155)/$I155)</x:f>
        <x:v>0.06060606060606061</x:v>
      </x:c>
      <x:c r="K155" s="12" t="str">
        <x:f>IF(OR($H155="",$I155="",$F155=""),"",IF(ABS($J155)&lt;=0.05,"Equal to Norm",IF($F155="lower",IF($H155&lt;$I155,"Above Norm","Below Norm"),IF($H155&gt;$I155,"Above Norm","Below Norm"))))</x:f>
        <x:v>Above Norm</x:v>
      </x:c>
      <x:c r="L155" s="12" t="str">
        <x:f>IFERROR(VLOOKUP($D155&amp;"|"&amp;$K155,Recommendation_Lookup!$A$2:$H$19,2,FALSE),"")</x:f>
        <x:v>Maintain effective countermovement strategy</x:v>
      </x:c>
      <x:c r="M155" s="12" t="str">
        <x:f>IFERROR(VLOOKUP($D155&amp;"|"&amp;$K155,Recommendation_Lookup!$A$2:$H$19,3,FALSE),"")</x:f>
        <x:v>Movement efficiency; eccentric control; jump consistency; depth-to-output relationship</x:v>
      </x:c>
      <x:c r="N155" s="12" t="str">
        <x:f>IFERROR(VLOOKUP($D155&amp;"|"&amp;$K155,Recommendation_Lookup!$A$2:$H$19,4,FALSE),"")</x:f>
        <x:v>Maintain the athlete’s preferred countermovement strategy while ensuring the additional depth contributes to force and impulse rather than excessive movement time.</x:v>
      </x:c>
      <x:c r="O155" s="12" t="str">
        <x:f>IFERROR(VLOOKUP($D155&amp;"|"&amp;$K155,Recommendation_Lookup!$A$2:$H$19,5,FALSE),"")</x:f>
        <x:v>RVX Jump Performance Advanced</x:v>
      </x:c>
      <x:c r="P155" s="12" t="str">
        <x:f>IFERROR(VLOOKUP($D155&amp;"|"&amp;$K155,Recommendation_Lookup!$A$2:$H$19,6,FALSE),"")</x:f>
        <x:v>RVX Eccentric Strength Microdose</x:v>
      </x:c>
      <x:c r="Q155" s="12" t="str">
        <x:f>IFERROR(VLOOKUP($D155&amp;"|"&amp;$K155,Recommendation_Lookup!$A$2:$H$19,7,FALSE),"")</x:f>
        <x:v>Use the depth you can control, then reverse quickly and aggressively.</x:v>
      </x:c>
      <x:c r="R155" s="12" t="str">
        <x:f>IFERROR(VLOOKUP($D155&amp;"|"&amp;$K155,Recommendation_Lookup!$A$2:$H$19,8,FALSE),"")</x:f>
        <x:v>Retest every 6–8 weeks while monitoring jump height and contraction time.</x:v>
      </x:c>
      <x:c r="S155" s="12"/>
      <x:c r="T155" s="12"/>
      <x:c r="U155" s="12"/>
      <x:c r="V155" s="12"/>
      <x:c r="W155" s="12" t="str">
        <x:f>IF($S155&lt;&gt;"",$S155,$K155)</x:f>
        <x:v>Above Norm</x:v>
      </x:c>
      <x:c r="X155" s="12" t="str">
        <x:f>IF($T155&lt;&gt;"",$T155,$L155)</x:f>
        <x:v>Maintain effective countermovement strategy</x:v>
      </x:c>
      <x:c r="Y155" s="12" t="str">
        <x:f>IF($U155&lt;&gt;"",$U155,$N155)</x:f>
        <x:v>Maintain the athlete’s preferred countermovement strategy while ensuring the additional depth contributes to force and impulse rather than excessive movement time.</x:v>
      </x:c>
      <x:c r="Z155" s="12" t="str">
        <x:f>IF($V155&lt;&gt;"",$V155,$O155)</x:f>
        <x:v>RVX Jump Performance Advanced</x:v>
      </x:c>
      <x:c r="AA155" s="12"/>
    </x:row>
    <x:row r="156">
      <x:c r="A156" s="12" t="str">
        <x:v>RVX-00026</x:v>
      </x:c>
      <x:c r="B156" s="12" t="str">
        <x:f>IFERROR(VLOOKUP($A156,Athlete_Profile!$A$2:$L$51,6,FALSE),"")</x:f>
        <x:v>Hockey</x:v>
      </x:c>
      <x:c r="C156" s="12" t="str">
        <x:f>IFERROR(VLOOKUP($A156,Athlete_Profile!$A$2:$L$51,5,FALSE),"")</x:f>
        <x:v>Male</x:v>
      </x:c>
      <x:c r="D156" s="12" t="str">
        <x:v>peak_force</x:v>
      </x:c>
      <x:c r="E156" s="12" t="str">
        <x:f>IFERROR(VLOOKUP($D156,Dropdown_Lists!$K$2:$N$7,2,FALSE),"")</x:f>
        <x:v>Peak Force</x:v>
      </x:c>
      <x:c r="F156" s="12" t="str">
        <x:f>IFERROR(VLOOKUP($D156,Dropdown_Lists!$K$2:$N$7,3,FALSE),"")</x:f>
        <x:v>higher</x:v>
      </x:c>
      <x:c r="G156" s="17" t="n">
        <x:f>IFERROR(LOOKUP(2,1/((Performance_Metrics!$A$2:$A$3000=$A156)*(Performance_Metrics!$D$2:$D$3000=$D156)),Performance_Metrics!$C$2:$C$3000),"")</x:f>
        <x:v>46230</x:v>
      </x:c>
      <x:c r="H156" s="12" t="n">
        <x:f>IFERROR(LOOKUP(2,1/((Performance_Metrics!$A$2:$A$3000=$A156)*(Performance_Metrics!$D$2:$D$3000=$D156)),Performance_Metrics!$G$2:$G$3000),"")</x:f>
        <x:v>2013</x:v>
      </x:c>
      <x:c r="I156" s="12" t="n">
        <x:f>IFERROR(SUMIFS(Normative_Data!$G$2:$G$1000,Normative_Data!$A$2:$A$1000,$B156,Normative_Data!$B$2:$B$1000,$C156,Normative_Data!$E$2:$E$1000,$D156),"")</x:f>
        <x:v>1925</x:v>
      </x:c>
      <x:c r="J156" s="18" t="n">
        <x:f>IF(OR($H156="",$I156=""),"",($H156-$I156)/$I156)</x:f>
        <x:v>0.045714285714285714</x:v>
      </x:c>
      <x:c r="K156" s="12" t="str">
        <x:f>IF(OR($H156="",$I156="",$F156=""),"",IF(ABS($J156)&lt;=0.05,"Equal to Norm",IF($F156="lower",IF($H156&lt;$I156,"Above Norm","Below Norm"),IF($H156&gt;$I156,"Above Norm","Below Norm"))))</x:f>
        <x:v>Equal to Norm</x:v>
      </x:c>
      <x:c r="L156" s="12" t="str">
        <x:f>IFERROR(VLOOKUP($D156&amp;"|"&amp;$K156,Recommendation_Lookup!$A$2:$H$19,2,FALSE),"")</x:f>
        <x:v>Increase force capacity</x:v>
      </x:c>
      <x:c r="M156" s="12" t="str">
        <x:f>IFERROR(VLOOKUP($D156&amp;"|"&amp;$K156,Recommendation_Lookup!$A$2:$H$19,3,FALSE),"")</x:f>
        <x:v>Relative strength; bracing; lower-body strength; isometric force</x:v>
      </x:c>
      <x:c r="N156" s="12" t="str">
        <x:f>IFERROR(VLOOKUP($D156&amp;"|"&amp;$K156,Recommendation_Lookup!$A$2:$H$19,4,FALSE),"")</x:f>
        <x:v>Use progressive lower-body strength training with compound lifts, isometrics and unilateral work. Maintain technical quality and appropriate loading progression.</x:v>
      </x:c>
      <x:c r="O156" s="12" t="str">
        <x:f>IFERROR(VLOOKUP($D156&amp;"|"&amp;$K156,Recommendation_Lookup!$A$2:$H$19,5,FALSE),"")</x:f>
        <x:v>RVX Strength Development</x:v>
      </x:c>
      <x:c r="P156" s="12" t="str">
        <x:f>IFERROR(VLOOKUP($D156&amp;"|"&amp;$K156,Recommendation_Lookup!$A$2:$H$19,6,FALSE),"")</x:f>
        <x:v>RVX Isometric Force Builder</x:v>
      </x:c>
      <x:c r="Q156" s="12" t="str">
        <x:f>IFERROR(VLOOKUP($D156&amp;"|"&amp;$K156,Recommendation_Lookup!$A$2:$H$19,7,FALSE),"")</x:f>
        <x:v>Create full-body tension and push through the floor with intent.</x:v>
      </x:c>
      <x:c r="R156" s="12" t="str">
        <x:f>IFERROR(VLOOKUP($D156&amp;"|"&amp;$K156,Recommendation_Lookup!$A$2:$H$19,8,FALSE),"")</x:f>
        <x:v>Retest after 4–6 weeks.</x:v>
      </x:c>
      <x:c r="S156" s="12"/>
      <x:c r="T156" s="12"/>
      <x:c r="U156" s="12"/>
      <x:c r="V156" s="12"/>
      <x:c r="W156" s="12" t="str">
        <x:f>IF($S156&lt;&gt;"",$S156,$K156)</x:f>
        <x:v>Equal to Norm</x:v>
      </x:c>
      <x:c r="X156" s="12" t="str">
        <x:f>IF($T156&lt;&gt;"",$T156,$L156)</x:f>
        <x:v>Increase force capacity</x:v>
      </x:c>
      <x:c r="Y156" s="12" t="str">
        <x:f>IF($U156&lt;&gt;"",$U156,$N156)</x:f>
        <x:v>Use progressive lower-body strength training with compound lifts, isometrics and unilateral work. Maintain technical quality and appropriate loading progression.</x:v>
      </x:c>
      <x:c r="Z156" s="12" t="str">
        <x:f>IF($V156&lt;&gt;"",$V156,$O156)</x:f>
        <x:v>RVX Strength Development</x:v>
      </x:c>
      <x:c r="AA156" s="12"/>
    </x:row>
    <x:row r="157">
      <x:c r="A157" s="12" t="str">
        <x:v>RVX-00026</x:v>
      </x:c>
      <x:c r="B157" s="12" t="str">
        <x:f>IFERROR(VLOOKUP($A157,Athlete_Profile!$A$2:$L$51,6,FALSE),"")</x:f>
        <x:v>Hockey</x:v>
      </x:c>
      <x:c r="C157" s="12" t="str">
        <x:f>IFERROR(VLOOKUP($A157,Athlete_Profile!$A$2:$L$51,5,FALSE),"")</x:f>
        <x:v>Male</x:v>
      </x:c>
      <x:c r="D157" s="12" t="str">
        <x:v>impulse</x:v>
      </x:c>
      <x:c r="E157" s="12" t="str">
        <x:f>IFERROR(VLOOKUP($D157,Dropdown_Lists!$K$2:$N$7,2,FALSE),"")</x:f>
        <x:v>Impulse-Momentum</x:v>
      </x:c>
      <x:c r="F157" s="12" t="str">
        <x:f>IFERROR(VLOOKUP($D157,Dropdown_Lists!$K$2:$N$7,3,FALSE),"")</x:f>
        <x:v>higher</x:v>
      </x:c>
      <x:c r="G157" s="17" t="n">
        <x:f>IFERROR(LOOKUP(2,1/((Performance_Metrics!$A$2:$A$3000=$A157)*(Performance_Metrics!$D$2:$D$3000=$D157)),Performance_Metrics!$C$2:$C$3000),"")</x:f>
        <x:v>46230</x:v>
      </x:c>
      <x:c r="H157" s="12" t="n">
        <x:f>IFERROR(LOOKUP(2,1/((Performance_Metrics!$A$2:$A$3000=$A157)*(Performance_Metrics!$D$2:$D$3000=$D157)),Performance_Metrics!$G$2:$G$3000),"")</x:f>
        <x:v>254</x:v>
      </x:c>
      <x:c r="I157" s="12" t="n">
        <x:f>IFERROR(SUMIFS(Normative_Data!$G$2:$G$1000,Normative_Data!$A$2:$A$1000,$B157,Normative_Data!$B$2:$B$1000,$C157,Normative_Data!$E$2:$E$1000,$D157),"")</x:f>
        <x:v>236.5</x:v>
      </x:c>
      <x:c r="J157" s="18" t="n">
        <x:f>IF(OR($H157="",$I157=""),"",($H157-$I157)/$I157)</x:f>
        <x:v>0.07399577167019028</x:v>
      </x:c>
      <x:c r="K157" s="12" t="str">
        <x:f>IF(OR($H157="",$I157="",$F157=""),"",IF(ABS($J157)&lt;=0.05,"Equal to Norm",IF($F157="lower",IF($H157&lt;$I157,"Above Norm","Below Norm"),IF($H157&gt;$I157,"Above Norm","Below Norm"))))</x:f>
        <x:v>Above Norm</x:v>
      </x:c>
      <x:c r="L157" s="12" t="str">
        <x:f>IFERROR(VLOOKUP($D157&amp;"|"&amp;$K157,Recommendation_Lookup!$A$2:$H$19,2,FALSE),"")</x:f>
        <x:v>Maintain total force-time output</x:v>
      </x:c>
      <x:c r="M157" s="12" t="str">
        <x:f>IFERROR(VLOOKUP($D157&amp;"|"&amp;$K157,Recommendation_Lookup!$A$2:$H$19,3,FALSE),"")</x:f>
        <x:v>Rate of force development; movement time; power transfer; fatigue resistance</x:v>
      </x:c>
      <x:c r="N157" s="12" t="str">
        <x:f>IFERROR(VLOOKUP($D157&amp;"|"&amp;$K157,Recommendation_Lookup!$A$2:$H$19,4,FALSE),"")</x:f>
        <x:v>Maintain impulse with strength-power microdosing and varied jump or sprint exposures. Ensure high impulse is achieved efficiently rather than through excessive movement time.</x:v>
      </x:c>
      <x:c r="O157" s="12" t="str">
        <x:f>IFERROR(VLOOKUP($D157&amp;"|"&amp;$K157,Recommendation_Lookup!$A$2:$H$19,5,FALSE),"")</x:f>
        <x:v>RVX Advanced Power Development</x:v>
      </x:c>
      <x:c r="P157" s="12" t="str">
        <x:f>IFERROR(VLOOKUP($D157&amp;"|"&amp;$K157,Recommendation_Lookup!$A$2:$H$19,6,FALSE),"")</x:f>
        <x:v>RVX Elastic Power Microdose</x:v>
      </x:c>
      <x:c r="Q157" s="12" t="str">
        <x:f>IFERROR(VLOOKUP($D157&amp;"|"&amp;$K157,Recommendation_Lookup!$A$2:$H$19,7,FALSE),"")</x:f>
        <x:v>Build force quickly and keep applying it through the full movement.</x:v>
      </x:c>
      <x:c r="R157" s="12" t="str">
        <x:f>IFERROR(VLOOKUP($D157&amp;"|"&amp;$K157,Recommendation_Lookup!$A$2:$H$19,8,FALSE),"")</x:f>
        <x:v>Retest every 6–8 weeks while reviewing contraction time and jump outcome.</x:v>
      </x:c>
      <x:c r="S157" s="12"/>
      <x:c r="T157" s="12"/>
      <x:c r="U157" s="12"/>
      <x:c r="V157" s="12"/>
      <x:c r="W157" s="12" t="str">
        <x:f>IF($S157&lt;&gt;"",$S157,$K157)</x:f>
        <x:v>Above Norm</x:v>
      </x:c>
      <x:c r="X157" s="12" t="str">
        <x:f>IF($T157&lt;&gt;"",$T157,$L157)</x:f>
        <x:v>Maintain total force-time output</x:v>
      </x:c>
      <x:c r="Y157" s="12" t="str">
        <x:f>IF($U157&lt;&gt;"",$U157,$N157)</x:f>
        <x:v>Maintain impulse with strength-power microdosing and varied jump or sprint exposures. Ensure high impulse is achieved efficiently rather than through excessive movement time.</x:v>
      </x:c>
      <x:c r="Z157" s="12" t="str">
        <x:f>IF($V157&lt;&gt;"",$V157,$O157)</x:f>
        <x:v>RVX Advanced Power Development</x:v>
      </x:c>
      <x:c r="AA157" s="12"/>
    </x:row>
    <x:row r="158">
      <x:c r="A158" s="12" t="str">
        <x:v>RVX-00027</x:v>
      </x:c>
      <x:c r="B158" s="12" t="str">
        <x:f>IFERROR(VLOOKUP($A158,Athlete_Profile!$A$2:$L$51,6,FALSE),"")</x:f>
        <x:v>Hockey</x:v>
      </x:c>
      <x:c r="C158" s="12" t="str">
        <x:f>IFERROR(VLOOKUP($A158,Athlete_Profile!$A$2:$L$51,5,FALSE),"")</x:f>
        <x:v>Female</x:v>
      </x:c>
      <x:c r="D158" s="12" t="str">
        <x:v>sprint_5m</x:v>
      </x:c>
      <x:c r="E158" s="12" t="str">
        <x:f>IFERROR(VLOOKUP($D158,Dropdown_Lists!$K$2:$N$7,2,FALSE),"")</x:f>
        <x:v>5m Sprint</x:v>
      </x:c>
      <x:c r="F158" s="12" t="str">
        <x:f>IFERROR(VLOOKUP($D158,Dropdown_Lists!$K$2:$N$7,3,FALSE),"")</x:f>
        <x:v>lower</x:v>
      </x:c>
      <x:c r="G158" s="17" t="n">
        <x:f>IFERROR(LOOKUP(2,1/((Performance_Metrics!$A$2:$A$3000=$A158)*(Performance_Metrics!$D$2:$D$3000=$D158)),Performance_Metrics!$C$2:$C$3000),"")</x:f>
        <x:v>46230</x:v>
      </x:c>
      <x:c r="H158" s="12" t="n">
        <x:f>IFERROR(LOOKUP(2,1/((Performance_Metrics!$A$2:$A$3000=$A158)*(Performance_Metrics!$D$2:$D$3000=$D158)),Performance_Metrics!$G$2:$G$3000),"")</x:f>
        <x:v>1.2</x:v>
      </x:c>
      <x:c r="I158" s="12" t="n">
        <x:f>IFERROR(SUMIFS(Normative_Data!$G$2:$G$1000,Normative_Data!$A$2:$A$1000,$B158,Normative_Data!$B$2:$B$1000,$C158,Normative_Data!$E$2:$E$1000,$D158),"")</x:f>
        <x:v>1.12</x:v>
      </x:c>
      <x:c r="J158" s="18" t="n">
        <x:f>IF(OR($H158="",$I158=""),"",($H158-$I158)/$I158)</x:f>
        <x:v>0.07142857142857129</x:v>
      </x:c>
      <x:c r="K158" s="12" t="str">
        <x:f>IF(OR($H158="",$I158="",$F158=""),"",IF(ABS($J158)&lt;=0.05,"Equal to Norm",IF($F158="lower",IF($H158&lt;$I158,"Above Norm","Below Norm"),IF($H158&gt;$I158,"Above Norm","Below Norm"))))</x:f>
        <x:v>Below Norm</x:v>
      </x:c>
      <x:c r="L158" s="12" t="str">
        <x:f>IFERROR(VLOOKUP($D158&amp;"|"&amp;$K158,Recommendation_Lookup!$A$2:$H$19,2,FALSE),"")</x:f>
        <x:v>Develop first-step acceleration</x:v>
      </x:c>
      <x:c r="M158" s="12" t="str">
        <x:f>IFERROR(VLOOKUP($D158&amp;"|"&amp;$K158,Recommendation_Lookup!$A$2:$H$19,3,FALSE),"")</x:f>
        <x:v>Relative strength; horizontal force; start mechanics; stiffness; coordination</x:v>
      </x:c>
      <x:c r="N158" s="12" t="str">
        <x:f>IFERROR(VLOOKUP($D158&amp;"|"&amp;$K158,Recommendation_Lookup!$A$2:$H$19,4,FALSE),"")</x:f>
        <x:v>Prioritize acceleration fundamentals and lower-body force capacity. Use resisted marches, wall drills, short sled accelerations and controlled 5 m sprint exposures.</x:v>
      </x:c>
      <x:c r="O158" s="12" t="str">
        <x:f>IFERROR(VLOOKUP($D158&amp;"|"&amp;$K158,Recommendation_Lookup!$A$2:$H$19,5,FALSE),"")</x:f>
        <x:v>RVX Acceleration Foundations</x:v>
      </x:c>
      <x:c r="P158" s="12" t="str">
        <x:f>IFERROR(VLOOKUP($D158&amp;"|"&amp;$K158,Recommendation_Lookup!$A$2:$H$19,6,FALSE),"")</x:f>
        <x:v>RVX Lower-Body Strength Foundations</x:v>
      </x:c>
      <x:c r="Q158" s="12" t="str">
        <x:f>IFERROR(VLOOKUP($D158&amp;"|"&amp;$K158,Recommendation_Lookup!$A$2:$H$19,7,FALSE),"")</x:f>
        <x:v>Create a strong angle, drive through the ground, and accelerate with intent.</x:v>
      </x:c>
      <x:c r="R158" s="12" t="str">
        <x:f>IFERROR(VLOOKUP($D158&amp;"|"&amp;$K158,Recommendation_Lookup!$A$2:$H$19,8,FALSE),"")</x:f>
        <x:v>Retest after 4 weeks; review technique video before increasing sprint volume.</x:v>
      </x:c>
      <x:c r="S158" s="12"/>
      <x:c r="T158" s="12"/>
      <x:c r="U158" s="12"/>
      <x:c r="V158" s="12"/>
      <x:c r="W158" s="12" t="str">
        <x:f>IF($S158&lt;&gt;"",$S158,$K158)</x:f>
        <x:v>Below Norm</x:v>
      </x:c>
      <x:c r="X158" s="12" t="str">
        <x:f>IF($T158&lt;&gt;"",$T158,$L158)</x:f>
        <x:v>Develop first-step acceleration</x:v>
      </x:c>
      <x:c r="Y158" s="12" t="str">
        <x:f>IF($U158&lt;&gt;"",$U158,$N158)</x:f>
        <x:v>Prioritize acceleration fundamentals and lower-body force capacity. Use resisted marches, wall drills, short sled accelerations and controlled 5 m sprint exposures.</x:v>
      </x:c>
      <x:c r="Z158" s="12" t="str">
        <x:f>IF($V158&lt;&gt;"",$V158,$O158)</x:f>
        <x:v>RVX Acceleration Foundations</x:v>
      </x:c>
      <x:c r="AA158" s="12"/>
    </x:row>
    <x:row r="159">
      <x:c r="A159" s="12" t="str">
        <x:v>RVX-00027</x:v>
      </x:c>
      <x:c r="B159" s="12" t="str">
        <x:f>IFERROR(VLOOKUP($A159,Athlete_Profile!$A$2:$L$51,6,FALSE),"")</x:f>
        <x:v>Hockey</x:v>
      </x:c>
      <x:c r="C159" s="12" t="str">
        <x:f>IFERROR(VLOOKUP($A159,Athlete_Profile!$A$2:$L$51,5,FALSE),"")</x:f>
        <x:v>Female</x:v>
      </x:c>
      <x:c r="D159" s="12" t="str">
        <x:v>sprint_10m</x:v>
      </x:c>
      <x:c r="E159" s="12" t="str">
        <x:f>IFERROR(VLOOKUP($D159,Dropdown_Lists!$K$2:$N$7,2,FALSE),"")</x:f>
        <x:v>10m Sprint</x:v>
      </x:c>
      <x:c r="F159" s="12" t="str">
        <x:f>IFERROR(VLOOKUP($D159,Dropdown_Lists!$K$2:$N$7,3,FALSE),"")</x:f>
        <x:v>lower</x:v>
      </x:c>
      <x:c r="G159" s="17" t="n">
        <x:f>IFERROR(LOOKUP(2,1/((Performance_Metrics!$A$2:$A$3000=$A159)*(Performance_Metrics!$D$2:$D$3000=$D159)),Performance_Metrics!$C$2:$C$3000),"")</x:f>
        <x:v>46230</x:v>
      </x:c>
      <x:c r="H159" s="12" t="n">
        <x:f>IFERROR(LOOKUP(2,1/((Performance_Metrics!$A$2:$A$3000=$A159)*(Performance_Metrics!$D$2:$D$3000=$D159)),Performance_Metrics!$G$2:$G$3000),"")</x:f>
        <x:v>2.01</x:v>
      </x:c>
      <x:c r="I159" s="12" t="n">
        <x:f>IFERROR(SUMIFS(Normative_Data!$G$2:$G$1000,Normative_Data!$A$2:$A$1000,$B159,Normative_Data!$B$2:$B$1000,$C159,Normative_Data!$E$2:$E$1000,$D159),"")</x:f>
        <x:v>1.88</x:v>
      </x:c>
      <x:c r="J159" s="18" t="n">
        <x:f>IF(OR($H159="",$I159=""),"",($H159-$I159)/$I159)</x:f>
        <x:v>0.06914893617021271</x:v>
      </x:c>
      <x:c r="K159" s="12" t="str">
        <x:f>IF(OR($H159="",$I159="",$F159=""),"",IF(ABS($J159)&lt;=0.05,"Equal to Norm",IF($F159="lower",IF($H159&lt;$I159,"Above Norm","Below Norm"),IF($H159&gt;$I159,"Above Norm","Below Norm"))))</x:f>
        <x:v>Below Norm</x:v>
      </x:c>
      <x:c r="L159" s="12" t="str">
        <x:f>IFERROR(VLOOKUP($D159&amp;"|"&amp;$K159,Recommendation_Lookup!$A$2:$H$19,2,FALSE),"")</x:f>
        <x:v>Develop 0–10 m speed</x:v>
      </x:c>
      <x:c r="M159" s="12" t="str">
        <x:f>IFERROR(VLOOKUP($D159&amp;"|"&amp;$K159,Recommendation_Lookup!$A$2:$H$19,3,FALSE),"")</x:f>
        <x:v>Relative strength; first-step mechanics; force application; acceleration endurance</x:v>
      </x:c>
      <x:c r="N159" s="12" t="str">
        <x:f>IFERROR(VLOOKUP($D159&amp;"|"&amp;$K159,Recommendation_Lookup!$A$2:$H$19,4,FALSE),"")</x:f>
        <x:v>Use a foundational acceleration block paired with strength development. Limit sprint distances initially and improve the quality of each step before adding volume.</x:v>
      </x:c>
      <x:c r="O159" s="12" t="str">
        <x:f>IFERROR(VLOOKUP($D159&amp;"|"&amp;$K159,Recommendation_Lookup!$A$2:$H$19,5,FALSE),"")</x:f>
        <x:v>RVX Acceleration Foundations</x:v>
      </x:c>
      <x:c r="P159" s="12" t="str">
        <x:f>IFERROR(VLOOKUP($D159&amp;"|"&amp;$K159,Recommendation_Lookup!$A$2:$H$19,6,FALSE),"")</x:f>
        <x:v>RVX Relative Strength Builder</x:v>
      </x:c>
      <x:c r="Q159" s="12" t="str">
        <x:f>IFERROR(VLOOKUP($D159&amp;"|"&amp;$K159,Recommendation_Lookup!$A$2:$H$19,7,FALSE),"")</x:f>
        <x:v>Push longer, maintain posture and create force in the correct direction.</x:v>
      </x:c>
      <x:c r="R159" s="12" t="str">
        <x:f>IFERROR(VLOOKUP($D159&amp;"|"&amp;$K159,Recommendation_Lookup!$A$2:$H$19,8,FALSE),"")</x:f>
        <x:v>Retest in 4 weeks and compare 5 m versus 10 m split changes.</x:v>
      </x:c>
      <x:c r="S159" s="12"/>
      <x:c r="T159" s="12"/>
      <x:c r="U159" s="12"/>
      <x:c r="V159" s="12"/>
      <x:c r="W159" s="12" t="str">
        <x:f>IF($S159&lt;&gt;"",$S159,$K159)</x:f>
        <x:v>Below Norm</x:v>
      </x:c>
      <x:c r="X159" s="12" t="str">
        <x:f>IF($T159&lt;&gt;"",$T159,$L159)</x:f>
        <x:v>Develop 0–10 m speed</x:v>
      </x:c>
      <x:c r="Y159" s="12" t="str">
        <x:f>IF($U159&lt;&gt;"",$U159,$N159)</x:f>
        <x:v>Use a foundational acceleration block paired with strength development. Limit sprint distances initially and improve the quality of each step before adding volume.</x:v>
      </x:c>
      <x:c r="Z159" s="12" t="str">
        <x:f>IF($V159&lt;&gt;"",$V159,$O159)</x:f>
        <x:v>RVX Acceleration Foundations</x:v>
      </x:c>
      <x:c r="AA159" s="12"/>
    </x:row>
    <x:row r="160">
      <x:c r="A160" s="12" t="str">
        <x:v>RVX-00027</x:v>
      </x:c>
      <x:c r="B160" s="12" t="str">
        <x:f>IFERROR(VLOOKUP($A160,Athlete_Profile!$A$2:$L$51,6,FALSE),"")</x:f>
        <x:v>Hockey</x:v>
      </x:c>
      <x:c r="C160" s="12" t="str">
        <x:f>IFERROR(VLOOKUP($A160,Athlete_Profile!$A$2:$L$51,5,FALSE),"")</x:f>
        <x:v>Female</x:v>
      </x:c>
      <x:c r="D160" s="12" t="str">
        <x:v>pro_agility</x:v>
      </x:c>
      <x:c r="E160" s="12" t="str">
        <x:f>IFERROR(VLOOKUP($D160,Dropdown_Lists!$K$2:$N$7,2,FALSE),"")</x:f>
        <x:v>5-10-5 Pro Agility</x:v>
      </x:c>
      <x:c r="F160" s="12" t="str">
        <x:f>IFERROR(VLOOKUP($D160,Dropdown_Lists!$K$2:$N$7,3,FALSE),"")</x:f>
        <x:v>lower</x:v>
      </x:c>
      <x:c r="G160" s="17" t="n">
        <x:f>IFERROR(LOOKUP(2,1/((Performance_Metrics!$A$2:$A$3000=$A160)*(Performance_Metrics!$D$2:$D$3000=$D160)),Performance_Metrics!$C$2:$C$3000),"")</x:f>
        <x:v>46230</x:v>
      </x:c>
      <x:c r="H160" s="12" t="n">
        <x:f>IFERROR(LOOKUP(2,1/((Performance_Metrics!$A$2:$A$3000=$A160)*(Performance_Metrics!$D$2:$D$3000=$D160)),Performance_Metrics!$G$2:$G$3000),"")</x:f>
        <x:v>5.06</x:v>
      </x:c>
      <x:c r="I160" s="12" t="n">
        <x:f>IFERROR(SUMIFS(Normative_Data!$G$2:$G$1000,Normative_Data!$A$2:$A$1000,$B160,Normative_Data!$B$2:$B$1000,$C160,Normative_Data!$E$2:$E$1000,$D160),"")</x:f>
        <x:v>4.82</x:v>
      </x:c>
      <x:c r="J160" s="18" t="n">
        <x:f>IF(OR($H160="",$I160=""),"",($H160-$I160)/$I160)</x:f>
        <x:v>0.04979253112033181</x:v>
      </x:c>
      <x:c r="K160" s="12" t="str">
        <x:f>IF(OR($H160="",$I160="",$F160=""),"",IF(ABS($J160)&lt;=0.05,"Equal to Norm",IF($F160="lower",IF($H160&lt;$I160,"Above Norm","Below Norm"),IF($H160&gt;$I160,"Above Norm","Below Norm"))))</x:f>
        <x:v>Equal to Norm</x:v>
      </x:c>
      <x:c r="L160" s="12" t="str">
        <x:f>IFERROR(VLOOKUP($D160&amp;"|"&amp;$K160,Recommendation_Lookup!$A$2:$H$19,2,FALSE),"")</x:f>
        <x:v>Improve braking and re-acceleration</x:v>
      </x:c>
      <x:c r="M160" s="12" t="str">
        <x:f>IFERROR(VLOOKUP($D160&amp;"|"&amp;$K160,Recommendation_Lookup!$A$2:$H$19,3,FALSE),"")</x:f>
        <x:v>Deceleration mechanics; foot placement; hip position; crossover efficiency</x:v>
      </x:c>
      <x:c r="N160" s="12" t="str">
        <x:f>IFERROR(VLOOKUP($D160&amp;"|"&amp;$K160,Recommendation_Lookup!$A$2:$H$19,4,FALSE),"")</x:f>
        <x:v>Use a structured change-of-direction block emphasizing braking positions, plant-foot control and efficient re-acceleration on both sides.</x:v>
      </x:c>
      <x:c r="O160" s="12" t="str">
        <x:f>IFERROR(VLOOKUP($D160&amp;"|"&amp;$K160,Recommendation_Lookup!$A$2:$H$19,5,FALSE),"")</x:f>
        <x:v>RVX Change of Direction Development</x:v>
      </x:c>
      <x:c r="P160" s="12" t="str">
        <x:f>IFERROR(VLOOKUP($D160&amp;"|"&amp;$K160,Recommendation_Lookup!$A$2:$H$19,6,FALSE),"")</x:f>
        <x:v>RVX Deceleration Mechanics</x:v>
      </x:c>
      <x:c r="Q160" s="12" t="str">
        <x:f>IFERROR(VLOOKUP($D160&amp;"|"&amp;$K160,Recommendation_Lookup!$A$2:$H$19,7,FALSE),"")</x:f>
        <x:v>Lower the centre of mass before the turn and push away from the plant.</x:v>
      </x:c>
      <x:c r="R160" s="12" t="str">
        <x:f>IFERROR(VLOOKUP($D160&amp;"|"&amp;$K160,Recommendation_Lookup!$A$2:$H$19,8,FALSE),"")</x:f>
        <x:v>Retest after 4–6 weeks and review directional splits if available.</x:v>
      </x:c>
      <x:c r="S160" s="12"/>
      <x:c r="T160" s="12"/>
      <x:c r="U160" s="12"/>
      <x:c r="V160" s="12"/>
      <x:c r="W160" s="12" t="str">
        <x:f>IF($S160&lt;&gt;"",$S160,$K160)</x:f>
        <x:v>Equal to Norm</x:v>
      </x:c>
      <x:c r="X160" s="12" t="str">
        <x:f>IF($T160&lt;&gt;"",$T160,$L160)</x:f>
        <x:v>Improve braking and re-acceleration</x:v>
      </x:c>
      <x:c r="Y160" s="12" t="str">
        <x:f>IF($U160&lt;&gt;"",$U160,$N160)</x:f>
        <x:v>Use a structured change-of-direction block emphasizing braking positions, plant-foot control and efficient re-acceleration on both sides.</x:v>
      </x:c>
      <x:c r="Z160" s="12" t="str">
        <x:f>IF($V160&lt;&gt;"",$V160,$O160)</x:f>
        <x:v>RVX Change of Direction Development</x:v>
      </x:c>
      <x:c r="AA160" s="12"/>
    </x:row>
    <x:row r="161">
      <x:c r="A161" s="12" t="str">
        <x:v>RVX-00027</x:v>
      </x:c>
      <x:c r="B161" s="12" t="str">
        <x:f>IFERROR(VLOOKUP($A161,Athlete_Profile!$A$2:$L$51,6,FALSE),"")</x:f>
        <x:v>Hockey</x:v>
      </x:c>
      <x:c r="C161" s="12" t="str">
        <x:f>IFERROR(VLOOKUP($A161,Athlete_Profile!$A$2:$L$51,5,FALSE),"")</x:f>
        <x:v>Female</x:v>
      </x:c>
      <x:c r="D161" s="12" t="str">
        <x:v>cmj_depth</x:v>
      </x:c>
      <x:c r="E161" s="12" t="str">
        <x:f>IFERROR(VLOOKUP($D161,Dropdown_Lists!$K$2:$N$7,2,FALSE),"")</x:f>
        <x:v>Countermovement Depth</x:v>
      </x:c>
      <x:c r="F161" s="12" t="str">
        <x:f>IFERROR(VLOOKUP($D161,Dropdown_Lists!$K$2:$N$7,3,FALSE),"")</x:f>
        <x:v>higher</x:v>
      </x:c>
      <x:c r="G161" s="17" t="n">
        <x:f>IFERROR(LOOKUP(2,1/((Performance_Metrics!$A$2:$A$3000=$A161)*(Performance_Metrics!$D$2:$D$3000=$D161)),Performance_Metrics!$C$2:$C$3000),"")</x:f>
        <x:v>46230</x:v>
      </x:c>
      <x:c r="H161" s="12" t="n">
        <x:f>IFERROR(LOOKUP(2,1/((Performance_Metrics!$A$2:$A$3000=$A161)*(Performance_Metrics!$D$2:$D$3000=$D161)),Performance_Metrics!$G$2:$G$3000),"")</x:f>
        <x:v>28.2</x:v>
      </x:c>
      <x:c r="I161" s="12" t="n">
        <x:f>IFERROR(SUMIFS(Normative_Data!$G$2:$G$1000,Normative_Data!$A$2:$A$1000,$B161,Normative_Data!$B$2:$B$1000,$C161,Normative_Data!$E$2:$E$1000,$D161),"")</x:f>
        <x:v>30</x:v>
      </x:c>
      <x:c r="J161" s="18" t="n">
        <x:f>IF(OR($H161="",$I161=""),"",($H161-$I161)/$I161)</x:f>
        <x:v>-0.060000000000000026</x:v>
      </x:c>
      <x:c r="K161" s="12" t="str">
        <x:f>IF(OR($H161="",$I161="",$F161=""),"",IF(ABS($J161)&lt;=0.05,"Equal to Norm",IF($F161="lower",IF($H161&lt;$I161,"Above Norm","Below Norm"),IF($H161&gt;$I161,"Above Norm","Below Norm"))))</x:f>
        <x:v>Below Norm</x:v>
      </x:c>
      <x:c r="L161" s="12" t="str">
        <x:f>IFERROR(VLOOKUP($D161&amp;"|"&amp;$K161,Recommendation_Lookup!$A$2:$H$19,2,FALSE),"")</x:f>
        <x:v>Develop usable countermovement range</x:v>
      </x:c>
      <x:c r="M161" s="12" t="str">
        <x:f>IFERROR(VLOOKUP($D161&amp;"|"&amp;$K161,Recommendation_Lookup!$A$2:$H$19,3,FALSE),"")</x:f>
        <x:v>Ankle mobility; hip mobility; eccentric strength; confidence; coordination</x:v>
      </x:c>
      <x:c r="N161" s="12" t="str">
        <x:f>IFERROR(VLOOKUP($D161&amp;"|"&amp;$K161,Recommendation_Lookup!$A$2:$H$19,4,FALSE),"")</x:f>
        <x:v>Improve controlled eccentric range and movement confidence. Use tempo squats, snap-downs and progressive countermovement jump practice without forcing artificial depth.</x:v>
      </x:c>
      <x:c r="O161" s="12" t="str">
        <x:f>IFERROR(VLOOKUP($D161&amp;"|"&amp;$K161,Recommendation_Lookup!$A$2:$H$19,5,FALSE),"")</x:f>
        <x:v>RVX Jump Foundations</x:v>
      </x:c>
      <x:c r="P161" s="12" t="str">
        <x:f>IFERROR(VLOOKUP($D161&amp;"|"&amp;$K161,Recommendation_Lookup!$A$2:$H$19,6,FALSE),"")</x:f>
        <x:v>RVX Mobility and Eccentric Control</x:v>
      </x:c>
      <x:c r="Q161" s="12" t="str">
        <x:f>IFERROR(VLOOKUP($D161&amp;"|"&amp;$K161,Recommendation_Lookup!$A$2:$H$19,7,FALSE),"")</x:f>
        <x:v>Create controlled depth first; speed up the reversal only when position is stable.</x:v>
      </x:c>
      <x:c r="R161" s="12" t="str">
        <x:f>IFERROR(VLOOKUP($D161&amp;"|"&amp;$K161,Recommendation_Lookup!$A$2:$H$19,8,FALSE),"")</x:f>
        <x:v>Retest after 4 weeks; confirm low depth is not an athlete-specific efficient strategy.</x:v>
      </x:c>
      <x:c r="S161" s="12"/>
      <x:c r="T161" s="12"/>
      <x:c r="U161" s="12"/>
      <x:c r="V161" s="12"/>
      <x:c r="W161" s="12" t="str">
        <x:f>IF($S161&lt;&gt;"",$S161,$K161)</x:f>
        <x:v>Below Norm</x:v>
      </x:c>
      <x:c r="X161" s="12" t="str">
        <x:f>IF($T161&lt;&gt;"",$T161,$L161)</x:f>
        <x:v>Develop usable countermovement range</x:v>
      </x:c>
      <x:c r="Y161" s="12" t="str">
        <x:f>IF($U161&lt;&gt;"",$U161,$N161)</x:f>
        <x:v>Improve controlled eccentric range and movement confidence. Use tempo squats, snap-downs and progressive countermovement jump practice without forcing artificial depth.</x:v>
      </x:c>
      <x:c r="Z161" s="12" t="str">
        <x:f>IF($V161&lt;&gt;"",$V161,$O161)</x:f>
        <x:v>RVX Jump Foundations</x:v>
      </x:c>
      <x:c r="AA161" s="12"/>
    </x:row>
    <x:row r="162">
      <x:c r="A162" s="12" t="str">
        <x:v>RVX-00027</x:v>
      </x:c>
      <x:c r="B162" s="12" t="str">
        <x:f>IFERROR(VLOOKUP($A162,Athlete_Profile!$A$2:$L$51,6,FALSE),"")</x:f>
        <x:v>Hockey</x:v>
      </x:c>
      <x:c r="C162" s="12" t="str">
        <x:f>IFERROR(VLOOKUP($A162,Athlete_Profile!$A$2:$L$51,5,FALSE),"")</x:f>
        <x:v>Female</x:v>
      </x:c>
      <x:c r="D162" s="12" t="str">
        <x:v>peak_force</x:v>
      </x:c>
      <x:c r="E162" s="12" t="str">
        <x:f>IFERROR(VLOOKUP($D162,Dropdown_Lists!$K$2:$N$7,2,FALSE),"")</x:f>
        <x:v>Peak Force</x:v>
      </x:c>
      <x:c r="F162" s="12" t="str">
        <x:f>IFERROR(VLOOKUP($D162,Dropdown_Lists!$K$2:$N$7,3,FALSE),"")</x:f>
        <x:v>higher</x:v>
      </x:c>
      <x:c r="G162" s="17" t="n">
        <x:f>IFERROR(LOOKUP(2,1/((Performance_Metrics!$A$2:$A$3000=$A162)*(Performance_Metrics!$D$2:$D$3000=$D162)),Performance_Metrics!$C$2:$C$3000),"")</x:f>
        <x:v>46230</x:v>
      </x:c>
      <x:c r="H162" s="12" t="n">
        <x:f>IFERROR(LOOKUP(2,1/((Performance_Metrics!$A$2:$A$3000=$A162)*(Performance_Metrics!$D$2:$D$3000=$D162)),Performance_Metrics!$G$2:$G$3000),"")</x:f>
        <x:v>1665</x:v>
      </x:c>
      <x:c r="I162" s="12" t="n">
        <x:f>IFERROR(SUMIFS(Normative_Data!$G$2:$G$1000,Normative_Data!$A$2:$A$1000,$B162,Normative_Data!$B$2:$B$1000,$C162,Normative_Data!$E$2:$E$1000,$D162),"")</x:f>
        <x:v>1750</x:v>
      </x:c>
      <x:c r="J162" s="18" t="n">
        <x:f>IF(OR($H162="",$I162=""),"",($H162-$I162)/$I162)</x:f>
        <x:v>-0.04857142857142857</x:v>
      </x:c>
      <x:c r="K162" s="12" t="str">
        <x:f>IF(OR($H162="",$I162="",$F162=""),"",IF(ABS($J162)&lt;=0.05,"Equal to Norm",IF($F162="lower",IF($H162&lt;$I162,"Above Norm","Below Norm"),IF($H162&gt;$I162,"Above Norm","Below Norm"))))</x:f>
        <x:v>Equal to Norm</x:v>
      </x:c>
      <x:c r="L162" s="12" t="str">
        <x:f>IFERROR(VLOOKUP($D162&amp;"|"&amp;$K162,Recommendation_Lookup!$A$2:$H$19,2,FALSE),"")</x:f>
        <x:v>Increase force capacity</x:v>
      </x:c>
      <x:c r="M162" s="12" t="str">
        <x:f>IFERROR(VLOOKUP($D162&amp;"|"&amp;$K162,Recommendation_Lookup!$A$2:$H$19,3,FALSE),"")</x:f>
        <x:v>Relative strength; bracing; lower-body strength; isometric force</x:v>
      </x:c>
      <x:c r="N162" s="12" t="str">
        <x:f>IFERROR(VLOOKUP($D162&amp;"|"&amp;$K162,Recommendation_Lookup!$A$2:$H$19,4,FALSE),"")</x:f>
        <x:v>Use progressive lower-body strength training with compound lifts, isometrics and unilateral work. Maintain technical quality and appropriate loading progression.</x:v>
      </x:c>
      <x:c r="O162" s="12" t="str">
        <x:f>IFERROR(VLOOKUP($D162&amp;"|"&amp;$K162,Recommendation_Lookup!$A$2:$H$19,5,FALSE),"")</x:f>
        <x:v>RVX Strength Development</x:v>
      </x:c>
      <x:c r="P162" s="12" t="str">
        <x:f>IFERROR(VLOOKUP($D162&amp;"|"&amp;$K162,Recommendation_Lookup!$A$2:$H$19,6,FALSE),"")</x:f>
        <x:v>RVX Isometric Force Builder</x:v>
      </x:c>
      <x:c r="Q162" s="12" t="str">
        <x:f>IFERROR(VLOOKUP($D162&amp;"|"&amp;$K162,Recommendation_Lookup!$A$2:$H$19,7,FALSE),"")</x:f>
        <x:v>Create full-body tension and push through the floor with intent.</x:v>
      </x:c>
      <x:c r="R162" s="12" t="str">
        <x:f>IFERROR(VLOOKUP($D162&amp;"|"&amp;$K162,Recommendation_Lookup!$A$2:$H$19,8,FALSE),"")</x:f>
        <x:v>Retest after 4–6 weeks.</x:v>
      </x:c>
      <x:c r="S162" s="12"/>
      <x:c r="T162" s="12"/>
      <x:c r="U162" s="12"/>
      <x:c r="V162" s="12"/>
      <x:c r="W162" s="12" t="str">
        <x:f>IF($S162&lt;&gt;"",$S162,$K162)</x:f>
        <x:v>Equal to Norm</x:v>
      </x:c>
      <x:c r="X162" s="12" t="str">
        <x:f>IF($T162&lt;&gt;"",$T162,$L162)</x:f>
        <x:v>Increase force capacity</x:v>
      </x:c>
      <x:c r="Y162" s="12" t="str">
        <x:f>IF($U162&lt;&gt;"",$U162,$N162)</x:f>
        <x:v>Use progressive lower-body strength training with compound lifts, isometrics and unilateral work. Maintain technical quality and appropriate loading progression.</x:v>
      </x:c>
      <x:c r="Z162" s="12" t="str">
        <x:f>IF($V162&lt;&gt;"",$V162,$O162)</x:f>
        <x:v>RVX Strength Development</x:v>
      </x:c>
      <x:c r="AA162" s="12"/>
    </x:row>
    <x:row r="163">
      <x:c r="A163" s="12" t="str">
        <x:v>RVX-00027</x:v>
      </x:c>
      <x:c r="B163" s="12" t="str">
        <x:f>IFERROR(VLOOKUP($A163,Athlete_Profile!$A$2:$L$51,6,FALSE),"")</x:f>
        <x:v>Hockey</x:v>
      </x:c>
      <x:c r="C163" s="12" t="str">
        <x:f>IFERROR(VLOOKUP($A163,Athlete_Profile!$A$2:$L$51,5,FALSE),"")</x:f>
        <x:v>Female</x:v>
      </x:c>
      <x:c r="D163" s="12" t="str">
        <x:v>impulse</x:v>
      </x:c>
      <x:c r="E163" s="12" t="str">
        <x:f>IFERROR(VLOOKUP($D163,Dropdown_Lists!$K$2:$N$7,2,FALSE),"")</x:f>
        <x:v>Impulse-Momentum</x:v>
      </x:c>
      <x:c r="F163" s="12" t="str">
        <x:f>IFERROR(VLOOKUP($D163,Dropdown_Lists!$K$2:$N$7,3,FALSE),"")</x:f>
        <x:v>higher</x:v>
      </x:c>
      <x:c r="G163" s="17" t="n">
        <x:f>IFERROR(LOOKUP(2,1/((Performance_Metrics!$A$2:$A$3000=$A163)*(Performance_Metrics!$D$2:$D$3000=$D163)),Performance_Metrics!$C$2:$C$3000),"")</x:f>
        <x:v>46230</x:v>
      </x:c>
      <x:c r="H163" s="12" t="n">
        <x:f>IFERROR(LOOKUP(2,1/((Performance_Metrics!$A$2:$A$3000=$A163)*(Performance_Metrics!$D$2:$D$3000=$D163)),Performance_Metrics!$G$2:$G$3000),"")</x:f>
        <x:v>208.8</x:v>
      </x:c>
      <x:c r="I163" s="12" t="n">
        <x:f>IFERROR(SUMIFS(Normative_Data!$G$2:$G$1000,Normative_Data!$A$2:$A$1000,$B163,Normative_Data!$B$2:$B$1000,$C163,Normative_Data!$E$2:$E$1000,$D163),"")</x:f>
        <x:v>215</x:v>
      </x:c>
      <x:c r="J163" s="18" t="n">
        <x:f>IF(OR($H163="",$I163=""),"",($H163-$I163)/$I163)</x:f>
        <x:v>-0.028837209302325528</x:v>
      </x:c>
      <x:c r="K163" s="12" t="str">
        <x:f>IF(OR($H163="",$I163="",$F163=""),"",IF(ABS($J163)&lt;=0.05,"Equal to Norm",IF($F163="lower",IF($H163&lt;$I163,"Above Norm","Below Norm"),IF($H163&gt;$I163,"Above Norm","Below Norm"))))</x:f>
        <x:v>Equal to Norm</x:v>
      </x:c>
      <x:c r="L163" s="12" t="str">
        <x:f>IFERROR(VLOOKUP($D163&amp;"|"&amp;$K163,Recommendation_Lookup!$A$2:$H$19,2,FALSE),"")</x:f>
        <x:v>Improve force applied over time</x:v>
      </x:c>
      <x:c r="M163" s="12" t="str">
        <x:f>IFERROR(VLOOKUP($D163&amp;"|"&amp;$K163,Recommendation_Lookup!$A$2:$H$19,3,FALSE),"")</x:f>
        <x:v>Strength; countermovement strategy; intent; coordination; power</x:v>
      </x:c>
      <x:c r="N163" s="12" t="str">
        <x:f>IFERROR(VLOOKUP($D163&amp;"|"&amp;$K163,Recommendation_Lookup!$A$2:$H$19,4,FALSE),"")</x:f>
        <x:v>Use loaded jumps, isometrics and strength-power exercises that improve the athlete’s ability to produce and sustain force through the propulsion phase.</x:v>
      </x:c>
      <x:c r="O163" s="12" t="str">
        <x:f>IFERROR(VLOOKUP($D163&amp;"|"&amp;$K163,Recommendation_Lookup!$A$2:$H$19,5,FALSE),"")</x:f>
        <x:v>RVX Power Development</x:v>
      </x:c>
      <x:c r="P163" s="12" t="str">
        <x:f>IFERROR(VLOOKUP($D163&amp;"|"&amp;$K163,Recommendation_Lookup!$A$2:$H$19,6,FALSE),"")</x:f>
        <x:v>RVX Strength-Speed</x:v>
      </x:c>
      <x:c r="Q163" s="12" t="str">
        <x:f>IFERROR(VLOOKUP($D163&amp;"|"&amp;$K163,Recommendation_Lookup!$A$2:$H$19,7,FALSE),"")</x:f>
        <x:v>Apply force early and continue driving through take-off.</x:v>
      </x:c>
      <x:c r="R163" s="12" t="str">
        <x:f>IFERROR(VLOOKUP($D163&amp;"|"&amp;$K163,Recommendation_Lookup!$A$2:$H$19,8,FALSE),"")</x:f>
        <x:v>Retest after 4–6 weeks.</x:v>
      </x:c>
      <x:c r="S163" s="12"/>
      <x:c r="T163" s="12"/>
      <x:c r="U163" s="12"/>
      <x:c r="V163" s="12"/>
      <x:c r="W163" s="12" t="str">
        <x:f>IF($S163&lt;&gt;"",$S163,$K163)</x:f>
        <x:v>Equal to Norm</x:v>
      </x:c>
      <x:c r="X163" s="12" t="str">
        <x:f>IF($T163&lt;&gt;"",$T163,$L163)</x:f>
        <x:v>Improve force applied over time</x:v>
      </x:c>
      <x:c r="Y163" s="12" t="str">
        <x:f>IF($U163&lt;&gt;"",$U163,$N163)</x:f>
        <x:v>Use loaded jumps, isometrics and strength-power exercises that improve the athlete’s ability to produce and sustain force through the propulsion phase.</x:v>
      </x:c>
      <x:c r="Z163" s="12" t="str">
        <x:f>IF($V163&lt;&gt;"",$V163,$O163)</x:f>
        <x:v>RVX Power Development</x:v>
      </x:c>
      <x:c r="AA163" s="12"/>
    </x:row>
    <x:row r="164">
      <x:c r="A164" s="12" t="str">
        <x:v>RVX-00028</x:v>
      </x:c>
      <x:c r="B164" s="12" t="str">
        <x:f>IFERROR(VLOOKUP($A164,Athlete_Profile!$A$2:$L$51,6,FALSE),"")</x:f>
        <x:v>Hockey</x:v>
      </x:c>
      <x:c r="C164" s="12" t="str">
        <x:f>IFERROR(VLOOKUP($A164,Athlete_Profile!$A$2:$L$51,5,FALSE),"")</x:f>
        <x:v>Male</x:v>
      </x:c>
      <x:c r="D164" s="12" t="str">
        <x:v>sprint_5m</x:v>
      </x:c>
      <x:c r="E164" s="12" t="str">
        <x:f>IFERROR(VLOOKUP($D164,Dropdown_Lists!$K$2:$N$7,2,FALSE),"")</x:f>
        <x:v>5m Sprint</x:v>
      </x:c>
      <x:c r="F164" s="12" t="str">
        <x:f>IFERROR(VLOOKUP($D164,Dropdown_Lists!$K$2:$N$7,3,FALSE),"")</x:f>
        <x:v>lower</x:v>
      </x:c>
      <x:c r="G164" s="17" t="n">
        <x:f>IFERROR(LOOKUP(2,1/((Performance_Metrics!$A$2:$A$3000=$A164)*(Performance_Metrics!$D$2:$D$3000=$D164)),Performance_Metrics!$C$2:$C$3000),"")</x:f>
        <x:v>46230</x:v>
      </x:c>
      <x:c r="H164" s="12" t="n">
        <x:f>IFERROR(LOOKUP(2,1/((Performance_Metrics!$A$2:$A$3000=$A164)*(Performance_Metrics!$D$2:$D$3000=$D164)),Performance_Metrics!$G$2:$G$3000),"")</x:f>
        <x:v>0.93</x:v>
      </x:c>
      <x:c r="I164" s="12" t="n">
        <x:f>IFERROR(SUMIFS(Normative_Data!$G$2:$G$1000,Normative_Data!$A$2:$A$1000,$B164,Normative_Data!$B$2:$B$1000,$C164,Normative_Data!$E$2:$E$1000,$D164),"")</x:f>
        <x:v>1.08</x:v>
      </x:c>
      <x:c r="J164" s="18" t="n">
        <x:f>IF(OR($H164="",$I164=""),"",($H164-$I164)/$I164)</x:f>
        <x:v>-0.1388888888888889</x:v>
      </x:c>
      <x:c r="K164" s="12" t="str">
        <x:f>IF(OR($H164="",$I164="",$F164=""),"",IF(ABS($J164)&lt;=0.05,"Equal to Norm",IF($F164="lower",IF($H164&lt;$I164,"Above Norm","Below Norm"),IF($H164&gt;$I164,"Above Norm","Below Norm"))))</x:f>
        <x:v>Above Norm</x:v>
      </x:c>
      <x:c r="L164" s="12" t="str">
        <x:f>IFERROR(VLOOKUP($D164&amp;"|"&amp;$K164,Recommendation_Lookup!$A$2:$H$19,2,FALSE),"")</x:f>
        <x:v>Maintain first-step explosiveness</x:v>
      </x:c>
      <x:c r="M164" s="12" t="str">
        <x:f>IFERROR(VLOOKUP($D164&amp;"|"&amp;$K164,Recommendation_Lookup!$A$2:$H$19,3,FALSE),"")</x:f>
        <x:v>Start consistency; projection angle; horizontal force; reaction quality</x:v>
      </x:c>
      <x:c r="N164" s="12" t="str">
        <x:f>IFERROR(VLOOKUP($D164&amp;"|"&amp;$K164,Recommendation_Lookup!$A$2:$H$19,4,FALSE),"")</x:f>
        <x:v>Maintain speed with low-volume, high-quality acceleration exposures. Avoid unnecessary volume that could reduce sprint quality. Progress through resisted and reactive starts while preserving mechanics.</x:v>
      </x:c>
      <x:c r="O164" s="12" t="str">
        <x:f>IFERROR(VLOOKUP($D164&amp;"|"&amp;$K164,Recommendation_Lookup!$A$2:$H$19,5,FALSE),"")</x:f>
        <x:v>RVX Advanced Acceleration</x:v>
      </x:c>
      <x:c r="P164" s="12" t="str">
        <x:f>IFERROR(VLOOKUP($D164&amp;"|"&amp;$K164,Recommendation_Lookup!$A$2:$H$19,6,FALSE),"")</x:f>
        <x:v>RVX Explosive Starts Microdose</x:v>
      </x:c>
      <x:c r="Q164" s="12" t="str">
        <x:f>IFERROR(VLOOKUP($D164&amp;"|"&amp;$K164,Recommendation_Lookup!$A$2:$H$19,7,FALSE),"")</x:f>
        <x:v>Project forward, push the ground back, and win the first three steps.</x:v>
      </x:c>
      <x:c r="R164" s="12" t="str">
        <x:f>IFERROR(VLOOKUP($D164&amp;"|"&amp;$K164,Recommendation_Lookup!$A$2:$H$19,8,FALSE),"")</x:f>
        <x:v>Retest every 6–8 weeks or after a dedicated acceleration block.</x:v>
      </x:c>
      <x:c r="S164" s="12"/>
      <x:c r="T164" s="12"/>
      <x:c r="U164" s="12"/>
      <x:c r="V164" s="12"/>
      <x:c r="W164" s="12" t="str">
        <x:f>IF($S164&lt;&gt;"",$S164,$K164)</x:f>
        <x:v>Above Norm</x:v>
      </x:c>
      <x:c r="X164" s="12" t="str">
        <x:f>IF($T164&lt;&gt;"",$T164,$L164)</x:f>
        <x:v>Maintain first-step explosiveness</x:v>
      </x:c>
      <x:c r="Y164" s="12" t="str">
        <x:f>IF($U164&lt;&gt;"",$U164,$N164)</x:f>
        <x:v>Maintain speed with low-volume, high-quality acceleration exposures. Avoid unnecessary volume that could reduce sprint quality. Progress through resisted and reactive starts while preserving mechanics.</x:v>
      </x:c>
      <x:c r="Z164" s="12" t="str">
        <x:f>IF($V164&lt;&gt;"",$V164,$O164)</x:f>
        <x:v>RVX Advanced Acceleration</x:v>
      </x:c>
      <x:c r="AA164" s="12"/>
    </x:row>
    <x:row r="165">
      <x:c r="A165" s="12" t="str">
        <x:v>RVX-00028</x:v>
      </x:c>
      <x:c r="B165" s="12" t="str">
        <x:f>IFERROR(VLOOKUP($A165,Athlete_Profile!$A$2:$L$51,6,FALSE),"")</x:f>
        <x:v>Hockey</x:v>
      </x:c>
      <x:c r="C165" s="12" t="str">
        <x:f>IFERROR(VLOOKUP($A165,Athlete_Profile!$A$2:$L$51,5,FALSE),"")</x:f>
        <x:v>Male</x:v>
      </x:c>
      <x:c r="D165" s="12" t="str">
        <x:v>sprint_10m</x:v>
      </x:c>
      <x:c r="E165" s="12" t="str">
        <x:f>IFERROR(VLOOKUP($D165,Dropdown_Lists!$K$2:$N$7,2,FALSE),"")</x:f>
        <x:v>10m Sprint</x:v>
      </x:c>
      <x:c r="F165" s="12" t="str">
        <x:f>IFERROR(VLOOKUP($D165,Dropdown_Lists!$K$2:$N$7,3,FALSE),"")</x:f>
        <x:v>lower</x:v>
      </x:c>
      <x:c r="G165" s="17" t="n">
        <x:f>IFERROR(LOOKUP(2,1/((Performance_Metrics!$A$2:$A$3000=$A165)*(Performance_Metrics!$D$2:$D$3000=$D165)),Performance_Metrics!$C$2:$C$3000),"")</x:f>
        <x:v>46230</x:v>
      </x:c>
      <x:c r="H165" s="12" t="n">
        <x:f>IFERROR(LOOKUP(2,1/((Performance_Metrics!$A$2:$A$3000=$A165)*(Performance_Metrics!$D$2:$D$3000=$D165)),Performance_Metrics!$G$2:$G$3000),"")</x:f>
        <x:v>1.48</x:v>
      </x:c>
      <x:c r="I165" s="12" t="n">
        <x:f>IFERROR(SUMIFS(Normative_Data!$G$2:$G$1000,Normative_Data!$A$2:$A$1000,$B165,Normative_Data!$B$2:$B$1000,$C165,Normative_Data!$E$2:$E$1000,$D165),"")</x:f>
        <x:v>1.8</x:v>
      </x:c>
      <x:c r="J165" s="18" t="n">
        <x:f>IF(OR($H165="",$I165=""),"",($H165-$I165)/$I165)</x:f>
        <x:v>-0.1777777777777778</x:v>
      </x:c>
      <x:c r="K165" s="12" t="str">
        <x:f>IF(OR($H165="",$I165="",$F165=""),"",IF(ABS($J165)&lt;=0.05,"Equal to Norm",IF($F165="lower",IF($H165&lt;$I165,"Above Norm","Below Norm"),IF($H165&gt;$I165,"Above Norm","Below Norm"))))</x:f>
        <x:v>Above Norm</x:v>
      </x:c>
      <x:c r="L165" s="12" t="str">
        <x:f>IFERROR(VLOOKUP($D165&amp;"|"&amp;$K165,Recommendation_Lookup!$A$2:$H$19,2,FALSE),"")</x:f>
        <x:v>Maintain acceleration through 10 m</x:v>
      </x:c>
      <x:c r="M165" s="12" t="str">
        <x:f>IFERROR(VLOOKUP($D165&amp;"|"&amp;$K165,Recommendation_Lookup!$A$2:$H$19,3,FALSE),"")</x:f>
        <x:v>Transition mechanics; stride rhythm; stiffness; repeatability</x:v>
      </x:c>
      <x:c r="N165" s="12" t="str">
        <x:f>IFERROR(VLOOKUP($D165&amp;"|"&amp;$K165,Recommendation_Lookup!$A$2:$H$19,4,FALSE),"")</x:f>
        <x:v>Maintain one to two weekly high-quality acceleration exposures. Add varied starts and light resistance while monitoring consistency across trials.</x:v>
      </x:c>
      <x:c r="O165" s="12" t="str">
        <x:f>IFERROR(VLOOKUP($D165&amp;"|"&amp;$K165,Recommendation_Lookup!$A$2:$H$19,5,FALSE),"")</x:f>
        <x:v>RVX Advanced Acceleration</x:v>
      </x:c>
      <x:c r="P165" s="12" t="str">
        <x:f>IFERROR(VLOOKUP($D165&amp;"|"&amp;$K165,Recommendation_Lookup!$A$2:$H$19,6,FALSE),"")</x:f>
        <x:v>RVX Speed Maintenance Microdose</x:v>
      </x:c>
      <x:c r="Q165" s="12" t="str">
        <x:f>IFERROR(VLOOKUP($D165&amp;"|"&amp;$K165,Recommendation_Lookup!$A$2:$H$19,7,FALSE),"")</x:f>
        <x:v>Stay patient through acceleration and keep pushing behind the body.</x:v>
      </x:c>
      <x:c r="R165" s="12" t="str">
        <x:f>IFERROR(VLOOKUP($D165&amp;"|"&amp;$K165,Recommendation_Lookup!$A$2:$H$19,8,FALSE),"")</x:f>
        <x:v>Retest every 6–8 weeks or after a speed block.</x:v>
      </x:c>
      <x:c r="S165" s="12"/>
      <x:c r="T165" s="12"/>
      <x:c r="U165" s="12"/>
      <x:c r="V165" s="12"/>
      <x:c r="W165" s="12" t="str">
        <x:f>IF($S165&lt;&gt;"",$S165,$K165)</x:f>
        <x:v>Above Norm</x:v>
      </x:c>
      <x:c r="X165" s="12" t="str">
        <x:f>IF($T165&lt;&gt;"",$T165,$L165)</x:f>
        <x:v>Maintain acceleration through 10 m</x:v>
      </x:c>
      <x:c r="Y165" s="12" t="str">
        <x:f>IF($U165&lt;&gt;"",$U165,$N165)</x:f>
        <x:v>Maintain one to two weekly high-quality acceleration exposures. Add varied starts and light resistance while monitoring consistency across trials.</x:v>
      </x:c>
      <x:c r="Z165" s="12" t="str">
        <x:f>IF($V165&lt;&gt;"",$V165,$O165)</x:f>
        <x:v>RVX Advanced Acceleration</x:v>
      </x:c>
      <x:c r="AA165" s="12"/>
    </x:row>
    <x:row r="166">
      <x:c r="A166" s="12" t="str">
        <x:v>RVX-00028</x:v>
      </x:c>
      <x:c r="B166" s="12" t="str">
        <x:f>IFERROR(VLOOKUP($A166,Athlete_Profile!$A$2:$L$51,6,FALSE),"")</x:f>
        <x:v>Hockey</x:v>
      </x:c>
      <x:c r="C166" s="12" t="str">
        <x:f>IFERROR(VLOOKUP($A166,Athlete_Profile!$A$2:$L$51,5,FALSE),"")</x:f>
        <x:v>Male</x:v>
      </x:c>
      <x:c r="D166" s="12" t="str">
        <x:v>pro_agility</x:v>
      </x:c>
      <x:c r="E166" s="12" t="str">
        <x:f>IFERROR(VLOOKUP($D166,Dropdown_Lists!$K$2:$N$7,2,FALSE),"")</x:f>
        <x:v>5-10-5 Pro Agility</x:v>
      </x:c>
      <x:c r="F166" s="12" t="str">
        <x:f>IFERROR(VLOOKUP($D166,Dropdown_Lists!$K$2:$N$7,3,FALSE),"")</x:f>
        <x:v>lower</x:v>
      </x:c>
      <x:c r="G166" s="17" t="n">
        <x:f>IFERROR(LOOKUP(2,1/((Performance_Metrics!$A$2:$A$3000=$A166)*(Performance_Metrics!$D$2:$D$3000=$D166)),Performance_Metrics!$C$2:$C$3000),"")</x:f>
        <x:v>46230</x:v>
      </x:c>
      <x:c r="H166" s="12" t="n">
        <x:f>IFERROR(LOOKUP(2,1/((Performance_Metrics!$A$2:$A$3000=$A166)*(Performance_Metrics!$D$2:$D$3000=$D166)),Performance_Metrics!$G$2:$G$3000),"")</x:f>
        <x:v>3.84</x:v>
      </x:c>
      <x:c r="I166" s="12" t="n">
        <x:f>IFERROR(SUMIFS(Normative_Data!$G$2:$G$1000,Normative_Data!$A$2:$A$1000,$B166,Normative_Data!$B$2:$B$1000,$C166,Normative_Data!$E$2:$E$1000,$D166),"")</x:f>
        <x:v>4.63</x:v>
      </x:c>
      <x:c r="J166" s="18" t="n">
        <x:f>IF(OR($H166="",$I166=""),"",($H166-$I166)/$I166)</x:f>
        <x:v>-0.17062634989200864</x:v>
      </x:c>
      <x:c r="K166" s="12" t="str">
        <x:f>IF(OR($H166="",$I166="",$F166=""),"",IF(ABS($J166)&lt;=0.05,"Equal to Norm",IF($F166="lower",IF($H166&lt;$I166,"Above Norm","Below Norm"),IF($H166&gt;$I166,"Above Norm","Below Norm"))))</x:f>
        <x:v>Above Norm</x:v>
      </x:c>
      <x:c r="L166" s="12" t="str">
        <x:f>IFERROR(VLOOKUP($D166&amp;"|"&amp;$K166,Recommendation_Lookup!$A$2:$H$19,2,FALSE),"")</x:f>
        <x:v>Maintain change-of-direction performance</x:v>
      </x:c>
      <x:c r="M166" s="12" t="str">
        <x:f>IFERROR(VLOOKUP($D166&amp;"|"&amp;$K166,Recommendation_Lookup!$A$2:$H$19,3,FALSE),"")</x:f>
        <x:v>Reactive decision-making; braking tolerance; bilateral symmetry; movement variability</x:v>
      </x:c>
      <x:c r="N166" s="12" t="str">
        <x:f>IFERROR(VLOOKUP($D166&amp;"|"&amp;$K166,Recommendation_Lookup!$A$2:$H$19,4,FALSE),"")</x:f>
        <x:v>Maintain planned change-of-direction work and progress toward reactive agility. Use low-volume, high-quality exposures with multiple starting and turning strategies.</x:v>
      </x:c>
      <x:c r="O166" s="12" t="str">
        <x:f>IFERROR(VLOOKUP($D166&amp;"|"&amp;$K166,Recommendation_Lookup!$A$2:$H$19,5,FALSE),"")</x:f>
        <x:v>RVX Advanced Change of Direction</x:v>
      </x:c>
      <x:c r="P166" s="12" t="str">
        <x:f>IFERROR(VLOOKUP($D166&amp;"|"&amp;$K166,Recommendation_Lookup!$A$2:$H$19,6,FALSE),"")</x:f>
        <x:v>RVX Reactive Agility</x:v>
      </x:c>
      <x:c r="Q166" s="12" t="str">
        <x:f>IFERROR(VLOOKUP($D166&amp;"|"&amp;$K166,Recommendation_Lookup!$A$2:$H$19,7,FALSE),"")</x:f>
        <x:v>Brake under control, own the plant and accelerate out immediately.</x:v>
      </x:c>
      <x:c r="R166" s="12" t="str">
        <x:f>IFERROR(VLOOKUP($D166&amp;"|"&amp;$K166,Recommendation_Lookup!$A$2:$H$19,8,FALSE),"")</x:f>
        <x:v>Retest every 6–8 weeks with left and right trial review.</x:v>
      </x:c>
      <x:c r="S166" s="12"/>
      <x:c r="T166" s="12"/>
      <x:c r="U166" s="12"/>
      <x:c r="V166" s="12"/>
      <x:c r="W166" s="12" t="str">
        <x:f>IF($S166&lt;&gt;"",$S166,$K166)</x:f>
        <x:v>Above Norm</x:v>
      </x:c>
      <x:c r="X166" s="12" t="str">
        <x:f>IF($T166&lt;&gt;"",$T166,$L166)</x:f>
        <x:v>Maintain change-of-direction performance</x:v>
      </x:c>
      <x:c r="Y166" s="12" t="str">
        <x:f>IF($U166&lt;&gt;"",$U166,$N166)</x:f>
        <x:v>Maintain planned change-of-direction work and progress toward reactive agility. Use low-volume, high-quality exposures with multiple starting and turning strategies.</x:v>
      </x:c>
      <x:c r="Z166" s="12" t="str">
        <x:f>IF($V166&lt;&gt;"",$V166,$O166)</x:f>
        <x:v>RVX Advanced Change of Direction</x:v>
      </x:c>
      <x:c r="AA166" s="12"/>
    </x:row>
    <x:row r="167">
      <x:c r="A167" s="12" t="str">
        <x:v>RVX-00028</x:v>
      </x:c>
      <x:c r="B167" s="12" t="str">
        <x:f>IFERROR(VLOOKUP($A167,Athlete_Profile!$A$2:$L$51,6,FALSE),"")</x:f>
        <x:v>Hockey</x:v>
      </x:c>
      <x:c r="C167" s="12" t="str">
        <x:f>IFERROR(VLOOKUP($A167,Athlete_Profile!$A$2:$L$51,5,FALSE),"")</x:f>
        <x:v>Male</x:v>
      </x:c>
      <x:c r="D167" s="12" t="str">
        <x:v>cmj_depth</x:v>
      </x:c>
      <x:c r="E167" s="12" t="str">
        <x:f>IFERROR(VLOOKUP($D167,Dropdown_Lists!$K$2:$N$7,2,FALSE),"")</x:f>
        <x:v>Countermovement Depth</x:v>
      </x:c>
      <x:c r="F167" s="12" t="str">
        <x:f>IFERROR(VLOOKUP($D167,Dropdown_Lists!$K$2:$N$7,3,FALSE),"")</x:f>
        <x:v>higher</x:v>
      </x:c>
      <x:c r="G167" s="17" t="n">
        <x:f>IFERROR(LOOKUP(2,1/((Performance_Metrics!$A$2:$A$3000=$A167)*(Performance_Metrics!$D$2:$D$3000=$D167)),Performance_Metrics!$C$2:$C$3000),"")</x:f>
        <x:v>46230</x:v>
      </x:c>
      <x:c r="H167" s="12" t="n">
        <x:f>IFERROR(LOOKUP(2,1/((Performance_Metrics!$A$2:$A$3000=$A167)*(Performance_Metrics!$D$2:$D$3000=$D167)),Performance_Metrics!$G$2:$G$3000),"")</x:f>
        <x:v>38.7</x:v>
      </x:c>
      <x:c r="I167" s="12" t="n">
        <x:f>IFERROR(SUMIFS(Normative_Data!$G$2:$G$1000,Normative_Data!$A$2:$A$1000,$B167,Normative_Data!$B$2:$B$1000,$C167,Normative_Data!$E$2:$E$1000,$D167),"")</x:f>
        <x:v>33</x:v>
      </x:c>
      <x:c r="J167" s="18" t="n">
        <x:f>IF(OR($H167="",$I167=""),"",($H167-$I167)/$I167)</x:f>
        <x:v>0.1727272727272728</x:v>
      </x:c>
      <x:c r="K167" s="12" t="str">
        <x:f>IF(OR($H167="",$I167="",$F167=""),"",IF(ABS($J167)&lt;=0.05,"Equal to Norm",IF($F167="lower",IF($H167&lt;$I167,"Above Norm","Below Norm"),IF($H167&gt;$I167,"Above Norm","Below Norm"))))</x:f>
        <x:v>Above Norm</x:v>
      </x:c>
      <x:c r="L167" s="12" t="str">
        <x:f>IFERROR(VLOOKUP($D167&amp;"|"&amp;$K167,Recommendation_Lookup!$A$2:$H$19,2,FALSE),"")</x:f>
        <x:v>Maintain effective countermovement strategy</x:v>
      </x:c>
      <x:c r="M167" s="12" t="str">
        <x:f>IFERROR(VLOOKUP($D167&amp;"|"&amp;$K167,Recommendation_Lookup!$A$2:$H$19,3,FALSE),"")</x:f>
        <x:v>Movement efficiency; eccentric control; jump consistency; depth-to-output relationship</x:v>
      </x:c>
      <x:c r="N167" s="12" t="str">
        <x:f>IFERROR(VLOOKUP($D167&amp;"|"&amp;$K167,Recommendation_Lookup!$A$2:$H$19,4,FALSE),"")</x:f>
        <x:v>Maintain the athlete’s preferred countermovement strategy while ensuring the additional depth contributes to force and impulse rather than excessive movement time.</x:v>
      </x:c>
      <x:c r="O167" s="12" t="str">
        <x:f>IFERROR(VLOOKUP($D167&amp;"|"&amp;$K167,Recommendation_Lookup!$A$2:$H$19,5,FALSE),"")</x:f>
        <x:v>RVX Jump Performance Advanced</x:v>
      </x:c>
      <x:c r="P167" s="12" t="str">
        <x:f>IFERROR(VLOOKUP($D167&amp;"|"&amp;$K167,Recommendation_Lookup!$A$2:$H$19,6,FALSE),"")</x:f>
        <x:v>RVX Eccentric Strength Microdose</x:v>
      </x:c>
      <x:c r="Q167" s="12" t="str">
        <x:f>IFERROR(VLOOKUP($D167&amp;"|"&amp;$K167,Recommendation_Lookup!$A$2:$H$19,7,FALSE),"")</x:f>
        <x:v>Use the depth you can control, then reverse quickly and aggressively.</x:v>
      </x:c>
      <x:c r="R167" s="12" t="str">
        <x:f>IFERROR(VLOOKUP($D167&amp;"|"&amp;$K167,Recommendation_Lookup!$A$2:$H$19,8,FALSE),"")</x:f>
        <x:v>Retest every 6–8 weeks while monitoring jump height and contraction time.</x:v>
      </x:c>
      <x:c r="S167" s="12"/>
      <x:c r="T167" s="12"/>
      <x:c r="U167" s="12"/>
      <x:c r="V167" s="12"/>
      <x:c r="W167" s="12" t="str">
        <x:f>IF($S167&lt;&gt;"",$S167,$K167)</x:f>
        <x:v>Above Norm</x:v>
      </x:c>
      <x:c r="X167" s="12" t="str">
        <x:f>IF($T167&lt;&gt;"",$T167,$L167)</x:f>
        <x:v>Maintain effective countermovement strategy</x:v>
      </x:c>
      <x:c r="Y167" s="12" t="str">
        <x:f>IF($U167&lt;&gt;"",$U167,$N167)</x:f>
        <x:v>Maintain the athlete’s preferred countermovement strategy while ensuring the additional depth contributes to force and impulse rather than excessive movement time.</x:v>
      </x:c>
      <x:c r="Z167" s="12" t="str">
        <x:f>IF($V167&lt;&gt;"",$V167,$O167)</x:f>
        <x:v>RVX Jump Performance Advanced</x:v>
      </x:c>
      <x:c r="AA167" s="12"/>
    </x:row>
    <x:row r="168">
      <x:c r="A168" s="12" t="str">
        <x:v>RVX-00028</x:v>
      </x:c>
      <x:c r="B168" s="12" t="str">
        <x:f>IFERROR(VLOOKUP($A168,Athlete_Profile!$A$2:$L$51,6,FALSE),"")</x:f>
        <x:v>Hockey</x:v>
      </x:c>
      <x:c r="C168" s="12" t="str">
        <x:f>IFERROR(VLOOKUP($A168,Athlete_Profile!$A$2:$L$51,5,FALSE),"")</x:f>
        <x:v>Male</x:v>
      </x:c>
      <x:c r="D168" s="12" t="str">
        <x:v>peak_force</x:v>
      </x:c>
      <x:c r="E168" s="12" t="str">
        <x:f>IFERROR(VLOOKUP($D168,Dropdown_Lists!$K$2:$N$7,2,FALSE),"")</x:f>
        <x:v>Peak Force</x:v>
      </x:c>
      <x:c r="F168" s="12" t="str">
        <x:f>IFERROR(VLOOKUP($D168,Dropdown_Lists!$K$2:$N$7,3,FALSE),"")</x:f>
        <x:v>higher</x:v>
      </x:c>
      <x:c r="G168" s="17" t="n">
        <x:f>IFERROR(LOOKUP(2,1/((Performance_Metrics!$A$2:$A$3000=$A168)*(Performance_Metrics!$D$2:$D$3000=$D168)),Performance_Metrics!$C$2:$C$3000),"")</x:f>
        <x:v>46230</x:v>
      </x:c>
      <x:c r="H168" s="12" t="n">
        <x:f>IFERROR(LOOKUP(2,1/((Performance_Metrics!$A$2:$A$3000=$A168)*(Performance_Metrics!$D$2:$D$3000=$D168)),Performance_Metrics!$G$2:$G$3000),"")</x:f>
        <x:v>2195</x:v>
      </x:c>
      <x:c r="I168" s="12" t="n">
        <x:f>IFERROR(SUMIFS(Normative_Data!$G$2:$G$1000,Normative_Data!$A$2:$A$1000,$B168,Normative_Data!$B$2:$B$1000,$C168,Normative_Data!$E$2:$E$1000,$D168),"")</x:f>
        <x:v>1925</x:v>
      </x:c>
      <x:c r="J168" s="18" t="n">
        <x:f>IF(OR($H168="",$I168=""),"",($H168-$I168)/$I168)</x:f>
        <x:v>0.14025974025974025</x:v>
      </x:c>
      <x:c r="K168" s="12" t="str">
        <x:f>IF(OR($H168="",$I168="",$F168=""),"",IF(ABS($J168)&lt;=0.05,"Equal to Norm",IF($F168="lower",IF($H168&lt;$I168,"Above Norm","Below Norm"),IF($H168&gt;$I168,"Above Norm","Below Norm"))))</x:f>
        <x:v>Above Norm</x:v>
      </x:c>
      <x:c r="L168" s="12" t="str">
        <x:f>IFERROR(VLOOKUP($D168&amp;"|"&amp;$K168,Recommendation_Lookup!$A$2:$H$19,2,FALSE),"")</x:f>
        <x:v>Maintain maximal force qualities</x:v>
      </x:c>
      <x:c r="M168" s="12" t="str">
        <x:f>IFERROR(VLOOKUP($D168&amp;"|"&amp;$K168,Recommendation_Lookup!$A$2:$H$19,3,FALSE),"")</x:f>
        <x:v>Force application speed; asymmetry; fatigue management; sport transfer</x:v>
      </x:c>
      <x:c r="N168" s="12" t="str">
        <x:f>IFERROR(VLOOKUP($D168&amp;"|"&amp;$K168,Recommendation_Lookup!$A$2:$H$19,4,FALSE),"")</x:f>
        <x:v>Maintain maximal force with low-volume strength exposure while shifting selected work toward power and sport-specific application. Monitor asymmetry and fatigue.</x:v>
      </x:c>
      <x:c r="O168" s="12" t="str">
        <x:f>IFERROR(VLOOKUP($D168&amp;"|"&amp;$K168,Recommendation_Lookup!$A$2:$H$19,5,FALSE),"")</x:f>
        <x:v>RVX Advanced Strength-Power</x:v>
      </x:c>
      <x:c r="P168" s="12" t="str">
        <x:f>IFERROR(VLOOKUP($D168&amp;"|"&amp;$K168,Recommendation_Lookup!$A$2:$H$19,6,FALSE),"")</x:f>
        <x:v>RVX Force Maintenance Microdose</x:v>
      </x:c>
      <x:c r="Q168" s="12" t="str">
        <x:f>IFERROR(VLOOKUP($D168&amp;"|"&amp;$K168,Recommendation_Lookup!$A$2:$H$19,7,FALSE),"")</x:f>
        <x:v>Produce high force without losing position or movement speed.</x:v>
      </x:c>
      <x:c r="R168" s="12" t="str">
        <x:f>IFERROR(VLOOKUP($D168&amp;"|"&amp;$K168,Recommendation_Lookup!$A$2:$H$19,8,FALSE),"")</x:f>
        <x:v>Retest every 6–8 weeks or following a strength-power phase.</x:v>
      </x:c>
      <x:c r="S168" s="12"/>
      <x:c r="T168" s="12"/>
      <x:c r="U168" s="12"/>
      <x:c r="V168" s="12"/>
      <x:c r="W168" s="12" t="str">
        <x:f>IF($S168&lt;&gt;"",$S168,$K168)</x:f>
        <x:v>Above Norm</x:v>
      </x:c>
      <x:c r="X168" s="12" t="str">
        <x:f>IF($T168&lt;&gt;"",$T168,$L168)</x:f>
        <x:v>Maintain maximal force qualities</x:v>
      </x:c>
      <x:c r="Y168" s="12" t="str">
        <x:f>IF($U168&lt;&gt;"",$U168,$N168)</x:f>
        <x:v>Maintain maximal force with low-volume strength exposure while shifting selected work toward power and sport-specific application. Monitor asymmetry and fatigue.</x:v>
      </x:c>
      <x:c r="Z168" s="12" t="str">
        <x:f>IF($V168&lt;&gt;"",$V168,$O168)</x:f>
        <x:v>RVX Advanced Strength-Power</x:v>
      </x:c>
      <x:c r="AA168" s="12"/>
    </x:row>
    <x:row r="169">
      <x:c r="A169" s="12" t="str">
        <x:v>RVX-00028</x:v>
      </x:c>
      <x:c r="B169" s="12" t="str">
        <x:f>IFERROR(VLOOKUP($A169,Athlete_Profile!$A$2:$L$51,6,FALSE),"")</x:f>
        <x:v>Hockey</x:v>
      </x:c>
      <x:c r="C169" s="12" t="str">
        <x:f>IFERROR(VLOOKUP($A169,Athlete_Profile!$A$2:$L$51,5,FALSE),"")</x:f>
        <x:v>Male</x:v>
      </x:c>
      <x:c r="D169" s="12" t="str">
        <x:v>impulse</x:v>
      </x:c>
      <x:c r="E169" s="12" t="str">
        <x:f>IFERROR(VLOOKUP($D169,Dropdown_Lists!$K$2:$N$7,2,FALSE),"")</x:f>
        <x:v>Impulse-Momentum</x:v>
      </x:c>
      <x:c r="F169" s="12" t="str">
        <x:f>IFERROR(VLOOKUP($D169,Dropdown_Lists!$K$2:$N$7,3,FALSE),"")</x:f>
        <x:v>higher</x:v>
      </x:c>
      <x:c r="G169" s="17" t="n">
        <x:f>IFERROR(LOOKUP(2,1/((Performance_Metrics!$A$2:$A$3000=$A169)*(Performance_Metrics!$D$2:$D$3000=$D169)),Performance_Metrics!$C$2:$C$3000),"")</x:f>
        <x:v>46230</x:v>
      </x:c>
      <x:c r="H169" s="12" t="n">
        <x:f>IFERROR(LOOKUP(2,1/((Performance_Metrics!$A$2:$A$3000=$A169)*(Performance_Metrics!$D$2:$D$3000=$D169)),Performance_Metrics!$G$2:$G$3000),"")</x:f>
        <x:v>269.6</x:v>
      </x:c>
      <x:c r="I169" s="12" t="n">
        <x:f>IFERROR(SUMIFS(Normative_Data!$G$2:$G$1000,Normative_Data!$A$2:$A$1000,$B169,Normative_Data!$B$2:$B$1000,$C169,Normative_Data!$E$2:$E$1000,$D169),"")</x:f>
        <x:v>236.5</x:v>
      </x:c>
      <x:c r="J169" s="18" t="n">
        <x:f>IF(OR($H169="",$I169=""),"",($H169-$I169)/$I169)</x:f>
        <x:v>0.13995771670190285</x:v>
      </x:c>
      <x:c r="K169" s="12" t="str">
        <x:f>IF(OR($H169="",$I169="",$F169=""),"",IF(ABS($J169)&lt;=0.05,"Equal to Norm",IF($F169="lower",IF($H169&lt;$I169,"Above Norm","Below Norm"),IF($H169&gt;$I169,"Above Norm","Below Norm"))))</x:f>
        <x:v>Above Norm</x:v>
      </x:c>
      <x:c r="L169" s="12" t="str">
        <x:f>IFERROR(VLOOKUP($D169&amp;"|"&amp;$K169,Recommendation_Lookup!$A$2:$H$19,2,FALSE),"")</x:f>
        <x:v>Maintain total force-time output</x:v>
      </x:c>
      <x:c r="M169" s="12" t="str">
        <x:f>IFERROR(VLOOKUP($D169&amp;"|"&amp;$K169,Recommendation_Lookup!$A$2:$H$19,3,FALSE),"")</x:f>
        <x:v>Rate of force development; movement time; power transfer; fatigue resistance</x:v>
      </x:c>
      <x:c r="N169" s="12" t="str">
        <x:f>IFERROR(VLOOKUP($D169&amp;"|"&amp;$K169,Recommendation_Lookup!$A$2:$H$19,4,FALSE),"")</x:f>
        <x:v>Maintain impulse with strength-power microdosing and varied jump or sprint exposures. Ensure high impulse is achieved efficiently rather than through excessive movement time.</x:v>
      </x:c>
      <x:c r="O169" s="12" t="str">
        <x:f>IFERROR(VLOOKUP($D169&amp;"|"&amp;$K169,Recommendation_Lookup!$A$2:$H$19,5,FALSE),"")</x:f>
        <x:v>RVX Advanced Power Development</x:v>
      </x:c>
      <x:c r="P169" s="12" t="str">
        <x:f>IFERROR(VLOOKUP($D169&amp;"|"&amp;$K169,Recommendation_Lookup!$A$2:$H$19,6,FALSE),"")</x:f>
        <x:v>RVX Elastic Power Microdose</x:v>
      </x:c>
      <x:c r="Q169" s="12" t="str">
        <x:f>IFERROR(VLOOKUP($D169&amp;"|"&amp;$K169,Recommendation_Lookup!$A$2:$H$19,7,FALSE),"")</x:f>
        <x:v>Build force quickly and keep applying it through the full movement.</x:v>
      </x:c>
      <x:c r="R169" s="12" t="str">
        <x:f>IFERROR(VLOOKUP($D169&amp;"|"&amp;$K169,Recommendation_Lookup!$A$2:$H$19,8,FALSE),"")</x:f>
        <x:v>Retest every 6–8 weeks while reviewing contraction time and jump outcome.</x:v>
      </x:c>
      <x:c r="S169" s="12"/>
      <x:c r="T169" s="12"/>
      <x:c r="U169" s="12"/>
      <x:c r="V169" s="12"/>
      <x:c r="W169" s="12" t="str">
        <x:f>IF($S169&lt;&gt;"",$S169,$K169)</x:f>
        <x:v>Above Norm</x:v>
      </x:c>
      <x:c r="X169" s="12" t="str">
        <x:f>IF($T169&lt;&gt;"",$T169,$L169)</x:f>
        <x:v>Maintain total force-time output</x:v>
      </x:c>
      <x:c r="Y169" s="12" t="str">
        <x:f>IF($U169&lt;&gt;"",$U169,$N169)</x:f>
        <x:v>Maintain impulse with strength-power microdosing and varied jump or sprint exposures. Ensure high impulse is achieved efficiently rather than through excessive movement time.</x:v>
      </x:c>
      <x:c r="Z169" s="12" t="str">
        <x:f>IF($V169&lt;&gt;"",$V169,$O169)</x:f>
        <x:v>RVX Advanced Power Development</x:v>
      </x:c>
      <x:c r="AA169" s="12"/>
    </x:row>
    <x:row r="170">
      <x:c r="A170" s="12" t="str">
        <x:v>RVX-00029</x:v>
      </x:c>
      <x:c r="B170" s="12" t="str">
        <x:f>IFERROR(VLOOKUP($A170,Athlete_Profile!$A$2:$L$51,6,FALSE),"")</x:f>
        <x:v>Hockey</x:v>
      </x:c>
      <x:c r="C170" s="12" t="str">
        <x:f>IFERROR(VLOOKUP($A170,Athlete_Profile!$A$2:$L$51,5,FALSE),"")</x:f>
        <x:v>Female</x:v>
      </x:c>
      <x:c r="D170" s="12" t="str">
        <x:v>sprint_5m</x:v>
      </x:c>
      <x:c r="E170" s="12" t="str">
        <x:f>IFERROR(VLOOKUP($D170,Dropdown_Lists!$K$2:$N$7,2,FALSE),"")</x:f>
        <x:v>5m Sprint</x:v>
      </x:c>
      <x:c r="F170" s="12" t="str">
        <x:f>IFERROR(VLOOKUP($D170,Dropdown_Lists!$K$2:$N$7,3,FALSE),"")</x:f>
        <x:v>lower</x:v>
      </x:c>
      <x:c r="G170" s="17" t="n">
        <x:f>IFERROR(LOOKUP(2,1/((Performance_Metrics!$A$2:$A$3000=$A170)*(Performance_Metrics!$D$2:$D$3000=$D170)),Performance_Metrics!$C$2:$C$3000),"")</x:f>
        <x:v>46230</x:v>
      </x:c>
      <x:c r="H170" s="12" t="n">
        <x:f>IFERROR(LOOKUP(2,1/((Performance_Metrics!$A$2:$A$3000=$A170)*(Performance_Metrics!$D$2:$D$3000=$D170)),Performance_Metrics!$G$2:$G$3000),"")</x:f>
        <x:v>1.05</x:v>
      </x:c>
      <x:c r="I170" s="12" t="n">
        <x:f>IFERROR(SUMIFS(Normative_Data!$G$2:$G$1000,Normative_Data!$A$2:$A$1000,$B170,Normative_Data!$B$2:$B$1000,$C170,Normative_Data!$E$2:$E$1000,$D170),"")</x:f>
        <x:v>1.12</x:v>
      </x:c>
      <x:c r="J170" s="18" t="n">
        <x:f>IF(OR($H170="",$I170=""),"",($H170-$I170)/$I170)</x:f>
        <x:v>-0.06250000000000006</x:v>
      </x:c>
      <x:c r="K170" s="12" t="str">
        <x:f>IF(OR($H170="",$I170="",$F170=""),"",IF(ABS($J170)&lt;=0.05,"Equal to Norm",IF($F170="lower",IF($H170&lt;$I170,"Above Norm","Below Norm"),IF($H170&gt;$I170,"Above Norm","Below Norm"))))</x:f>
        <x:v>Above Norm</x:v>
      </x:c>
      <x:c r="L170" s="12" t="str">
        <x:f>IFERROR(VLOOKUP($D170&amp;"|"&amp;$K170,Recommendation_Lookup!$A$2:$H$19,2,FALSE),"")</x:f>
        <x:v>Maintain first-step explosiveness</x:v>
      </x:c>
      <x:c r="M170" s="12" t="str">
        <x:f>IFERROR(VLOOKUP($D170&amp;"|"&amp;$K170,Recommendation_Lookup!$A$2:$H$19,3,FALSE),"")</x:f>
        <x:v>Start consistency; projection angle; horizontal force; reaction quality</x:v>
      </x:c>
      <x:c r="N170" s="12" t="str">
        <x:f>IFERROR(VLOOKUP($D170&amp;"|"&amp;$K170,Recommendation_Lookup!$A$2:$H$19,4,FALSE),"")</x:f>
        <x:v>Maintain speed with low-volume, high-quality acceleration exposures. Avoid unnecessary volume that could reduce sprint quality. Progress through resisted and reactive starts while preserving mechanics.</x:v>
      </x:c>
      <x:c r="O170" s="12" t="str">
        <x:f>IFERROR(VLOOKUP($D170&amp;"|"&amp;$K170,Recommendation_Lookup!$A$2:$H$19,5,FALSE),"")</x:f>
        <x:v>RVX Advanced Acceleration</x:v>
      </x:c>
      <x:c r="P170" s="12" t="str">
        <x:f>IFERROR(VLOOKUP($D170&amp;"|"&amp;$K170,Recommendation_Lookup!$A$2:$H$19,6,FALSE),"")</x:f>
        <x:v>RVX Explosive Starts Microdose</x:v>
      </x:c>
      <x:c r="Q170" s="12" t="str">
        <x:f>IFERROR(VLOOKUP($D170&amp;"|"&amp;$K170,Recommendation_Lookup!$A$2:$H$19,7,FALSE),"")</x:f>
        <x:v>Project forward, push the ground back, and win the first three steps.</x:v>
      </x:c>
      <x:c r="R170" s="12" t="str">
        <x:f>IFERROR(VLOOKUP($D170&amp;"|"&amp;$K170,Recommendation_Lookup!$A$2:$H$19,8,FALSE),"")</x:f>
        <x:v>Retest every 6–8 weeks or after a dedicated acceleration block.</x:v>
      </x:c>
      <x:c r="S170" s="12"/>
      <x:c r="T170" s="12"/>
      <x:c r="U170" s="12"/>
      <x:c r="V170" s="12"/>
      <x:c r="W170" s="12" t="str">
        <x:f>IF($S170&lt;&gt;"",$S170,$K170)</x:f>
        <x:v>Above Norm</x:v>
      </x:c>
      <x:c r="X170" s="12" t="str">
        <x:f>IF($T170&lt;&gt;"",$T170,$L170)</x:f>
        <x:v>Maintain first-step explosiveness</x:v>
      </x:c>
      <x:c r="Y170" s="12" t="str">
        <x:f>IF($U170&lt;&gt;"",$U170,$N170)</x:f>
        <x:v>Maintain speed with low-volume, high-quality acceleration exposures. Avoid unnecessary volume that could reduce sprint quality. Progress through resisted and reactive starts while preserving mechanics.</x:v>
      </x:c>
      <x:c r="Z170" s="12" t="str">
        <x:f>IF($V170&lt;&gt;"",$V170,$O170)</x:f>
        <x:v>RVX Advanced Acceleration</x:v>
      </x:c>
      <x:c r="AA170" s="12"/>
    </x:row>
    <x:row r="171">
      <x:c r="A171" s="12" t="str">
        <x:v>RVX-00029</x:v>
      </x:c>
      <x:c r="B171" s="12" t="str">
        <x:f>IFERROR(VLOOKUP($A171,Athlete_Profile!$A$2:$L$51,6,FALSE),"")</x:f>
        <x:v>Hockey</x:v>
      </x:c>
      <x:c r="C171" s="12" t="str">
        <x:f>IFERROR(VLOOKUP($A171,Athlete_Profile!$A$2:$L$51,5,FALSE),"")</x:f>
        <x:v>Female</x:v>
      </x:c>
      <x:c r="D171" s="12" t="str">
        <x:v>sprint_10m</x:v>
      </x:c>
      <x:c r="E171" s="12" t="str">
        <x:f>IFERROR(VLOOKUP($D171,Dropdown_Lists!$K$2:$N$7,2,FALSE),"")</x:f>
        <x:v>10m Sprint</x:v>
      </x:c>
      <x:c r="F171" s="12" t="str">
        <x:f>IFERROR(VLOOKUP($D171,Dropdown_Lists!$K$2:$N$7,3,FALSE),"")</x:f>
        <x:v>lower</x:v>
      </x:c>
      <x:c r="G171" s="17" t="n">
        <x:f>IFERROR(LOOKUP(2,1/((Performance_Metrics!$A$2:$A$3000=$A171)*(Performance_Metrics!$D$2:$D$3000=$D171)),Performance_Metrics!$C$2:$C$3000),"")</x:f>
        <x:v>46230</x:v>
      </x:c>
      <x:c r="H171" s="12" t="n">
        <x:f>IFERROR(LOOKUP(2,1/((Performance_Metrics!$A$2:$A$3000=$A171)*(Performance_Metrics!$D$2:$D$3000=$D171)),Performance_Metrics!$G$2:$G$3000),"")</x:f>
        <x:v>1.8</x:v>
      </x:c>
      <x:c r="I171" s="12" t="n">
        <x:f>IFERROR(SUMIFS(Normative_Data!$G$2:$G$1000,Normative_Data!$A$2:$A$1000,$B171,Normative_Data!$B$2:$B$1000,$C171,Normative_Data!$E$2:$E$1000,$D171),"")</x:f>
        <x:v>1.88</x:v>
      </x:c>
      <x:c r="J171" s="18" t="n">
        <x:f>IF(OR($H171="",$I171=""),"",($H171-$I171)/$I171)</x:f>
        <x:v>-0.042553191489361625</x:v>
      </x:c>
      <x:c r="K171" s="12" t="str">
        <x:f>IF(OR($H171="",$I171="",$F171=""),"",IF(ABS($J171)&lt;=0.05,"Equal to Norm",IF($F171="lower",IF($H171&lt;$I171,"Above Norm","Below Norm"),IF($H171&gt;$I171,"Above Norm","Below Norm"))))</x:f>
        <x:v>Equal to Norm</x:v>
      </x:c>
      <x:c r="L171" s="12" t="str">
        <x:f>IFERROR(VLOOKUP($D171&amp;"|"&amp;$K171,Recommendation_Lookup!$A$2:$H$19,2,FALSE),"")</x:f>
        <x:v>Improve acceleration continuation</x:v>
      </x:c>
      <x:c r="M171" s="12" t="str">
        <x:f>IFERROR(VLOOKUP($D171&amp;"|"&amp;$K171,Recommendation_Lookup!$A$2:$H$19,3,FALSE),"")</x:f>
        <x:v>Projection; force orientation; step rhythm; trunk control</x:v>
      </x:c>
      <x:c r="N171" s="12" t="str">
        <x:f>IFERROR(VLOOKUP($D171&amp;"|"&amp;$K171,Recommendation_Lookup!$A$2:$H$19,4,FALSE),"")</x:f>
        <x:v>Build acceleration from 0–10 m using split starts, falling starts and progressive resisted sprints. Emphasize full recovery and technical consistency.</x:v>
      </x:c>
      <x:c r="O171" s="12" t="str">
        <x:f>IFERROR(VLOOKUP($D171&amp;"|"&amp;$K171,Recommendation_Lookup!$A$2:$H$19,5,FALSE),"")</x:f>
        <x:v>RVX Acceleration Development</x:v>
      </x:c>
      <x:c r="P171" s="12" t="str">
        <x:f>IFERROR(VLOOKUP($D171&amp;"|"&amp;$K171,Recommendation_Lookup!$A$2:$H$19,6,FALSE),"")</x:f>
        <x:v>RVX Sprint Mechanics</x:v>
      </x:c>
      <x:c r="Q171" s="12" t="str">
        <x:f>IFERROR(VLOOKUP($D171&amp;"|"&amp;$K171,Recommendation_Lookup!$A$2:$H$19,7,FALSE),"")</x:f>
        <x:v>Keep building speed through the line; do not stand up too early.</x:v>
      </x:c>
      <x:c r="R171" s="12" t="str">
        <x:f>IFERROR(VLOOKUP($D171&amp;"|"&amp;$K171,Recommendation_Lookup!$A$2:$H$19,8,FALSE),"")</x:f>
        <x:v>Retest after 4–6 weeks.</x:v>
      </x:c>
      <x:c r="S171" s="12"/>
      <x:c r="T171" s="12"/>
      <x:c r="U171" s="12"/>
      <x:c r="V171" s="12"/>
      <x:c r="W171" s="12" t="str">
        <x:f>IF($S171&lt;&gt;"",$S171,$K171)</x:f>
        <x:v>Equal to Norm</x:v>
      </x:c>
      <x:c r="X171" s="12" t="str">
        <x:f>IF($T171&lt;&gt;"",$T171,$L171)</x:f>
        <x:v>Improve acceleration continuation</x:v>
      </x:c>
      <x:c r="Y171" s="12" t="str">
        <x:f>IF($U171&lt;&gt;"",$U171,$N171)</x:f>
        <x:v>Build acceleration from 0–10 m using split starts, falling starts and progressive resisted sprints. Emphasize full recovery and technical consistency.</x:v>
      </x:c>
      <x:c r="Z171" s="12" t="str">
        <x:f>IF($V171&lt;&gt;"",$V171,$O171)</x:f>
        <x:v>RVX Acceleration Development</x:v>
      </x:c>
      <x:c r="AA171" s="12"/>
    </x:row>
    <x:row r="172">
      <x:c r="A172" s="12" t="str">
        <x:v>RVX-00029</x:v>
      </x:c>
      <x:c r="B172" s="12" t="str">
        <x:f>IFERROR(VLOOKUP($A172,Athlete_Profile!$A$2:$L$51,6,FALSE),"")</x:f>
        <x:v>Hockey</x:v>
      </x:c>
      <x:c r="C172" s="12" t="str">
        <x:f>IFERROR(VLOOKUP($A172,Athlete_Profile!$A$2:$L$51,5,FALSE),"")</x:f>
        <x:v>Female</x:v>
      </x:c>
      <x:c r="D172" s="12" t="str">
        <x:v>pro_agility</x:v>
      </x:c>
      <x:c r="E172" s="12" t="str">
        <x:f>IFERROR(VLOOKUP($D172,Dropdown_Lists!$K$2:$N$7,2,FALSE),"")</x:f>
        <x:v>5-10-5 Pro Agility</x:v>
      </x:c>
      <x:c r="F172" s="12" t="str">
        <x:f>IFERROR(VLOOKUP($D172,Dropdown_Lists!$K$2:$N$7,3,FALSE),"")</x:f>
        <x:v>lower</x:v>
      </x:c>
      <x:c r="G172" s="17" t="n">
        <x:f>IFERROR(LOOKUP(2,1/((Performance_Metrics!$A$2:$A$3000=$A172)*(Performance_Metrics!$D$2:$D$3000=$D172)),Performance_Metrics!$C$2:$C$3000),"")</x:f>
        <x:v>46230</x:v>
      </x:c>
      <x:c r="H172" s="12" t="n">
        <x:f>IFERROR(LOOKUP(2,1/((Performance_Metrics!$A$2:$A$3000=$A172)*(Performance_Metrics!$D$2:$D$3000=$D172)),Performance_Metrics!$G$2:$G$3000),"")</x:f>
        <x:v>4.61</x:v>
      </x:c>
      <x:c r="I172" s="12" t="n">
        <x:f>IFERROR(SUMIFS(Normative_Data!$G$2:$G$1000,Normative_Data!$A$2:$A$1000,$B172,Normative_Data!$B$2:$B$1000,$C172,Normative_Data!$E$2:$E$1000,$D172),"")</x:f>
        <x:v>4.82</x:v>
      </x:c>
      <x:c r="J172" s="18" t="n">
        <x:f>IF(OR($H172="",$I172=""),"",($H172-$I172)/$I172)</x:f>
        <x:v>-0.04356846473029045</x:v>
      </x:c>
      <x:c r="K172" s="12" t="str">
        <x:f>IF(OR($H172="",$I172="",$F172=""),"",IF(ABS($J172)&lt;=0.05,"Equal to Norm",IF($F172="lower",IF($H172&lt;$I172,"Above Norm","Below Norm"),IF($H172&gt;$I172,"Above Norm","Below Norm"))))</x:f>
        <x:v>Equal to Norm</x:v>
      </x:c>
      <x:c r="L172" s="12" t="str">
        <x:f>IFERROR(VLOOKUP($D172&amp;"|"&amp;$K172,Recommendation_Lookup!$A$2:$H$19,2,FALSE),"")</x:f>
        <x:v>Improve braking and re-acceleration</x:v>
      </x:c>
      <x:c r="M172" s="12" t="str">
        <x:f>IFERROR(VLOOKUP($D172&amp;"|"&amp;$K172,Recommendation_Lookup!$A$2:$H$19,3,FALSE),"")</x:f>
        <x:v>Deceleration mechanics; foot placement; hip position; crossover efficiency</x:v>
      </x:c>
      <x:c r="N172" s="12" t="str">
        <x:f>IFERROR(VLOOKUP($D172&amp;"|"&amp;$K172,Recommendation_Lookup!$A$2:$H$19,4,FALSE),"")</x:f>
        <x:v>Use a structured change-of-direction block emphasizing braking positions, plant-foot control and efficient re-acceleration on both sides.</x:v>
      </x:c>
      <x:c r="O172" s="12" t="str">
        <x:f>IFERROR(VLOOKUP($D172&amp;"|"&amp;$K172,Recommendation_Lookup!$A$2:$H$19,5,FALSE),"")</x:f>
        <x:v>RVX Change of Direction Development</x:v>
      </x:c>
      <x:c r="P172" s="12" t="str">
        <x:f>IFERROR(VLOOKUP($D172&amp;"|"&amp;$K172,Recommendation_Lookup!$A$2:$H$19,6,FALSE),"")</x:f>
        <x:v>RVX Deceleration Mechanics</x:v>
      </x:c>
      <x:c r="Q172" s="12" t="str">
        <x:f>IFERROR(VLOOKUP($D172&amp;"|"&amp;$K172,Recommendation_Lookup!$A$2:$H$19,7,FALSE),"")</x:f>
        <x:v>Lower the centre of mass before the turn and push away from the plant.</x:v>
      </x:c>
      <x:c r="R172" s="12" t="str">
        <x:f>IFERROR(VLOOKUP($D172&amp;"|"&amp;$K172,Recommendation_Lookup!$A$2:$H$19,8,FALSE),"")</x:f>
        <x:v>Retest after 4–6 weeks and review directional splits if available.</x:v>
      </x:c>
      <x:c r="S172" s="12"/>
      <x:c r="T172" s="12"/>
      <x:c r="U172" s="12"/>
      <x:c r="V172" s="12"/>
      <x:c r="W172" s="12" t="str">
        <x:f>IF($S172&lt;&gt;"",$S172,$K172)</x:f>
        <x:v>Equal to Norm</x:v>
      </x:c>
      <x:c r="X172" s="12" t="str">
        <x:f>IF($T172&lt;&gt;"",$T172,$L172)</x:f>
        <x:v>Improve braking and re-acceleration</x:v>
      </x:c>
      <x:c r="Y172" s="12" t="str">
        <x:f>IF($U172&lt;&gt;"",$U172,$N172)</x:f>
        <x:v>Use a structured change-of-direction block emphasizing braking positions, plant-foot control and efficient re-acceleration on both sides.</x:v>
      </x:c>
      <x:c r="Z172" s="12" t="str">
        <x:f>IF($V172&lt;&gt;"",$V172,$O172)</x:f>
        <x:v>RVX Change of Direction Development</x:v>
      </x:c>
      <x:c r="AA172" s="12"/>
    </x:row>
    <x:row r="173">
      <x:c r="A173" s="12" t="str">
        <x:v>RVX-00029</x:v>
      </x:c>
      <x:c r="B173" s="12" t="str">
        <x:f>IFERROR(VLOOKUP($A173,Athlete_Profile!$A$2:$L$51,6,FALSE),"")</x:f>
        <x:v>Hockey</x:v>
      </x:c>
      <x:c r="C173" s="12" t="str">
        <x:f>IFERROR(VLOOKUP($A173,Athlete_Profile!$A$2:$L$51,5,FALSE),"")</x:f>
        <x:v>Female</x:v>
      </x:c>
      <x:c r="D173" s="12" t="str">
        <x:v>cmj_depth</x:v>
      </x:c>
      <x:c r="E173" s="12" t="str">
        <x:f>IFERROR(VLOOKUP($D173,Dropdown_Lists!$K$2:$N$7,2,FALSE),"")</x:f>
        <x:v>Countermovement Depth</x:v>
      </x:c>
      <x:c r="F173" s="12" t="str">
        <x:f>IFERROR(VLOOKUP($D173,Dropdown_Lists!$K$2:$N$7,3,FALSE),"")</x:f>
        <x:v>higher</x:v>
      </x:c>
      <x:c r="G173" s="17" t="n">
        <x:f>IFERROR(LOOKUP(2,1/((Performance_Metrics!$A$2:$A$3000=$A173)*(Performance_Metrics!$D$2:$D$3000=$D173)),Performance_Metrics!$C$2:$C$3000),"")</x:f>
        <x:v>46230</x:v>
      </x:c>
      <x:c r="H173" s="12" t="n">
        <x:f>IFERROR(LOOKUP(2,1/((Performance_Metrics!$A$2:$A$3000=$A173)*(Performance_Metrics!$D$2:$D$3000=$D173)),Performance_Metrics!$G$2:$G$3000),"")</x:f>
        <x:v>31.3</x:v>
      </x:c>
      <x:c r="I173" s="12" t="n">
        <x:f>IFERROR(SUMIFS(Normative_Data!$G$2:$G$1000,Normative_Data!$A$2:$A$1000,$B173,Normative_Data!$B$2:$B$1000,$C173,Normative_Data!$E$2:$E$1000,$D173),"")</x:f>
        <x:v>30</x:v>
      </x:c>
      <x:c r="J173" s="18" t="n">
        <x:f>IF(OR($H173="",$I173=""),"",($H173-$I173)/$I173)</x:f>
        <x:v>0.043333333333333356</x:v>
      </x:c>
      <x:c r="K173" s="12" t="str">
        <x:f>IF(OR($H173="",$I173="",$F173=""),"",IF(ABS($J173)&lt;=0.05,"Equal to Norm",IF($F173="lower",IF($H173&lt;$I173,"Above Norm","Below Norm"),IF($H173&gt;$I173,"Above Norm","Below Norm"))))</x:f>
        <x:v>Equal to Norm</x:v>
      </x:c>
      <x:c r="L173" s="12" t="str">
        <x:f>IFERROR(VLOOKUP($D173&amp;"|"&amp;$K173,Recommendation_Lookup!$A$2:$H$19,2,FALSE),"")</x:f>
        <x:v>Optimize countermovement strategy</x:v>
      </x:c>
      <x:c r="M173" s="12" t="str">
        <x:f>IFERROR(VLOOKUP($D173&amp;"|"&amp;$K173,Recommendation_Lookup!$A$2:$H$19,3,FALSE),"")</x:f>
        <x:v>Eccentric control; trunk position; reversal timing; mobility</x:v>
      </x:c>
      <x:c r="N173" s="12" t="str">
        <x:f>IFERROR(VLOOKUP($D173&amp;"|"&amp;$K173,Recommendation_Lookup!$A$2:$H$19,4,FALSE),"")</x:f>
        <x:v>Use controlled countermovement drills and landing-to-jump progressions. Determine whether additional or reduced depth improves the athlete’s overall jump output.</x:v>
      </x:c>
      <x:c r="O173" s="12" t="str">
        <x:f>IFERROR(VLOOKUP($D173&amp;"|"&amp;$K173,Recommendation_Lookup!$A$2:$H$19,5,FALSE),"")</x:f>
        <x:v>RVX Jump Mechanics</x:v>
      </x:c>
      <x:c r="P173" s="12" t="str">
        <x:f>IFERROR(VLOOKUP($D173&amp;"|"&amp;$K173,Recommendation_Lookup!$A$2:$H$19,6,FALSE),"")</x:f>
        <x:v>RVX Eccentric Control</x:v>
      </x:c>
      <x:c r="Q173" s="12" t="str">
        <x:f>IFERROR(VLOOKUP($D173&amp;"|"&amp;$K173,Recommendation_Lookup!$A$2:$H$19,7,FALSE),"")</x:f>
        <x:v>Sit into the movement under control and reverse without losing posture.</x:v>
      </x:c>
      <x:c r="R173" s="12" t="str">
        <x:f>IFERROR(VLOOKUP($D173&amp;"|"&amp;$K173,Recommendation_Lookup!$A$2:$H$19,8,FALSE),"")</x:f>
        <x:v>Retest after 4–6 weeks with jump height and impulse reviewed together.</x:v>
      </x:c>
      <x:c r="S173" s="12"/>
      <x:c r="T173" s="12"/>
      <x:c r="U173" s="12"/>
      <x:c r="V173" s="12"/>
      <x:c r="W173" s="12" t="str">
        <x:f>IF($S173&lt;&gt;"",$S173,$K173)</x:f>
        <x:v>Equal to Norm</x:v>
      </x:c>
      <x:c r="X173" s="12" t="str">
        <x:f>IF($T173&lt;&gt;"",$T173,$L173)</x:f>
        <x:v>Optimize countermovement strategy</x:v>
      </x:c>
      <x:c r="Y173" s="12" t="str">
        <x:f>IF($U173&lt;&gt;"",$U173,$N173)</x:f>
        <x:v>Use controlled countermovement drills and landing-to-jump progressions. Determine whether additional or reduced depth improves the athlete’s overall jump output.</x:v>
      </x:c>
      <x:c r="Z173" s="12" t="str">
        <x:f>IF($V173&lt;&gt;"",$V173,$O173)</x:f>
        <x:v>RVX Jump Mechanics</x:v>
      </x:c>
      <x:c r="AA173" s="12"/>
    </x:row>
    <x:row r="174">
      <x:c r="A174" s="12" t="str">
        <x:v>RVX-00029</x:v>
      </x:c>
      <x:c r="B174" s="12" t="str">
        <x:f>IFERROR(VLOOKUP($A174,Athlete_Profile!$A$2:$L$51,6,FALSE),"")</x:f>
        <x:v>Hockey</x:v>
      </x:c>
      <x:c r="C174" s="12" t="str">
        <x:f>IFERROR(VLOOKUP($A174,Athlete_Profile!$A$2:$L$51,5,FALSE),"")</x:f>
        <x:v>Female</x:v>
      </x:c>
      <x:c r="D174" s="12" t="str">
        <x:v>peak_force</x:v>
      </x:c>
      <x:c r="E174" s="12" t="str">
        <x:f>IFERROR(VLOOKUP($D174,Dropdown_Lists!$K$2:$N$7,2,FALSE),"")</x:f>
        <x:v>Peak Force</x:v>
      </x:c>
      <x:c r="F174" s="12" t="str">
        <x:f>IFERROR(VLOOKUP($D174,Dropdown_Lists!$K$2:$N$7,3,FALSE),"")</x:f>
        <x:v>higher</x:v>
      </x:c>
      <x:c r="G174" s="17" t="n">
        <x:f>IFERROR(LOOKUP(2,1/((Performance_Metrics!$A$2:$A$3000=$A174)*(Performance_Metrics!$D$2:$D$3000=$D174)),Performance_Metrics!$C$2:$C$3000),"")</x:f>
        <x:v>46230</x:v>
      </x:c>
      <x:c r="H174" s="12" t="n">
        <x:f>IFERROR(LOOKUP(2,1/((Performance_Metrics!$A$2:$A$3000=$A174)*(Performance_Metrics!$D$2:$D$3000=$D174)),Performance_Metrics!$G$2:$G$3000),"")</x:f>
        <x:v>1811</x:v>
      </x:c>
      <x:c r="I174" s="12" t="n">
        <x:f>IFERROR(SUMIFS(Normative_Data!$G$2:$G$1000,Normative_Data!$A$2:$A$1000,$B174,Normative_Data!$B$2:$B$1000,$C174,Normative_Data!$E$2:$E$1000,$D174),"")</x:f>
        <x:v>1750</x:v>
      </x:c>
      <x:c r="J174" s="18" t="n">
        <x:f>IF(OR($H174="",$I174=""),"",($H174-$I174)/$I174)</x:f>
        <x:v>0.03485714285714286</x:v>
      </x:c>
      <x:c r="K174" s="12" t="str">
        <x:f>IF(OR($H174="",$I174="",$F174=""),"",IF(ABS($J174)&lt;=0.05,"Equal to Norm",IF($F174="lower",IF($H174&lt;$I174,"Above Norm","Below Norm"),IF($H174&gt;$I174,"Above Norm","Below Norm"))))</x:f>
        <x:v>Equal to Norm</x:v>
      </x:c>
      <x:c r="L174" s="12" t="str">
        <x:f>IFERROR(VLOOKUP($D174&amp;"|"&amp;$K174,Recommendation_Lookup!$A$2:$H$19,2,FALSE),"")</x:f>
        <x:v>Increase force capacity</x:v>
      </x:c>
      <x:c r="M174" s="12" t="str">
        <x:f>IFERROR(VLOOKUP($D174&amp;"|"&amp;$K174,Recommendation_Lookup!$A$2:$H$19,3,FALSE),"")</x:f>
        <x:v>Relative strength; bracing; lower-body strength; isometric force</x:v>
      </x:c>
      <x:c r="N174" s="12" t="str">
        <x:f>IFERROR(VLOOKUP($D174&amp;"|"&amp;$K174,Recommendation_Lookup!$A$2:$H$19,4,FALSE),"")</x:f>
        <x:v>Use progressive lower-body strength training with compound lifts, isometrics and unilateral work. Maintain technical quality and appropriate loading progression.</x:v>
      </x:c>
      <x:c r="O174" s="12" t="str">
        <x:f>IFERROR(VLOOKUP($D174&amp;"|"&amp;$K174,Recommendation_Lookup!$A$2:$H$19,5,FALSE),"")</x:f>
        <x:v>RVX Strength Development</x:v>
      </x:c>
      <x:c r="P174" s="12" t="str">
        <x:f>IFERROR(VLOOKUP($D174&amp;"|"&amp;$K174,Recommendation_Lookup!$A$2:$H$19,6,FALSE),"")</x:f>
        <x:v>RVX Isometric Force Builder</x:v>
      </x:c>
      <x:c r="Q174" s="12" t="str">
        <x:f>IFERROR(VLOOKUP($D174&amp;"|"&amp;$K174,Recommendation_Lookup!$A$2:$H$19,7,FALSE),"")</x:f>
        <x:v>Create full-body tension and push through the floor with intent.</x:v>
      </x:c>
      <x:c r="R174" s="12" t="str">
        <x:f>IFERROR(VLOOKUP($D174&amp;"|"&amp;$K174,Recommendation_Lookup!$A$2:$H$19,8,FALSE),"")</x:f>
        <x:v>Retest after 4–6 weeks.</x:v>
      </x:c>
      <x:c r="S174" s="12"/>
      <x:c r="T174" s="12"/>
      <x:c r="U174" s="12"/>
      <x:c r="V174" s="12"/>
      <x:c r="W174" s="12" t="str">
        <x:f>IF($S174&lt;&gt;"",$S174,$K174)</x:f>
        <x:v>Equal to Norm</x:v>
      </x:c>
      <x:c r="X174" s="12" t="str">
        <x:f>IF($T174&lt;&gt;"",$T174,$L174)</x:f>
        <x:v>Increase force capacity</x:v>
      </x:c>
      <x:c r="Y174" s="12" t="str">
        <x:f>IF($U174&lt;&gt;"",$U174,$N174)</x:f>
        <x:v>Use progressive lower-body strength training with compound lifts, isometrics and unilateral work. Maintain technical quality and appropriate loading progression.</x:v>
      </x:c>
      <x:c r="Z174" s="12" t="str">
        <x:f>IF($V174&lt;&gt;"",$V174,$O174)</x:f>
        <x:v>RVX Strength Development</x:v>
      </x:c>
      <x:c r="AA174" s="12"/>
    </x:row>
    <x:row r="175">
      <x:c r="A175" s="12" t="str">
        <x:v>RVX-00029</x:v>
      </x:c>
      <x:c r="B175" s="12" t="str">
        <x:f>IFERROR(VLOOKUP($A175,Athlete_Profile!$A$2:$L$51,6,FALSE),"")</x:f>
        <x:v>Hockey</x:v>
      </x:c>
      <x:c r="C175" s="12" t="str">
        <x:f>IFERROR(VLOOKUP($A175,Athlete_Profile!$A$2:$L$51,5,FALSE),"")</x:f>
        <x:v>Female</x:v>
      </x:c>
      <x:c r="D175" s="12" t="str">
        <x:v>impulse</x:v>
      </x:c>
      <x:c r="E175" s="12" t="str">
        <x:f>IFERROR(VLOOKUP($D175,Dropdown_Lists!$K$2:$N$7,2,FALSE),"")</x:f>
        <x:v>Impulse-Momentum</x:v>
      </x:c>
      <x:c r="F175" s="12" t="str">
        <x:f>IFERROR(VLOOKUP($D175,Dropdown_Lists!$K$2:$N$7,3,FALSE),"")</x:f>
        <x:v>higher</x:v>
      </x:c>
      <x:c r="G175" s="17" t="n">
        <x:f>IFERROR(LOOKUP(2,1/((Performance_Metrics!$A$2:$A$3000=$A175)*(Performance_Metrics!$D$2:$D$3000=$D175)),Performance_Metrics!$C$2:$C$3000),"")</x:f>
        <x:v>46230</x:v>
      </x:c>
      <x:c r="H175" s="12" t="n">
        <x:f>IFERROR(LOOKUP(2,1/((Performance_Metrics!$A$2:$A$3000=$A175)*(Performance_Metrics!$D$2:$D$3000=$D175)),Performance_Metrics!$G$2:$G$3000),"")</x:f>
        <x:v>224.5</x:v>
      </x:c>
      <x:c r="I175" s="12" t="n">
        <x:f>IFERROR(SUMIFS(Normative_Data!$G$2:$G$1000,Normative_Data!$A$2:$A$1000,$B175,Normative_Data!$B$2:$B$1000,$C175,Normative_Data!$E$2:$E$1000,$D175),"")</x:f>
        <x:v>215</x:v>
      </x:c>
      <x:c r="J175" s="18" t="n">
        <x:f>IF(OR($H175="",$I175=""),"",($H175-$I175)/$I175)</x:f>
        <x:v>0.044186046511627906</x:v>
      </x:c>
      <x:c r="K175" s="12" t="str">
        <x:f>IF(OR($H175="",$I175="",$F175=""),"",IF(ABS($J175)&lt;=0.05,"Equal to Norm",IF($F175="lower",IF($H175&lt;$I175,"Above Norm","Below Norm"),IF($H175&gt;$I175,"Above Norm","Below Norm"))))</x:f>
        <x:v>Equal to Norm</x:v>
      </x:c>
      <x:c r="L175" s="12" t="str">
        <x:f>IFERROR(VLOOKUP($D175&amp;"|"&amp;$K175,Recommendation_Lookup!$A$2:$H$19,2,FALSE),"")</x:f>
        <x:v>Improve force applied over time</x:v>
      </x:c>
      <x:c r="M175" s="12" t="str">
        <x:f>IFERROR(VLOOKUP($D175&amp;"|"&amp;$K175,Recommendation_Lookup!$A$2:$H$19,3,FALSE),"")</x:f>
        <x:v>Strength; countermovement strategy; intent; coordination; power</x:v>
      </x:c>
      <x:c r="N175" s="12" t="str">
        <x:f>IFERROR(VLOOKUP($D175&amp;"|"&amp;$K175,Recommendation_Lookup!$A$2:$H$19,4,FALSE),"")</x:f>
        <x:v>Use loaded jumps, isometrics and strength-power exercises that improve the athlete’s ability to produce and sustain force through the propulsion phase.</x:v>
      </x:c>
      <x:c r="O175" s="12" t="str">
        <x:f>IFERROR(VLOOKUP($D175&amp;"|"&amp;$K175,Recommendation_Lookup!$A$2:$H$19,5,FALSE),"")</x:f>
        <x:v>RVX Power Development</x:v>
      </x:c>
      <x:c r="P175" s="12" t="str">
        <x:f>IFERROR(VLOOKUP($D175&amp;"|"&amp;$K175,Recommendation_Lookup!$A$2:$H$19,6,FALSE),"")</x:f>
        <x:v>RVX Strength-Speed</x:v>
      </x:c>
      <x:c r="Q175" s="12" t="str">
        <x:f>IFERROR(VLOOKUP($D175&amp;"|"&amp;$K175,Recommendation_Lookup!$A$2:$H$19,7,FALSE),"")</x:f>
        <x:v>Apply force early and continue driving through take-off.</x:v>
      </x:c>
      <x:c r="R175" s="12" t="str">
        <x:f>IFERROR(VLOOKUP($D175&amp;"|"&amp;$K175,Recommendation_Lookup!$A$2:$H$19,8,FALSE),"")</x:f>
        <x:v>Retest after 4–6 weeks.</x:v>
      </x:c>
      <x:c r="S175" s="12"/>
      <x:c r="T175" s="12"/>
      <x:c r="U175" s="12"/>
      <x:c r="V175" s="12"/>
      <x:c r="W175" s="12" t="str">
        <x:f>IF($S175&lt;&gt;"",$S175,$K175)</x:f>
        <x:v>Equal to Norm</x:v>
      </x:c>
      <x:c r="X175" s="12" t="str">
        <x:f>IF($T175&lt;&gt;"",$T175,$L175)</x:f>
        <x:v>Improve force applied over time</x:v>
      </x:c>
      <x:c r="Y175" s="12" t="str">
        <x:f>IF($U175&lt;&gt;"",$U175,$N175)</x:f>
        <x:v>Use loaded jumps, isometrics and strength-power exercises that improve the athlete’s ability to produce and sustain force through the propulsion phase.</x:v>
      </x:c>
      <x:c r="Z175" s="12" t="str">
        <x:f>IF($V175&lt;&gt;"",$V175,$O175)</x:f>
        <x:v>RVX Power Development</x:v>
      </x:c>
      <x:c r="AA175" s="12"/>
    </x:row>
    <x:row r="176">
      <x:c r="A176" s="12" t="str">
        <x:v>RVX-00030</x:v>
      </x:c>
      <x:c r="B176" s="12" t="str">
        <x:f>IFERROR(VLOOKUP($A176,Athlete_Profile!$A$2:$L$51,6,FALSE),"")</x:f>
        <x:v>Hockey</x:v>
      </x:c>
      <x:c r="C176" s="12" t="str">
        <x:f>IFERROR(VLOOKUP($A176,Athlete_Profile!$A$2:$L$51,5,FALSE),"")</x:f>
        <x:v>Male</x:v>
      </x:c>
      <x:c r="D176" s="12" t="str">
        <x:v>sprint_5m</x:v>
      </x:c>
      <x:c r="E176" s="12" t="str">
        <x:f>IFERROR(VLOOKUP($D176,Dropdown_Lists!$K$2:$N$7,2,FALSE),"")</x:f>
        <x:v>5m Sprint</x:v>
      </x:c>
      <x:c r="F176" s="12" t="str">
        <x:f>IFERROR(VLOOKUP($D176,Dropdown_Lists!$K$2:$N$7,3,FALSE),"")</x:f>
        <x:v>lower</x:v>
      </x:c>
      <x:c r="G176" s="17" t="n">
        <x:f>IFERROR(LOOKUP(2,1/((Performance_Metrics!$A$2:$A$3000=$A176)*(Performance_Metrics!$D$2:$D$3000=$D176)),Performance_Metrics!$C$2:$C$3000),"")</x:f>
        <x:v>46230</x:v>
      </x:c>
      <x:c r="H176" s="12" t="n">
        <x:f>IFERROR(LOOKUP(2,1/((Performance_Metrics!$A$2:$A$3000=$A176)*(Performance_Metrics!$D$2:$D$3000=$D176)),Performance_Metrics!$G$2:$G$3000),"")</x:f>
        <x:v>1.12</x:v>
      </x:c>
      <x:c r="I176" s="12" t="n">
        <x:f>IFERROR(SUMIFS(Normative_Data!$G$2:$G$1000,Normative_Data!$A$2:$A$1000,$B176,Normative_Data!$B$2:$B$1000,$C176,Normative_Data!$E$2:$E$1000,$D176),"")</x:f>
        <x:v>1.08</x:v>
      </x:c>
      <x:c r="J176" s="18" t="n">
        <x:f>IF(OR($H176="",$I176=""),"",($H176-$I176)/$I176)</x:f>
        <x:v>0.03703703703703707</x:v>
      </x:c>
      <x:c r="K176" s="12" t="str">
        <x:f>IF(OR($H176="",$I176="",$F176=""),"",IF(ABS($J176)&lt;=0.05,"Equal to Norm",IF($F176="lower",IF($H176&lt;$I176,"Above Norm","Below Norm"),IF($H176&gt;$I176,"Above Norm","Below Norm"))))</x:f>
        <x:v>Equal to Norm</x:v>
      </x:c>
      <x:c r="L176" s="12" t="str">
        <x:f>IFERROR(VLOOKUP($D176&amp;"|"&amp;$K176,Recommendation_Lookup!$A$2:$H$19,2,FALSE),"")</x:f>
        <x:v>Improve acceleration efficiency</x:v>
      </x:c>
      <x:c r="M176" s="12" t="str">
        <x:f>IFERROR(VLOOKUP($D176&amp;"|"&amp;$K176,Recommendation_Lookup!$A$2:$H$19,3,FALSE),"")</x:f>
        <x:v>Starting posture; shin angle; first-step direction; arm action</x:v>
      </x:c>
      <x:c r="N176" s="12" t="str">
        <x:f>IFERROR(VLOOKUP($D176&amp;"|"&amp;$K176,Recommendation_Lookup!$A$2:$H$19,4,FALSE),"")</x:f>
        <x:v>Use a focused acceleration-development block emphasizing starting position, projection and force application. Keep repetitions short with full recovery.</x:v>
      </x:c>
      <x:c r="O176" s="12" t="str">
        <x:f>IFERROR(VLOOKUP($D176&amp;"|"&amp;$K176,Recommendation_Lookup!$A$2:$H$19,5,FALSE),"")</x:f>
        <x:v>RVX Acceleration Foundations</x:v>
      </x:c>
      <x:c r="P176" s="12" t="str">
        <x:f>IFERROR(VLOOKUP($D176&amp;"|"&amp;$K176,Recommendation_Lookup!$A$2:$H$19,6,FALSE),"")</x:f>
        <x:v>RVX Sprint Mechanics</x:v>
      </x:c>
      <x:c r="Q176" s="12" t="str">
        <x:f>IFERROR(VLOOKUP($D176&amp;"|"&amp;$K176,Recommendation_Lookup!$A$2:$H$19,7,FALSE),"")</x:f>
        <x:v>Push out, not up. Keep the first steps powerful and connected.</x:v>
      </x:c>
      <x:c r="R176" s="12" t="str">
        <x:f>IFERROR(VLOOKUP($D176&amp;"|"&amp;$K176,Recommendation_Lookup!$A$2:$H$19,8,FALSE),"")</x:f>
        <x:v>Retest after 4–6 weeks of focused acceleration work.</x:v>
      </x:c>
      <x:c r="S176" s="12"/>
      <x:c r="T176" s="12"/>
      <x:c r="U176" s="12"/>
      <x:c r="V176" s="12"/>
      <x:c r="W176" s="12" t="str">
        <x:f>IF($S176&lt;&gt;"",$S176,$K176)</x:f>
        <x:v>Equal to Norm</x:v>
      </x:c>
      <x:c r="X176" s="12" t="str">
        <x:f>IF($T176&lt;&gt;"",$T176,$L176)</x:f>
        <x:v>Improve acceleration efficiency</x:v>
      </x:c>
      <x:c r="Y176" s="12" t="str">
        <x:f>IF($U176&lt;&gt;"",$U176,$N176)</x:f>
        <x:v>Use a focused acceleration-development block emphasizing starting position, projection and force application. Keep repetitions short with full recovery.</x:v>
      </x:c>
      <x:c r="Z176" s="12" t="str">
        <x:f>IF($V176&lt;&gt;"",$V176,$O176)</x:f>
        <x:v>RVX Acceleration Foundations</x:v>
      </x:c>
      <x:c r="AA176" s="12"/>
    </x:row>
    <x:row r="177">
      <x:c r="A177" s="12" t="str">
        <x:v>RVX-00030</x:v>
      </x:c>
      <x:c r="B177" s="12" t="str">
        <x:f>IFERROR(VLOOKUP($A177,Athlete_Profile!$A$2:$L$51,6,FALSE),"")</x:f>
        <x:v>Hockey</x:v>
      </x:c>
      <x:c r="C177" s="12" t="str">
        <x:f>IFERROR(VLOOKUP($A177,Athlete_Profile!$A$2:$L$51,5,FALSE),"")</x:f>
        <x:v>Male</x:v>
      </x:c>
      <x:c r="D177" s="12" t="str">
        <x:v>sprint_10m</x:v>
      </x:c>
      <x:c r="E177" s="12" t="str">
        <x:f>IFERROR(VLOOKUP($D177,Dropdown_Lists!$K$2:$N$7,2,FALSE),"")</x:f>
        <x:v>10m Sprint</x:v>
      </x:c>
      <x:c r="F177" s="12" t="str">
        <x:f>IFERROR(VLOOKUP($D177,Dropdown_Lists!$K$2:$N$7,3,FALSE),"")</x:f>
        <x:v>lower</x:v>
      </x:c>
      <x:c r="G177" s="17" t="n">
        <x:f>IFERROR(LOOKUP(2,1/((Performance_Metrics!$A$2:$A$3000=$A177)*(Performance_Metrics!$D$2:$D$3000=$D177)),Performance_Metrics!$C$2:$C$3000),"")</x:f>
        <x:v>46230</x:v>
      </x:c>
      <x:c r="H177" s="12" t="n">
        <x:f>IFERROR(LOOKUP(2,1/((Performance_Metrics!$A$2:$A$3000=$A177)*(Performance_Metrics!$D$2:$D$3000=$D177)),Performance_Metrics!$G$2:$G$3000),"")</x:f>
        <x:v>1.93</x:v>
      </x:c>
      <x:c r="I177" s="12" t="n">
        <x:f>IFERROR(SUMIFS(Normative_Data!$G$2:$G$1000,Normative_Data!$A$2:$A$1000,$B177,Normative_Data!$B$2:$B$1000,$C177,Normative_Data!$E$2:$E$1000,$D177),"")</x:f>
        <x:v>1.8</x:v>
      </x:c>
      <x:c r="J177" s="18" t="n">
        <x:f>IF(OR($H177="",$I177=""),"",($H177-$I177)/$I177)</x:f>
        <x:v>0.07222222222222216</x:v>
      </x:c>
      <x:c r="K177" s="12" t="str">
        <x:f>IF(OR($H177="",$I177="",$F177=""),"",IF(ABS($J177)&lt;=0.05,"Equal to Norm",IF($F177="lower",IF($H177&lt;$I177,"Above Norm","Below Norm"),IF($H177&gt;$I177,"Above Norm","Below Norm"))))</x:f>
        <x:v>Below Norm</x:v>
      </x:c>
      <x:c r="L177" s="12" t="str">
        <x:f>IFERROR(VLOOKUP($D177&amp;"|"&amp;$K177,Recommendation_Lookup!$A$2:$H$19,2,FALSE),"")</x:f>
        <x:v>Develop 0–10 m speed</x:v>
      </x:c>
      <x:c r="M177" s="12" t="str">
        <x:f>IFERROR(VLOOKUP($D177&amp;"|"&amp;$K177,Recommendation_Lookup!$A$2:$H$19,3,FALSE),"")</x:f>
        <x:v>Relative strength; first-step mechanics; force application; acceleration endurance</x:v>
      </x:c>
      <x:c r="N177" s="12" t="str">
        <x:f>IFERROR(VLOOKUP($D177&amp;"|"&amp;$K177,Recommendation_Lookup!$A$2:$H$19,4,FALSE),"")</x:f>
        <x:v>Use a foundational acceleration block paired with strength development. Limit sprint distances initially and improve the quality of each step before adding volume.</x:v>
      </x:c>
      <x:c r="O177" s="12" t="str">
        <x:f>IFERROR(VLOOKUP($D177&amp;"|"&amp;$K177,Recommendation_Lookup!$A$2:$H$19,5,FALSE),"")</x:f>
        <x:v>RVX Acceleration Foundations</x:v>
      </x:c>
      <x:c r="P177" s="12" t="str">
        <x:f>IFERROR(VLOOKUP($D177&amp;"|"&amp;$K177,Recommendation_Lookup!$A$2:$H$19,6,FALSE),"")</x:f>
        <x:v>RVX Relative Strength Builder</x:v>
      </x:c>
      <x:c r="Q177" s="12" t="str">
        <x:f>IFERROR(VLOOKUP($D177&amp;"|"&amp;$K177,Recommendation_Lookup!$A$2:$H$19,7,FALSE),"")</x:f>
        <x:v>Push longer, maintain posture and create force in the correct direction.</x:v>
      </x:c>
      <x:c r="R177" s="12" t="str">
        <x:f>IFERROR(VLOOKUP($D177&amp;"|"&amp;$K177,Recommendation_Lookup!$A$2:$H$19,8,FALSE),"")</x:f>
        <x:v>Retest in 4 weeks and compare 5 m versus 10 m split changes.</x:v>
      </x:c>
      <x:c r="S177" s="12"/>
      <x:c r="T177" s="12"/>
      <x:c r="U177" s="12"/>
      <x:c r="V177" s="12"/>
      <x:c r="W177" s="12" t="str">
        <x:f>IF($S177&lt;&gt;"",$S177,$K177)</x:f>
        <x:v>Below Norm</x:v>
      </x:c>
      <x:c r="X177" s="12" t="str">
        <x:f>IF($T177&lt;&gt;"",$T177,$L177)</x:f>
        <x:v>Develop 0–10 m speed</x:v>
      </x:c>
      <x:c r="Y177" s="12" t="str">
        <x:f>IF($U177&lt;&gt;"",$U177,$N177)</x:f>
        <x:v>Use a foundational acceleration block paired with strength development. Limit sprint distances initially and improve the quality of each step before adding volume.</x:v>
      </x:c>
      <x:c r="Z177" s="12" t="str">
        <x:f>IF($V177&lt;&gt;"",$V177,$O177)</x:f>
        <x:v>RVX Acceleration Foundations</x:v>
      </x:c>
      <x:c r="AA177" s="12"/>
    </x:row>
    <x:row r="178">
      <x:c r="A178" s="12" t="str">
        <x:v>RVX-00030</x:v>
      </x:c>
      <x:c r="B178" s="12" t="str">
        <x:f>IFERROR(VLOOKUP($A178,Athlete_Profile!$A$2:$L$51,6,FALSE),"")</x:f>
        <x:v>Hockey</x:v>
      </x:c>
      <x:c r="C178" s="12" t="str">
        <x:f>IFERROR(VLOOKUP($A178,Athlete_Profile!$A$2:$L$51,5,FALSE),"")</x:f>
        <x:v>Male</x:v>
      </x:c>
      <x:c r="D178" s="12" t="str">
        <x:v>pro_agility</x:v>
      </x:c>
      <x:c r="E178" s="12" t="str">
        <x:f>IFERROR(VLOOKUP($D178,Dropdown_Lists!$K$2:$N$7,2,FALSE),"")</x:f>
        <x:v>5-10-5 Pro Agility</x:v>
      </x:c>
      <x:c r="F178" s="12" t="str">
        <x:f>IFERROR(VLOOKUP($D178,Dropdown_Lists!$K$2:$N$7,3,FALSE),"")</x:f>
        <x:v>lower</x:v>
      </x:c>
      <x:c r="G178" s="17" t="n">
        <x:f>IFERROR(LOOKUP(2,1/((Performance_Metrics!$A$2:$A$3000=$A178)*(Performance_Metrics!$D$2:$D$3000=$D178)),Performance_Metrics!$C$2:$C$3000),"")</x:f>
        <x:v>46230</x:v>
      </x:c>
      <x:c r="H178" s="12" t="n">
        <x:f>IFERROR(LOOKUP(2,1/((Performance_Metrics!$A$2:$A$3000=$A178)*(Performance_Metrics!$D$2:$D$3000=$D178)),Performance_Metrics!$G$2:$G$3000),"")</x:f>
        <x:v>4.8</x:v>
      </x:c>
      <x:c r="I178" s="12" t="n">
        <x:f>IFERROR(SUMIFS(Normative_Data!$G$2:$G$1000,Normative_Data!$A$2:$A$1000,$B178,Normative_Data!$B$2:$B$1000,$C178,Normative_Data!$E$2:$E$1000,$D178),"")</x:f>
        <x:v>4.63</x:v>
      </x:c>
      <x:c r="J178" s="18" t="n">
        <x:f>IF(OR($H178="",$I178=""),"",($H178-$I178)/$I178)</x:f>
        <x:v>0.03671706263498919</x:v>
      </x:c>
      <x:c r="K178" s="12" t="str">
        <x:f>IF(OR($H178="",$I178="",$F178=""),"",IF(ABS($J178)&lt;=0.05,"Equal to Norm",IF($F178="lower",IF($H178&lt;$I178,"Above Norm","Below Norm"),IF($H178&gt;$I178,"Above Norm","Below Norm"))))</x:f>
        <x:v>Equal to Norm</x:v>
      </x:c>
      <x:c r="L178" s="12" t="str">
        <x:f>IFERROR(VLOOKUP($D178&amp;"|"&amp;$K178,Recommendation_Lookup!$A$2:$H$19,2,FALSE),"")</x:f>
        <x:v>Improve braking and re-acceleration</x:v>
      </x:c>
      <x:c r="M178" s="12" t="str">
        <x:f>IFERROR(VLOOKUP($D178&amp;"|"&amp;$K178,Recommendation_Lookup!$A$2:$H$19,3,FALSE),"")</x:f>
        <x:v>Deceleration mechanics; foot placement; hip position; crossover efficiency</x:v>
      </x:c>
      <x:c r="N178" s="12" t="str">
        <x:f>IFERROR(VLOOKUP($D178&amp;"|"&amp;$K178,Recommendation_Lookup!$A$2:$H$19,4,FALSE),"")</x:f>
        <x:v>Use a structured change-of-direction block emphasizing braking positions, plant-foot control and efficient re-acceleration on both sides.</x:v>
      </x:c>
      <x:c r="O178" s="12" t="str">
        <x:f>IFERROR(VLOOKUP($D178&amp;"|"&amp;$K178,Recommendation_Lookup!$A$2:$H$19,5,FALSE),"")</x:f>
        <x:v>RVX Change of Direction Development</x:v>
      </x:c>
      <x:c r="P178" s="12" t="str">
        <x:f>IFERROR(VLOOKUP($D178&amp;"|"&amp;$K178,Recommendation_Lookup!$A$2:$H$19,6,FALSE),"")</x:f>
        <x:v>RVX Deceleration Mechanics</x:v>
      </x:c>
      <x:c r="Q178" s="12" t="str">
        <x:f>IFERROR(VLOOKUP($D178&amp;"|"&amp;$K178,Recommendation_Lookup!$A$2:$H$19,7,FALSE),"")</x:f>
        <x:v>Lower the centre of mass before the turn and push away from the plant.</x:v>
      </x:c>
      <x:c r="R178" s="12" t="str">
        <x:f>IFERROR(VLOOKUP($D178&amp;"|"&amp;$K178,Recommendation_Lookup!$A$2:$H$19,8,FALSE),"")</x:f>
        <x:v>Retest after 4–6 weeks and review directional splits if available.</x:v>
      </x:c>
      <x:c r="S178" s="12"/>
      <x:c r="T178" s="12"/>
      <x:c r="U178" s="12"/>
      <x:c r="V178" s="12"/>
      <x:c r="W178" s="12" t="str">
        <x:f>IF($S178&lt;&gt;"",$S178,$K178)</x:f>
        <x:v>Equal to Norm</x:v>
      </x:c>
      <x:c r="X178" s="12" t="str">
        <x:f>IF($T178&lt;&gt;"",$T178,$L178)</x:f>
        <x:v>Improve braking and re-acceleration</x:v>
      </x:c>
      <x:c r="Y178" s="12" t="str">
        <x:f>IF($U178&lt;&gt;"",$U178,$N178)</x:f>
        <x:v>Use a structured change-of-direction block emphasizing braking positions, plant-foot control and efficient re-acceleration on both sides.</x:v>
      </x:c>
      <x:c r="Z178" s="12" t="str">
        <x:f>IF($V178&lt;&gt;"",$V178,$O178)</x:f>
        <x:v>RVX Change of Direction Development</x:v>
      </x:c>
      <x:c r="AA178" s="12"/>
    </x:row>
    <x:row r="179">
      <x:c r="A179" s="12" t="str">
        <x:v>RVX-00030</x:v>
      </x:c>
      <x:c r="B179" s="12" t="str">
        <x:f>IFERROR(VLOOKUP($A179,Athlete_Profile!$A$2:$L$51,6,FALSE),"")</x:f>
        <x:v>Hockey</x:v>
      </x:c>
      <x:c r="C179" s="12" t="str">
        <x:f>IFERROR(VLOOKUP($A179,Athlete_Profile!$A$2:$L$51,5,FALSE),"")</x:f>
        <x:v>Male</x:v>
      </x:c>
      <x:c r="D179" s="12" t="str">
        <x:v>cmj_depth</x:v>
      </x:c>
      <x:c r="E179" s="12" t="str">
        <x:f>IFERROR(VLOOKUP($D179,Dropdown_Lists!$K$2:$N$7,2,FALSE),"")</x:f>
        <x:v>Countermovement Depth</x:v>
      </x:c>
      <x:c r="F179" s="12" t="str">
        <x:f>IFERROR(VLOOKUP($D179,Dropdown_Lists!$K$2:$N$7,3,FALSE),"")</x:f>
        <x:v>higher</x:v>
      </x:c>
      <x:c r="G179" s="17" t="n">
        <x:f>IFERROR(LOOKUP(2,1/((Performance_Metrics!$A$2:$A$3000=$A179)*(Performance_Metrics!$D$2:$D$3000=$D179)),Performance_Metrics!$C$2:$C$3000),"")</x:f>
        <x:v>46230</x:v>
      </x:c>
      <x:c r="H179" s="12" t="n">
        <x:f>IFERROR(LOOKUP(2,1/((Performance_Metrics!$A$2:$A$3000=$A179)*(Performance_Metrics!$D$2:$D$3000=$D179)),Performance_Metrics!$G$2:$G$3000),"")</x:f>
        <x:v>31.8</x:v>
      </x:c>
      <x:c r="I179" s="12" t="n">
        <x:f>IFERROR(SUMIFS(Normative_Data!$G$2:$G$1000,Normative_Data!$A$2:$A$1000,$B179,Normative_Data!$B$2:$B$1000,$C179,Normative_Data!$E$2:$E$1000,$D179),"")</x:f>
        <x:v>33</x:v>
      </x:c>
      <x:c r="J179" s="18" t="n">
        <x:f>IF(OR($H179="",$I179=""),"",($H179-$I179)/$I179)</x:f>
        <x:v>-0.03636363636363634</x:v>
      </x:c>
      <x:c r="K179" s="12" t="str">
        <x:f>IF(OR($H179="",$I179="",$F179=""),"",IF(ABS($J179)&lt;=0.05,"Equal to Norm",IF($F179="lower",IF($H179&lt;$I179,"Above Norm","Below Norm"),IF($H179&gt;$I179,"Above Norm","Below Norm"))))</x:f>
        <x:v>Equal to Norm</x:v>
      </x:c>
      <x:c r="L179" s="12" t="str">
        <x:f>IFERROR(VLOOKUP($D179&amp;"|"&amp;$K179,Recommendation_Lookup!$A$2:$H$19,2,FALSE),"")</x:f>
        <x:v>Optimize countermovement strategy</x:v>
      </x:c>
      <x:c r="M179" s="12" t="str">
        <x:f>IFERROR(VLOOKUP($D179&amp;"|"&amp;$K179,Recommendation_Lookup!$A$2:$H$19,3,FALSE),"")</x:f>
        <x:v>Eccentric control; trunk position; reversal timing; mobility</x:v>
      </x:c>
      <x:c r="N179" s="12" t="str">
        <x:f>IFERROR(VLOOKUP($D179&amp;"|"&amp;$K179,Recommendation_Lookup!$A$2:$H$19,4,FALSE),"")</x:f>
        <x:v>Use controlled countermovement drills and landing-to-jump progressions. Determine whether additional or reduced depth improves the athlete’s overall jump output.</x:v>
      </x:c>
      <x:c r="O179" s="12" t="str">
        <x:f>IFERROR(VLOOKUP($D179&amp;"|"&amp;$K179,Recommendation_Lookup!$A$2:$H$19,5,FALSE),"")</x:f>
        <x:v>RVX Jump Mechanics</x:v>
      </x:c>
      <x:c r="P179" s="12" t="str">
        <x:f>IFERROR(VLOOKUP($D179&amp;"|"&amp;$K179,Recommendation_Lookup!$A$2:$H$19,6,FALSE),"")</x:f>
        <x:v>RVX Eccentric Control</x:v>
      </x:c>
      <x:c r="Q179" s="12" t="str">
        <x:f>IFERROR(VLOOKUP($D179&amp;"|"&amp;$K179,Recommendation_Lookup!$A$2:$H$19,7,FALSE),"")</x:f>
        <x:v>Sit into the movement under control and reverse without losing posture.</x:v>
      </x:c>
      <x:c r="R179" s="12" t="str">
        <x:f>IFERROR(VLOOKUP($D179&amp;"|"&amp;$K179,Recommendation_Lookup!$A$2:$H$19,8,FALSE),"")</x:f>
        <x:v>Retest after 4–6 weeks with jump height and impulse reviewed together.</x:v>
      </x:c>
      <x:c r="S179" s="12"/>
      <x:c r="T179" s="12"/>
      <x:c r="U179" s="12"/>
      <x:c r="V179" s="12"/>
      <x:c r="W179" s="12" t="str">
        <x:f>IF($S179&lt;&gt;"",$S179,$K179)</x:f>
        <x:v>Equal to Norm</x:v>
      </x:c>
      <x:c r="X179" s="12" t="str">
        <x:f>IF($T179&lt;&gt;"",$T179,$L179)</x:f>
        <x:v>Optimize countermovement strategy</x:v>
      </x:c>
      <x:c r="Y179" s="12" t="str">
        <x:f>IF($U179&lt;&gt;"",$U179,$N179)</x:f>
        <x:v>Use controlled countermovement drills and landing-to-jump progressions. Determine whether additional or reduced depth improves the athlete’s overall jump output.</x:v>
      </x:c>
      <x:c r="Z179" s="12" t="str">
        <x:f>IF($V179&lt;&gt;"",$V179,$O179)</x:f>
        <x:v>RVX Jump Mechanics</x:v>
      </x:c>
      <x:c r="AA179" s="12"/>
    </x:row>
    <x:row r="180">
      <x:c r="A180" s="12" t="str">
        <x:v>RVX-00030</x:v>
      </x:c>
      <x:c r="B180" s="12" t="str">
        <x:f>IFERROR(VLOOKUP($A180,Athlete_Profile!$A$2:$L$51,6,FALSE),"")</x:f>
        <x:v>Hockey</x:v>
      </x:c>
      <x:c r="C180" s="12" t="str">
        <x:f>IFERROR(VLOOKUP($A180,Athlete_Profile!$A$2:$L$51,5,FALSE),"")</x:f>
        <x:v>Male</x:v>
      </x:c>
      <x:c r="D180" s="12" t="str">
        <x:v>peak_force</x:v>
      </x:c>
      <x:c r="E180" s="12" t="str">
        <x:f>IFERROR(VLOOKUP($D180,Dropdown_Lists!$K$2:$N$7,2,FALSE),"")</x:f>
        <x:v>Peak Force</x:v>
      </x:c>
      <x:c r="F180" s="12" t="str">
        <x:f>IFERROR(VLOOKUP($D180,Dropdown_Lists!$K$2:$N$7,3,FALSE),"")</x:f>
        <x:v>higher</x:v>
      </x:c>
      <x:c r="G180" s="17" t="n">
        <x:f>IFERROR(LOOKUP(2,1/((Performance_Metrics!$A$2:$A$3000=$A180)*(Performance_Metrics!$D$2:$D$3000=$D180)),Performance_Metrics!$C$2:$C$3000),"")</x:f>
        <x:v>46230</x:v>
      </x:c>
      <x:c r="H180" s="12" t="n">
        <x:f>IFERROR(LOOKUP(2,1/((Performance_Metrics!$A$2:$A$3000=$A180)*(Performance_Metrics!$D$2:$D$3000=$D180)),Performance_Metrics!$G$2:$G$3000),"")</x:f>
        <x:v>1827</x:v>
      </x:c>
      <x:c r="I180" s="12" t="n">
        <x:f>IFERROR(SUMIFS(Normative_Data!$G$2:$G$1000,Normative_Data!$A$2:$A$1000,$B180,Normative_Data!$B$2:$B$1000,$C180,Normative_Data!$E$2:$E$1000,$D180),"")</x:f>
        <x:v>1925</x:v>
      </x:c>
      <x:c r="J180" s="18" t="n">
        <x:f>IF(OR($H180="",$I180=""),"",($H180-$I180)/$I180)</x:f>
        <x:v>-0.05090909090909091</x:v>
      </x:c>
      <x:c r="K180" s="12" t="str">
        <x:f>IF(OR($H180="",$I180="",$F180=""),"",IF(ABS($J180)&lt;=0.05,"Equal to Norm",IF($F180="lower",IF($H180&lt;$I180,"Above Norm","Below Norm"),IF($H180&gt;$I180,"Above Norm","Below Norm"))))</x:f>
        <x:v>Below Norm</x:v>
      </x:c>
      <x:c r="L180" s="12" t="str">
        <x:f>IFERROR(VLOOKUP($D180&amp;"|"&amp;$K180,Recommendation_Lookup!$A$2:$H$19,2,FALSE),"")</x:f>
        <x:v>Build foundational force production</x:v>
      </x:c>
      <x:c r="M180" s="12" t="str">
        <x:f>IFERROR(VLOOKUP($D180&amp;"|"&amp;$K180,Recommendation_Lookup!$A$2:$H$19,3,FALSE),"")</x:f>
        <x:v>Relative strength; technique; tendon capacity; trunk stability; unilateral strength</x:v>
      </x:c>
      <x:c r="N180" s="12" t="str">
        <x:f>IFERROR(VLOOKUP($D180&amp;"|"&amp;$K180,Recommendation_Lookup!$A$2:$H$19,4,FALSE),"")</x:f>
        <x:v>Prioritize foundational strength and positional competency. Use progressive resistance, isometrics and unilateral patterns before advanced power methods.</x:v>
      </x:c>
      <x:c r="O180" s="12" t="str">
        <x:f>IFERROR(VLOOKUP($D180&amp;"|"&amp;$K180,Recommendation_Lookup!$A$2:$H$19,5,FALSE),"")</x:f>
        <x:v>RVX Strength Foundations</x:v>
      </x:c>
      <x:c r="P180" s="12" t="str">
        <x:f>IFERROR(VLOOKUP($D180&amp;"|"&amp;$K180,Recommendation_Lookup!$A$2:$H$19,6,FALSE),"")</x:f>
        <x:v>RVX Lower-Body Capacity</x:v>
      </x:c>
      <x:c r="Q180" s="12" t="str">
        <x:f>IFERROR(VLOOKUP($D180&amp;"|"&amp;$K180,Recommendation_Lookup!$A$2:$H$19,7,FALSE),"")</x:f>
        <x:v>Own the position first, then increase force with consistent intent.</x:v>
      </x:c>
      <x:c r="R180" s="12" t="str">
        <x:f>IFERROR(VLOOKUP($D180&amp;"|"&amp;$K180,Recommendation_Lookup!$A$2:$H$19,8,FALSE),"")</x:f>
        <x:v>Retest after 4–6 weeks; review body-mass-relative force when possible.</x:v>
      </x:c>
      <x:c r="S180" s="12"/>
      <x:c r="T180" s="12"/>
      <x:c r="U180" s="12"/>
      <x:c r="V180" s="12"/>
      <x:c r="W180" s="12" t="str">
        <x:f>IF($S180&lt;&gt;"",$S180,$K180)</x:f>
        <x:v>Below Norm</x:v>
      </x:c>
      <x:c r="X180" s="12" t="str">
        <x:f>IF($T180&lt;&gt;"",$T180,$L180)</x:f>
        <x:v>Build foundational force production</x:v>
      </x:c>
      <x:c r="Y180" s="12" t="str">
        <x:f>IF($U180&lt;&gt;"",$U180,$N180)</x:f>
        <x:v>Prioritize foundational strength and positional competency. Use progressive resistance, isometrics and unilateral patterns before advanced power methods.</x:v>
      </x:c>
      <x:c r="Z180" s="12" t="str">
        <x:f>IF($V180&lt;&gt;"",$V180,$O180)</x:f>
        <x:v>RVX Strength Foundations</x:v>
      </x:c>
      <x:c r="AA180" s="12"/>
    </x:row>
    <x:row r="181">
      <x:c r="A181" s="12" t="str">
        <x:v>RVX-00030</x:v>
      </x:c>
      <x:c r="B181" s="12" t="str">
        <x:f>IFERROR(VLOOKUP($A181,Athlete_Profile!$A$2:$L$51,6,FALSE),"")</x:f>
        <x:v>Hockey</x:v>
      </x:c>
      <x:c r="C181" s="12" t="str">
        <x:f>IFERROR(VLOOKUP($A181,Athlete_Profile!$A$2:$L$51,5,FALSE),"")</x:f>
        <x:v>Male</x:v>
      </x:c>
      <x:c r="D181" s="12" t="str">
        <x:v>impulse</x:v>
      </x:c>
      <x:c r="E181" s="12" t="str">
        <x:f>IFERROR(VLOOKUP($D181,Dropdown_Lists!$K$2:$N$7,2,FALSE),"")</x:f>
        <x:v>Impulse-Momentum</x:v>
      </x:c>
      <x:c r="F181" s="12" t="str">
        <x:f>IFERROR(VLOOKUP($D181,Dropdown_Lists!$K$2:$N$7,3,FALSE),"")</x:f>
        <x:v>higher</x:v>
      </x:c>
      <x:c r="G181" s="17" t="n">
        <x:f>IFERROR(LOOKUP(2,1/((Performance_Metrics!$A$2:$A$3000=$A181)*(Performance_Metrics!$D$2:$D$3000=$D181)),Performance_Metrics!$C$2:$C$3000),"")</x:f>
        <x:v>46230</x:v>
      </x:c>
      <x:c r="H181" s="12" t="n">
        <x:f>IFERROR(LOOKUP(2,1/((Performance_Metrics!$A$2:$A$3000=$A181)*(Performance_Metrics!$D$2:$D$3000=$D181)),Performance_Metrics!$G$2:$G$3000),"")</x:f>
        <x:v>229.6</x:v>
      </x:c>
      <x:c r="I181" s="12" t="n">
        <x:f>IFERROR(SUMIFS(Normative_Data!$G$2:$G$1000,Normative_Data!$A$2:$A$1000,$B181,Normative_Data!$B$2:$B$1000,$C181,Normative_Data!$E$2:$E$1000,$D181),"")</x:f>
        <x:v>236.5</x:v>
      </x:c>
      <x:c r="J181" s="18" t="n">
        <x:f>IF(OR($H181="",$I181=""),"",($H181-$I181)/$I181)</x:f>
        <x:v>-0.029175475687103616</x:v>
      </x:c>
      <x:c r="K181" s="12" t="str">
        <x:f>IF(OR($H181="",$I181="",$F181=""),"",IF(ABS($J181)&lt;=0.05,"Equal to Norm",IF($F181="lower",IF($H181&lt;$I181,"Above Norm","Below Norm"),IF($H181&gt;$I181,"Above Norm","Below Norm"))))</x:f>
        <x:v>Equal to Norm</x:v>
      </x:c>
      <x:c r="L181" s="12" t="str">
        <x:f>IFERROR(VLOOKUP($D181&amp;"|"&amp;$K181,Recommendation_Lookup!$A$2:$H$19,2,FALSE),"")</x:f>
        <x:v>Improve force applied over time</x:v>
      </x:c>
      <x:c r="M181" s="12" t="str">
        <x:f>IFERROR(VLOOKUP($D181&amp;"|"&amp;$K181,Recommendation_Lookup!$A$2:$H$19,3,FALSE),"")</x:f>
        <x:v>Strength; countermovement strategy; intent; coordination; power</x:v>
      </x:c>
      <x:c r="N181" s="12" t="str">
        <x:f>IFERROR(VLOOKUP($D181&amp;"|"&amp;$K181,Recommendation_Lookup!$A$2:$H$19,4,FALSE),"")</x:f>
        <x:v>Use loaded jumps, isometrics and strength-power exercises that improve the athlete’s ability to produce and sustain force through the propulsion phase.</x:v>
      </x:c>
      <x:c r="O181" s="12" t="str">
        <x:f>IFERROR(VLOOKUP($D181&amp;"|"&amp;$K181,Recommendation_Lookup!$A$2:$H$19,5,FALSE),"")</x:f>
        <x:v>RVX Power Development</x:v>
      </x:c>
      <x:c r="P181" s="12" t="str">
        <x:f>IFERROR(VLOOKUP($D181&amp;"|"&amp;$K181,Recommendation_Lookup!$A$2:$H$19,6,FALSE),"")</x:f>
        <x:v>RVX Strength-Speed</x:v>
      </x:c>
      <x:c r="Q181" s="12" t="str">
        <x:f>IFERROR(VLOOKUP($D181&amp;"|"&amp;$K181,Recommendation_Lookup!$A$2:$H$19,7,FALSE),"")</x:f>
        <x:v>Apply force early and continue driving through take-off.</x:v>
      </x:c>
      <x:c r="R181" s="12" t="str">
        <x:f>IFERROR(VLOOKUP($D181&amp;"|"&amp;$K181,Recommendation_Lookup!$A$2:$H$19,8,FALSE),"")</x:f>
        <x:v>Retest after 4–6 weeks.</x:v>
      </x:c>
      <x:c r="S181" s="12"/>
      <x:c r="T181" s="12"/>
      <x:c r="U181" s="12"/>
      <x:c r="V181" s="12"/>
      <x:c r="W181" s="12" t="str">
        <x:f>IF($S181&lt;&gt;"",$S181,$K181)</x:f>
        <x:v>Equal to Norm</x:v>
      </x:c>
      <x:c r="X181" s="12" t="str">
        <x:f>IF($T181&lt;&gt;"",$T181,$L181)</x:f>
        <x:v>Improve force applied over time</x:v>
      </x:c>
      <x:c r="Y181" s="12" t="str">
        <x:f>IF($U181&lt;&gt;"",$U181,$N181)</x:f>
        <x:v>Use loaded jumps, isometrics and strength-power exercises that improve the athlete’s ability to produce and sustain force through the propulsion phase.</x:v>
      </x:c>
      <x:c r="Z181" s="12" t="str">
        <x:f>IF($V181&lt;&gt;"",$V181,$O181)</x:f>
        <x:v>RVX Power Development</x:v>
      </x:c>
      <x:c r="AA181" s="12"/>
    </x:row>
    <x:row r="182">
      <x:c r="A182" s="12" t="str">
        <x:v>RVX-00031</x:v>
      </x:c>
      <x:c r="B182" s="12" t="str">
        <x:f>IFERROR(VLOOKUP($A182,Athlete_Profile!$A$2:$L$51,6,FALSE),"")</x:f>
        <x:v>Hockey</x:v>
      </x:c>
      <x:c r="C182" s="12" t="str">
        <x:f>IFERROR(VLOOKUP($A182,Athlete_Profile!$A$2:$L$51,5,FALSE),"")</x:f>
        <x:v>Female</x:v>
      </x:c>
      <x:c r="D182" s="12" t="str">
        <x:v>sprint_5m</x:v>
      </x:c>
      <x:c r="E182" s="12" t="str">
        <x:f>IFERROR(VLOOKUP($D182,Dropdown_Lists!$K$2:$N$7,2,FALSE),"")</x:f>
        <x:v>5m Sprint</x:v>
      </x:c>
      <x:c r="F182" s="12" t="str">
        <x:f>IFERROR(VLOOKUP($D182,Dropdown_Lists!$K$2:$N$7,3,FALSE),"")</x:f>
        <x:v>lower</x:v>
      </x:c>
      <x:c r="G182" s="17" t="n">
        <x:f>IFERROR(LOOKUP(2,1/((Performance_Metrics!$A$2:$A$3000=$A182)*(Performance_Metrics!$D$2:$D$3000=$D182)),Performance_Metrics!$C$2:$C$3000),"")</x:f>
        <x:v>46230</x:v>
      </x:c>
      <x:c r="H182" s="12" t="n">
        <x:f>IFERROR(LOOKUP(2,1/((Performance_Metrics!$A$2:$A$3000=$A182)*(Performance_Metrics!$D$2:$D$3000=$D182)),Performance_Metrics!$G$2:$G$3000),"")</x:f>
        <x:v>0.94</x:v>
      </x:c>
      <x:c r="I182" s="12" t="n">
        <x:f>IFERROR(SUMIFS(Normative_Data!$G$2:$G$1000,Normative_Data!$A$2:$A$1000,$B182,Normative_Data!$B$2:$B$1000,$C182,Normative_Data!$E$2:$E$1000,$D182),"")</x:f>
        <x:v>1.12</x:v>
      </x:c>
      <x:c r="J182" s="18" t="n">
        <x:f>IF(OR($H182="",$I182=""),"",($H182-$I182)/$I182)</x:f>
        <x:v>-0.16071428571428584</x:v>
      </x:c>
      <x:c r="K182" s="12" t="str">
        <x:f>IF(OR($H182="",$I182="",$F182=""),"",IF(ABS($J182)&lt;=0.05,"Equal to Norm",IF($F182="lower",IF($H182&lt;$I182,"Above Norm","Below Norm"),IF($H182&gt;$I182,"Above Norm","Below Norm"))))</x:f>
        <x:v>Above Norm</x:v>
      </x:c>
      <x:c r="L182" s="12" t="str">
        <x:f>IFERROR(VLOOKUP($D182&amp;"|"&amp;$K182,Recommendation_Lookup!$A$2:$H$19,2,FALSE),"")</x:f>
        <x:v>Maintain first-step explosiveness</x:v>
      </x:c>
      <x:c r="M182" s="12" t="str">
        <x:f>IFERROR(VLOOKUP($D182&amp;"|"&amp;$K182,Recommendation_Lookup!$A$2:$H$19,3,FALSE),"")</x:f>
        <x:v>Start consistency; projection angle; horizontal force; reaction quality</x:v>
      </x:c>
      <x:c r="N182" s="12" t="str">
        <x:f>IFERROR(VLOOKUP($D182&amp;"|"&amp;$K182,Recommendation_Lookup!$A$2:$H$19,4,FALSE),"")</x:f>
        <x:v>Maintain speed with low-volume, high-quality acceleration exposures. Avoid unnecessary volume that could reduce sprint quality. Progress through resisted and reactive starts while preserving mechanics.</x:v>
      </x:c>
      <x:c r="O182" s="12" t="str">
        <x:f>IFERROR(VLOOKUP($D182&amp;"|"&amp;$K182,Recommendation_Lookup!$A$2:$H$19,5,FALSE),"")</x:f>
        <x:v>RVX Advanced Acceleration</x:v>
      </x:c>
      <x:c r="P182" s="12" t="str">
        <x:f>IFERROR(VLOOKUP($D182&amp;"|"&amp;$K182,Recommendation_Lookup!$A$2:$H$19,6,FALSE),"")</x:f>
        <x:v>RVX Explosive Starts Microdose</x:v>
      </x:c>
      <x:c r="Q182" s="12" t="str">
        <x:f>IFERROR(VLOOKUP($D182&amp;"|"&amp;$K182,Recommendation_Lookup!$A$2:$H$19,7,FALSE),"")</x:f>
        <x:v>Project forward, push the ground back, and win the first three steps.</x:v>
      </x:c>
      <x:c r="R182" s="12" t="str">
        <x:f>IFERROR(VLOOKUP($D182&amp;"|"&amp;$K182,Recommendation_Lookup!$A$2:$H$19,8,FALSE),"")</x:f>
        <x:v>Retest every 6–8 weeks or after a dedicated acceleration block.</x:v>
      </x:c>
      <x:c r="S182" s="12"/>
      <x:c r="T182" s="12"/>
      <x:c r="U182" s="12"/>
      <x:c r="V182" s="12"/>
      <x:c r="W182" s="12" t="str">
        <x:f>IF($S182&lt;&gt;"",$S182,$K182)</x:f>
        <x:v>Above Norm</x:v>
      </x:c>
      <x:c r="X182" s="12" t="str">
        <x:f>IF($T182&lt;&gt;"",$T182,$L182)</x:f>
        <x:v>Maintain first-step explosiveness</x:v>
      </x:c>
      <x:c r="Y182" s="12" t="str">
        <x:f>IF($U182&lt;&gt;"",$U182,$N182)</x:f>
        <x:v>Maintain speed with low-volume, high-quality acceleration exposures. Avoid unnecessary volume that could reduce sprint quality. Progress through resisted and reactive starts while preserving mechanics.</x:v>
      </x:c>
      <x:c r="Z182" s="12" t="str">
        <x:f>IF($V182&lt;&gt;"",$V182,$O182)</x:f>
        <x:v>RVX Advanced Acceleration</x:v>
      </x:c>
      <x:c r="AA182" s="12"/>
    </x:row>
    <x:row r="183">
      <x:c r="A183" s="12" t="str">
        <x:v>RVX-00031</x:v>
      </x:c>
      <x:c r="B183" s="12" t="str">
        <x:f>IFERROR(VLOOKUP($A183,Athlete_Profile!$A$2:$L$51,6,FALSE),"")</x:f>
        <x:v>Hockey</x:v>
      </x:c>
      <x:c r="C183" s="12" t="str">
        <x:f>IFERROR(VLOOKUP($A183,Athlete_Profile!$A$2:$L$51,5,FALSE),"")</x:f>
        <x:v>Female</x:v>
      </x:c>
      <x:c r="D183" s="12" t="str">
        <x:v>sprint_10m</x:v>
      </x:c>
      <x:c r="E183" s="12" t="str">
        <x:f>IFERROR(VLOOKUP($D183,Dropdown_Lists!$K$2:$N$7,2,FALSE),"")</x:f>
        <x:v>10m Sprint</x:v>
      </x:c>
      <x:c r="F183" s="12" t="str">
        <x:f>IFERROR(VLOOKUP($D183,Dropdown_Lists!$K$2:$N$7,3,FALSE),"")</x:f>
        <x:v>lower</x:v>
      </x:c>
      <x:c r="G183" s="17" t="n">
        <x:f>IFERROR(LOOKUP(2,1/((Performance_Metrics!$A$2:$A$3000=$A183)*(Performance_Metrics!$D$2:$D$3000=$D183)),Performance_Metrics!$C$2:$C$3000),"")</x:f>
        <x:v>46230</x:v>
      </x:c>
      <x:c r="H183" s="12" t="n">
        <x:f>IFERROR(LOOKUP(2,1/((Performance_Metrics!$A$2:$A$3000=$A183)*(Performance_Metrics!$D$2:$D$3000=$D183)),Performance_Metrics!$G$2:$G$3000),"")</x:f>
        <x:v>1.61</x:v>
      </x:c>
      <x:c r="I183" s="12" t="n">
        <x:f>IFERROR(SUMIFS(Normative_Data!$G$2:$G$1000,Normative_Data!$A$2:$A$1000,$B183,Normative_Data!$B$2:$B$1000,$C183,Normative_Data!$E$2:$E$1000,$D183),"")</x:f>
        <x:v>1.88</x:v>
      </x:c>
      <x:c r="J183" s="18" t="n">
        <x:f>IF(OR($H183="",$I183=""),"",($H183-$I183)/$I183)</x:f>
        <x:v>-0.14361702127659565</x:v>
      </x:c>
      <x:c r="K183" s="12" t="str">
        <x:f>IF(OR($H183="",$I183="",$F183=""),"",IF(ABS($J183)&lt;=0.05,"Equal to Norm",IF($F183="lower",IF($H183&lt;$I183,"Above Norm","Below Norm"),IF($H183&gt;$I183,"Above Norm","Below Norm"))))</x:f>
        <x:v>Above Norm</x:v>
      </x:c>
      <x:c r="L183" s="12" t="str">
        <x:f>IFERROR(VLOOKUP($D183&amp;"|"&amp;$K183,Recommendation_Lookup!$A$2:$H$19,2,FALSE),"")</x:f>
        <x:v>Maintain acceleration through 10 m</x:v>
      </x:c>
      <x:c r="M183" s="12" t="str">
        <x:f>IFERROR(VLOOKUP($D183&amp;"|"&amp;$K183,Recommendation_Lookup!$A$2:$H$19,3,FALSE),"")</x:f>
        <x:v>Transition mechanics; stride rhythm; stiffness; repeatability</x:v>
      </x:c>
      <x:c r="N183" s="12" t="str">
        <x:f>IFERROR(VLOOKUP($D183&amp;"|"&amp;$K183,Recommendation_Lookup!$A$2:$H$19,4,FALSE),"")</x:f>
        <x:v>Maintain one to two weekly high-quality acceleration exposures. Add varied starts and light resistance while monitoring consistency across trials.</x:v>
      </x:c>
      <x:c r="O183" s="12" t="str">
        <x:f>IFERROR(VLOOKUP($D183&amp;"|"&amp;$K183,Recommendation_Lookup!$A$2:$H$19,5,FALSE),"")</x:f>
        <x:v>RVX Advanced Acceleration</x:v>
      </x:c>
      <x:c r="P183" s="12" t="str">
        <x:f>IFERROR(VLOOKUP($D183&amp;"|"&amp;$K183,Recommendation_Lookup!$A$2:$H$19,6,FALSE),"")</x:f>
        <x:v>RVX Speed Maintenance Microdose</x:v>
      </x:c>
      <x:c r="Q183" s="12" t="str">
        <x:f>IFERROR(VLOOKUP($D183&amp;"|"&amp;$K183,Recommendation_Lookup!$A$2:$H$19,7,FALSE),"")</x:f>
        <x:v>Stay patient through acceleration and keep pushing behind the body.</x:v>
      </x:c>
      <x:c r="R183" s="12" t="str">
        <x:f>IFERROR(VLOOKUP($D183&amp;"|"&amp;$K183,Recommendation_Lookup!$A$2:$H$19,8,FALSE),"")</x:f>
        <x:v>Retest every 6–8 weeks or after a speed block.</x:v>
      </x:c>
      <x:c r="S183" s="12"/>
      <x:c r="T183" s="12"/>
      <x:c r="U183" s="12"/>
      <x:c r="V183" s="12"/>
      <x:c r="W183" s="12" t="str">
        <x:f>IF($S183&lt;&gt;"",$S183,$K183)</x:f>
        <x:v>Above Norm</x:v>
      </x:c>
      <x:c r="X183" s="12" t="str">
        <x:f>IF($T183&lt;&gt;"",$T183,$L183)</x:f>
        <x:v>Maintain acceleration through 10 m</x:v>
      </x:c>
      <x:c r="Y183" s="12" t="str">
        <x:f>IF($U183&lt;&gt;"",$U183,$N183)</x:f>
        <x:v>Maintain one to two weekly high-quality acceleration exposures. Add varied starts and light resistance while monitoring consistency across trials.</x:v>
      </x:c>
      <x:c r="Z183" s="12" t="str">
        <x:f>IF($V183&lt;&gt;"",$V183,$O183)</x:f>
        <x:v>RVX Advanced Acceleration</x:v>
      </x:c>
      <x:c r="AA183" s="12"/>
    </x:row>
    <x:row r="184">
      <x:c r="A184" s="12" t="str">
        <x:v>RVX-00031</x:v>
      </x:c>
      <x:c r="B184" s="12" t="str">
        <x:f>IFERROR(VLOOKUP($A184,Athlete_Profile!$A$2:$L$51,6,FALSE),"")</x:f>
        <x:v>Hockey</x:v>
      </x:c>
      <x:c r="C184" s="12" t="str">
        <x:f>IFERROR(VLOOKUP($A184,Athlete_Profile!$A$2:$L$51,5,FALSE),"")</x:f>
        <x:v>Female</x:v>
      </x:c>
      <x:c r="D184" s="12" t="str">
        <x:v>pro_agility</x:v>
      </x:c>
      <x:c r="E184" s="12" t="str">
        <x:f>IFERROR(VLOOKUP($D184,Dropdown_Lists!$K$2:$N$7,2,FALSE),"")</x:f>
        <x:v>5-10-5 Pro Agility</x:v>
      </x:c>
      <x:c r="F184" s="12" t="str">
        <x:f>IFERROR(VLOOKUP($D184,Dropdown_Lists!$K$2:$N$7,3,FALSE),"")</x:f>
        <x:v>lower</x:v>
      </x:c>
      <x:c r="G184" s="17" t="n">
        <x:f>IFERROR(LOOKUP(2,1/((Performance_Metrics!$A$2:$A$3000=$A184)*(Performance_Metrics!$D$2:$D$3000=$D184)),Performance_Metrics!$C$2:$C$3000),"")</x:f>
        <x:v>46230</x:v>
      </x:c>
      <x:c r="H184" s="12" t="n">
        <x:f>IFERROR(LOOKUP(2,1/((Performance_Metrics!$A$2:$A$3000=$A184)*(Performance_Metrics!$D$2:$D$3000=$D184)),Performance_Metrics!$G$2:$G$3000),"")</x:f>
        <x:v>3.99</x:v>
      </x:c>
      <x:c r="I184" s="12" t="n">
        <x:f>IFERROR(SUMIFS(Normative_Data!$G$2:$G$1000,Normative_Data!$A$2:$A$1000,$B184,Normative_Data!$B$2:$B$1000,$C184,Normative_Data!$E$2:$E$1000,$D184),"")</x:f>
        <x:v>4.82</x:v>
      </x:c>
      <x:c r="J184" s="18" t="n">
        <x:f>IF(OR($H184="",$I184=""),"",($H184-$I184)/$I184)</x:f>
        <x:v>-0.17219917012448133</x:v>
      </x:c>
      <x:c r="K184" s="12" t="str">
        <x:f>IF(OR($H184="",$I184="",$F184=""),"",IF(ABS($J184)&lt;=0.05,"Equal to Norm",IF($F184="lower",IF($H184&lt;$I184,"Above Norm","Below Norm"),IF($H184&gt;$I184,"Above Norm","Below Norm"))))</x:f>
        <x:v>Above Norm</x:v>
      </x:c>
      <x:c r="L184" s="12" t="str">
        <x:f>IFERROR(VLOOKUP($D184&amp;"|"&amp;$K184,Recommendation_Lookup!$A$2:$H$19,2,FALSE),"")</x:f>
        <x:v>Maintain change-of-direction performance</x:v>
      </x:c>
      <x:c r="M184" s="12" t="str">
        <x:f>IFERROR(VLOOKUP($D184&amp;"|"&amp;$K184,Recommendation_Lookup!$A$2:$H$19,3,FALSE),"")</x:f>
        <x:v>Reactive decision-making; braking tolerance; bilateral symmetry; movement variability</x:v>
      </x:c>
      <x:c r="N184" s="12" t="str">
        <x:f>IFERROR(VLOOKUP($D184&amp;"|"&amp;$K184,Recommendation_Lookup!$A$2:$H$19,4,FALSE),"")</x:f>
        <x:v>Maintain planned change-of-direction work and progress toward reactive agility. Use low-volume, high-quality exposures with multiple starting and turning strategies.</x:v>
      </x:c>
      <x:c r="O184" s="12" t="str">
        <x:f>IFERROR(VLOOKUP($D184&amp;"|"&amp;$K184,Recommendation_Lookup!$A$2:$H$19,5,FALSE),"")</x:f>
        <x:v>RVX Advanced Change of Direction</x:v>
      </x:c>
      <x:c r="P184" s="12" t="str">
        <x:f>IFERROR(VLOOKUP($D184&amp;"|"&amp;$K184,Recommendation_Lookup!$A$2:$H$19,6,FALSE),"")</x:f>
        <x:v>RVX Reactive Agility</x:v>
      </x:c>
      <x:c r="Q184" s="12" t="str">
        <x:f>IFERROR(VLOOKUP($D184&amp;"|"&amp;$K184,Recommendation_Lookup!$A$2:$H$19,7,FALSE),"")</x:f>
        <x:v>Brake under control, own the plant and accelerate out immediately.</x:v>
      </x:c>
      <x:c r="R184" s="12" t="str">
        <x:f>IFERROR(VLOOKUP($D184&amp;"|"&amp;$K184,Recommendation_Lookup!$A$2:$H$19,8,FALSE),"")</x:f>
        <x:v>Retest every 6–8 weeks with left and right trial review.</x:v>
      </x:c>
      <x:c r="S184" s="12"/>
      <x:c r="T184" s="12"/>
      <x:c r="U184" s="12"/>
      <x:c r="V184" s="12"/>
      <x:c r="W184" s="12" t="str">
        <x:f>IF($S184&lt;&gt;"",$S184,$K184)</x:f>
        <x:v>Above Norm</x:v>
      </x:c>
      <x:c r="X184" s="12" t="str">
        <x:f>IF($T184&lt;&gt;"",$T184,$L184)</x:f>
        <x:v>Maintain change-of-direction performance</x:v>
      </x:c>
      <x:c r="Y184" s="12" t="str">
        <x:f>IF($U184&lt;&gt;"",$U184,$N184)</x:f>
        <x:v>Maintain planned change-of-direction work and progress toward reactive agility. Use low-volume, high-quality exposures with multiple starting and turning strategies.</x:v>
      </x:c>
      <x:c r="Z184" s="12" t="str">
        <x:f>IF($V184&lt;&gt;"",$V184,$O184)</x:f>
        <x:v>RVX Advanced Change of Direction</x:v>
      </x:c>
      <x:c r="AA184" s="12"/>
    </x:row>
    <x:row r="185">
      <x:c r="A185" s="12" t="str">
        <x:v>RVX-00031</x:v>
      </x:c>
      <x:c r="B185" s="12" t="str">
        <x:f>IFERROR(VLOOKUP($A185,Athlete_Profile!$A$2:$L$51,6,FALSE),"")</x:f>
        <x:v>Hockey</x:v>
      </x:c>
      <x:c r="C185" s="12" t="str">
        <x:f>IFERROR(VLOOKUP($A185,Athlete_Profile!$A$2:$L$51,5,FALSE),"")</x:f>
        <x:v>Female</x:v>
      </x:c>
      <x:c r="D185" s="12" t="str">
        <x:v>cmj_depth</x:v>
      </x:c>
      <x:c r="E185" s="12" t="str">
        <x:f>IFERROR(VLOOKUP($D185,Dropdown_Lists!$K$2:$N$7,2,FALSE),"")</x:f>
        <x:v>Countermovement Depth</x:v>
      </x:c>
      <x:c r="F185" s="12" t="str">
        <x:f>IFERROR(VLOOKUP($D185,Dropdown_Lists!$K$2:$N$7,3,FALSE),"")</x:f>
        <x:v>higher</x:v>
      </x:c>
      <x:c r="G185" s="17" t="n">
        <x:f>IFERROR(LOOKUP(2,1/((Performance_Metrics!$A$2:$A$3000=$A185)*(Performance_Metrics!$D$2:$D$3000=$D185)),Performance_Metrics!$C$2:$C$3000),"")</x:f>
        <x:v>46230</x:v>
      </x:c>
      <x:c r="H185" s="12" t="n">
        <x:f>IFERROR(LOOKUP(2,1/((Performance_Metrics!$A$2:$A$3000=$A185)*(Performance_Metrics!$D$2:$D$3000=$D185)),Performance_Metrics!$G$2:$G$3000),"")</x:f>
        <x:v>35</x:v>
      </x:c>
      <x:c r="I185" s="12" t="n">
        <x:f>IFERROR(SUMIFS(Normative_Data!$G$2:$G$1000,Normative_Data!$A$2:$A$1000,$B185,Normative_Data!$B$2:$B$1000,$C185,Normative_Data!$E$2:$E$1000,$D185),"")</x:f>
        <x:v>30</x:v>
      </x:c>
      <x:c r="J185" s="18" t="n">
        <x:f>IF(OR($H185="",$I185=""),"",($H185-$I185)/$I185)</x:f>
        <x:v>0.16666666666666666</x:v>
      </x:c>
      <x:c r="K185" s="12" t="str">
        <x:f>IF(OR($H185="",$I185="",$F185=""),"",IF(ABS($J185)&lt;=0.05,"Equal to Norm",IF($F185="lower",IF($H185&lt;$I185,"Above Norm","Below Norm"),IF($H185&gt;$I185,"Above Norm","Below Norm"))))</x:f>
        <x:v>Above Norm</x:v>
      </x:c>
      <x:c r="L185" s="12" t="str">
        <x:f>IFERROR(VLOOKUP($D185&amp;"|"&amp;$K185,Recommendation_Lookup!$A$2:$H$19,2,FALSE),"")</x:f>
        <x:v>Maintain effective countermovement strategy</x:v>
      </x:c>
      <x:c r="M185" s="12" t="str">
        <x:f>IFERROR(VLOOKUP($D185&amp;"|"&amp;$K185,Recommendation_Lookup!$A$2:$H$19,3,FALSE),"")</x:f>
        <x:v>Movement efficiency; eccentric control; jump consistency; depth-to-output relationship</x:v>
      </x:c>
      <x:c r="N185" s="12" t="str">
        <x:f>IFERROR(VLOOKUP($D185&amp;"|"&amp;$K185,Recommendation_Lookup!$A$2:$H$19,4,FALSE),"")</x:f>
        <x:v>Maintain the athlete’s preferred countermovement strategy while ensuring the additional depth contributes to force and impulse rather than excessive movement time.</x:v>
      </x:c>
      <x:c r="O185" s="12" t="str">
        <x:f>IFERROR(VLOOKUP($D185&amp;"|"&amp;$K185,Recommendation_Lookup!$A$2:$H$19,5,FALSE),"")</x:f>
        <x:v>RVX Jump Performance Advanced</x:v>
      </x:c>
      <x:c r="P185" s="12" t="str">
        <x:f>IFERROR(VLOOKUP($D185&amp;"|"&amp;$K185,Recommendation_Lookup!$A$2:$H$19,6,FALSE),"")</x:f>
        <x:v>RVX Eccentric Strength Microdose</x:v>
      </x:c>
      <x:c r="Q185" s="12" t="str">
        <x:f>IFERROR(VLOOKUP($D185&amp;"|"&amp;$K185,Recommendation_Lookup!$A$2:$H$19,7,FALSE),"")</x:f>
        <x:v>Use the depth you can control, then reverse quickly and aggressively.</x:v>
      </x:c>
      <x:c r="R185" s="12" t="str">
        <x:f>IFERROR(VLOOKUP($D185&amp;"|"&amp;$K185,Recommendation_Lookup!$A$2:$H$19,8,FALSE),"")</x:f>
        <x:v>Retest every 6–8 weeks while monitoring jump height and contraction time.</x:v>
      </x:c>
      <x:c r="S185" s="12"/>
      <x:c r="T185" s="12"/>
      <x:c r="U185" s="12"/>
      <x:c r="V185" s="12"/>
      <x:c r="W185" s="12" t="str">
        <x:f>IF($S185&lt;&gt;"",$S185,$K185)</x:f>
        <x:v>Above Norm</x:v>
      </x:c>
      <x:c r="X185" s="12" t="str">
        <x:f>IF($T185&lt;&gt;"",$T185,$L185)</x:f>
        <x:v>Maintain effective countermovement strategy</x:v>
      </x:c>
      <x:c r="Y185" s="12" t="str">
        <x:f>IF($U185&lt;&gt;"",$U185,$N185)</x:f>
        <x:v>Maintain the athlete’s preferred countermovement strategy while ensuring the additional depth contributes to force and impulse rather than excessive movement time.</x:v>
      </x:c>
      <x:c r="Z185" s="12" t="str">
        <x:f>IF($V185&lt;&gt;"",$V185,$O185)</x:f>
        <x:v>RVX Jump Performance Advanced</x:v>
      </x:c>
      <x:c r="AA185" s="12"/>
    </x:row>
    <x:row r="186">
      <x:c r="A186" s="12" t="str">
        <x:v>RVX-00031</x:v>
      </x:c>
      <x:c r="B186" s="12" t="str">
        <x:f>IFERROR(VLOOKUP($A186,Athlete_Profile!$A$2:$L$51,6,FALSE),"")</x:f>
        <x:v>Hockey</x:v>
      </x:c>
      <x:c r="C186" s="12" t="str">
        <x:f>IFERROR(VLOOKUP($A186,Athlete_Profile!$A$2:$L$51,5,FALSE),"")</x:f>
        <x:v>Female</x:v>
      </x:c>
      <x:c r="D186" s="12" t="str">
        <x:v>peak_force</x:v>
      </x:c>
      <x:c r="E186" s="12" t="str">
        <x:f>IFERROR(VLOOKUP($D186,Dropdown_Lists!$K$2:$N$7,2,FALSE),"")</x:f>
        <x:v>Peak Force</x:v>
      </x:c>
      <x:c r="F186" s="12" t="str">
        <x:f>IFERROR(VLOOKUP($D186,Dropdown_Lists!$K$2:$N$7,3,FALSE),"")</x:f>
        <x:v>higher</x:v>
      </x:c>
      <x:c r="G186" s="17" t="n">
        <x:f>IFERROR(LOOKUP(2,1/((Performance_Metrics!$A$2:$A$3000=$A186)*(Performance_Metrics!$D$2:$D$3000=$D186)),Performance_Metrics!$C$2:$C$3000),"")</x:f>
        <x:v>46230</x:v>
      </x:c>
      <x:c r="H186" s="12" t="n">
        <x:f>IFERROR(LOOKUP(2,1/((Performance_Metrics!$A$2:$A$3000=$A186)*(Performance_Metrics!$D$2:$D$3000=$D186)),Performance_Metrics!$G$2:$G$3000),"")</x:f>
        <x:v>2023</x:v>
      </x:c>
      <x:c r="I186" s="12" t="n">
        <x:f>IFERROR(SUMIFS(Normative_Data!$G$2:$G$1000,Normative_Data!$A$2:$A$1000,$B186,Normative_Data!$B$2:$B$1000,$C186,Normative_Data!$E$2:$E$1000,$D186),"")</x:f>
        <x:v>1750</x:v>
      </x:c>
      <x:c r="J186" s="18" t="n">
        <x:f>IF(OR($H186="",$I186=""),"",($H186-$I186)/$I186)</x:f>
        <x:v>0.156</x:v>
      </x:c>
      <x:c r="K186" s="12" t="str">
        <x:f>IF(OR($H186="",$I186="",$F186=""),"",IF(ABS($J186)&lt;=0.05,"Equal to Norm",IF($F186="lower",IF($H186&lt;$I186,"Above Norm","Below Norm"),IF($H186&gt;$I186,"Above Norm","Below Norm"))))</x:f>
        <x:v>Above Norm</x:v>
      </x:c>
      <x:c r="L186" s="12" t="str">
        <x:f>IFERROR(VLOOKUP($D186&amp;"|"&amp;$K186,Recommendation_Lookup!$A$2:$H$19,2,FALSE),"")</x:f>
        <x:v>Maintain maximal force qualities</x:v>
      </x:c>
      <x:c r="M186" s="12" t="str">
        <x:f>IFERROR(VLOOKUP($D186&amp;"|"&amp;$K186,Recommendation_Lookup!$A$2:$H$19,3,FALSE),"")</x:f>
        <x:v>Force application speed; asymmetry; fatigue management; sport transfer</x:v>
      </x:c>
      <x:c r="N186" s="12" t="str">
        <x:f>IFERROR(VLOOKUP($D186&amp;"|"&amp;$K186,Recommendation_Lookup!$A$2:$H$19,4,FALSE),"")</x:f>
        <x:v>Maintain maximal force with low-volume strength exposure while shifting selected work toward power and sport-specific application. Monitor asymmetry and fatigue.</x:v>
      </x:c>
      <x:c r="O186" s="12" t="str">
        <x:f>IFERROR(VLOOKUP($D186&amp;"|"&amp;$K186,Recommendation_Lookup!$A$2:$H$19,5,FALSE),"")</x:f>
        <x:v>RVX Advanced Strength-Power</x:v>
      </x:c>
      <x:c r="P186" s="12" t="str">
        <x:f>IFERROR(VLOOKUP($D186&amp;"|"&amp;$K186,Recommendation_Lookup!$A$2:$H$19,6,FALSE),"")</x:f>
        <x:v>RVX Force Maintenance Microdose</x:v>
      </x:c>
      <x:c r="Q186" s="12" t="str">
        <x:f>IFERROR(VLOOKUP($D186&amp;"|"&amp;$K186,Recommendation_Lookup!$A$2:$H$19,7,FALSE),"")</x:f>
        <x:v>Produce high force without losing position or movement speed.</x:v>
      </x:c>
      <x:c r="R186" s="12" t="str">
        <x:f>IFERROR(VLOOKUP($D186&amp;"|"&amp;$K186,Recommendation_Lookup!$A$2:$H$19,8,FALSE),"")</x:f>
        <x:v>Retest every 6–8 weeks or following a strength-power phase.</x:v>
      </x:c>
      <x:c r="S186" s="12"/>
      <x:c r="T186" s="12"/>
      <x:c r="U186" s="12"/>
      <x:c r="V186" s="12"/>
      <x:c r="W186" s="12" t="str">
        <x:f>IF($S186&lt;&gt;"",$S186,$K186)</x:f>
        <x:v>Above Norm</x:v>
      </x:c>
      <x:c r="X186" s="12" t="str">
        <x:f>IF($T186&lt;&gt;"",$T186,$L186)</x:f>
        <x:v>Maintain maximal force qualities</x:v>
      </x:c>
      <x:c r="Y186" s="12" t="str">
        <x:f>IF($U186&lt;&gt;"",$U186,$N186)</x:f>
        <x:v>Maintain maximal force with low-volume strength exposure while shifting selected work toward power and sport-specific application. Monitor asymmetry and fatigue.</x:v>
      </x:c>
      <x:c r="Z186" s="12" t="str">
        <x:f>IF($V186&lt;&gt;"",$V186,$O186)</x:f>
        <x:v>RVX Advanced Strength-Power</x:v>
      </x:c>
      <x:c r="AA186" s="12"/>
    </x:row>
    <x:row r="187">
      <x:c r="A187" s="12" t="str">
        <x:v>RVX-00031</x:v>
      </x:c>
      <x:c r="B187" s="12" t="str">
        <x:f>IFERROR(VLOOKUP($A187,Athlete_Profile!$A$2:$L$51,6,FALSE),"")</x:f>
        <x:v>Hockey</x:v>
      </x:c>
      <x:c r="C187" s="12" t="str">
        <x:f>IFERROR(VLOOKUP($A187,Athlete_Profile!$A$2:$L$51,5,FALSE),"")</x:f>
        <x:v>Female</x:v>
      </x:c>
      <x:c r="D187" s="12" t="str">
        <x:v>impulse</x:v>
      </x:c>
      <x:c r="E187" s="12" t="str">
        <x:f>IFERROR(VLOOKUP($D187,Dropdown_Lists!$K$2:$N$7,2,FALSE),"")</x:f>
        <x:v>Impulse-Momentum</x:v>
      </x:c>
      <x:c r="F187" s="12" t="str">
        <x:f>IFERROR(VLOOKUP($D187,Dropdown_Lists!$K$2:$N$7,3,FALSE),"")</x:f>
        <x:v>higher</x:v>
      </x:c>
      <x:c r="G187" s="17" t="n">
        <x:f>IFERROR(LOOKUP(2,1/((Performance_Metrics!$A$2:$A$3000=$A187)*(Performance_Metrics!$D$2:$D$3000=$D187)),Performance_Metrics!$C$2:$C$3000),"")</x:f>
        <x:v>46230</x:v>
      </x:c>
      <x:c r="H187" s="12" t="n">
        <x:f>IFERROR(LOOKUP(2,1/((Performance_Metrics!$A$2:$A$3000=$A187)*(Performance_Metrics!$D$2:$D$3000=$D187)),Performance_Metrics!$G$2:$G$3000),"")</x:f>
        <x:v>245.5</x:v>
      </x:c>
      <x:c r="I187" s="12" t="n">
        <x:f>IFERROR(SUMIFS(Normative_Data!$G$2:$G$1000,Normative_Data!$A$2:$A$1000,$B187,Normative_Data!$B$2:$B$1000,$C187,Normative_Data!$E$2:$E$1000,$D187),"")</x:f>
        <x:v>215</x:v>
      </x:c>
      <x:c r="J187" s="18" t="n">
        <x:f>IF(OR($H187="",$I187=""),"",($H187-$I187)/$I187)</x:f>
        <x:v>0.14186046511627906</x:v>
      </x:c>
      <x:c r="K187" s="12" t="str">
        <x:f>IF(OR($H187="",$I187="",$F187=""),"",IF(ABS($J187)&lt;=0.05,"Equal to Norm",IF($F187="lower",IF($H187&lt;$I187,"Above Norm","Below Norm"),IF($H187&gt;$I187,"Above Norm","Below Norm"))))</x:f>
        <x:v>Above Norm</x:v>
      </x:c>
      <x:c r="L187" s="12" t="str">
        <x:f>IFERROR(VLOOKUP($D187&amp;"|"&amp;$K187,Recommendation_Lookup!$A$2:$H$19,2,FALSE),"")</x:f>
        <x:v>Maintain total force-time output</x:v>
      </x:c>
      <x:c r="M187" s="12" t="str">
        <x:f>IFERROR(VLOOKUP($D187&amp;"|"&amp;$K187,Recommendation_Lookup!$A$2:$H$19,3,FALSE),"")</x:f>
        <x:v>Rate of force development; movement time; power transfer; fatigue resistance</x:v>
      </x:c>
      <x:c r="N187" s="12" t="str">
        <x:f>IFERROR(VLOOKUP($D187&amp;"|"&amp;$K187,Recommendation_Lookup!$A$2:$H$19,4,FALSE),"")</x:f>
        <x:v>Maintain impulse with strength-power microdosing and varied jump or sprint exposures. Ensure high impulse is achieved efficiently rather than through excessive movement time.</x:v>
      </x:c>
      <x:c r="O187" s="12" t="str">
        <x:f>IFERROR(VLOOKUP($D187&amp;"|"&amp;$K187,Recommendation_Lookup!$A$2:$H$19,5,FALSE),"")</x:f>
        <x:v>RVX Advanced Power Development</x:v>
      </x:c>
      <x:c r="P187" s="12" t="str">
        <x:f>IFERROR(VLOOKUP($D187&amp;"|"&amp;$K187,Recommendation_Lookup!$A$2:$H$19,6,FALSE),"")</x:f>
        <x:v>RVX Elastic Power Microdose</x:v>
      </x:c>
      <x:c r="Q187" s="12" t="str">
        <x:f>IFERROR(VLOOKUP($D187&amp;"|"&amp;$K187,Recommendation_Lookup!$A$2:$H$19,7,FALSE),"")</x:f>
        <x:v>Build force quickly and keep applying it through the full movement.</x:v>
      </x:c>
      <x:c r="R187" s="12" t="str">
        <x:f>IFERROR(VLOOKUP($D187&amp;"|"&amp;$K187,Recommendation_Lookup!$A$2:$H$19,8,FALSE),"")</x:f>
        <x:v>Retest every 6–8 weeks while reviewing contraction time and jump outcome.</x:v>
      </x:c>
      <x:c r="S187" s="12"/>
      <x:c r="T187" s="12"/>
      <x:c r="U187" s="12"/>
      <x:c r="V187" s="12"/>
      <x:c r="W187" s="12" t="str">
        <x:f>IF($S187&lt;&gt;"",$S187,$K187)</x:f>
        <x:v>Above Norm</x:v>
      </x:c>
      <x:c r="X187" s="12" t="str">
        <x:f>IF($T187&lt;&gt;"",$T187,$L187)</x:f>
        <x:v>Maintain total force-time output</x:v>
      </x:c>
      <x:c r="Y187" s="12" t="str">
        <x:f>IF($U187&lt;&gt;"",$U187,$N187)</x:f>
        <x:v>Maintain impulse with strength-power microdosing and varied jump or sprint exposures. Ensure high impulse is achieved efficiently rather than through excessive movement time.</x:v>
      </x:c>
      <x:c r="Z187" s="12" t="str">
        <x:f>IF($V187&lt;&gt;"",$V187,$O187)</x:f>
        <x:v>RVX Advanced Power Development</x:v>
      </x:c>
      <x:c r="AA187" s="12"/>
    </x:row>
    <x:row r="188">
      <x:c r="A188" s="12" t="str">
        <x:v>RVX-00032</x:v>
      </x:c>
      <x:c r="B188" s="12" t="str">
        <x:f>IFERROR(VLOOKUP($A188,Athlete_Profile!$A$2:$L$51,6,FALSE),"")</x:f>
        <x:v>Hockey</x:v>
      </x:c>
      <x:c r="C188" s="12" t="str">
        <x:f>IFERROR(VLOOKUP($A188,Athlete_Profile!$A$2:$L$51,5,FALSE),"")</x:f>
        <x:v>Male</x:v>
      </x:c>
      <x:c r="D188" s="12" t="str">
        <x:v>sprint_5m</x:v>
      </x:c>
      <x:c r="E188" s="12" t="str">
        <x:f>IFERROR(VLOOKUP($D188,Dropdown_Lists!$K$2:$N$7,2,FALSE),"")</x:f>
        <x:v>5m Sprint</x:v>
      </x:c>
      <x:c r="F188" s="12" t="str">
        <x:f>IFERROR(VLOOKUP($D188,Dropdown_Lists!$K$2:$N$7,3,FALSE),"")</x:f>
        <x:v>lower</x:v>
      </x:c>
      <x:c r="G188" s="17" t="n">
        <x:f>IFERROR(LOOKUP(2,1/((Performance_Metrics!$A$2:$A$3000=$A188)*(Performance_Metrics!$D$2:$D$3000=$D188)),Performance_Metrics!$C$2:$C$3000),"")</x:f>
        <x:v>46230</x:v>
      </x:c>
      <x:c r="H188" s="12" t="n">
        <x:f>IFERROR(LOOKUP(2,1/((Performance_Metrics!$A$2:$A$3000=$A188)*(Performance_Metrics!$D$2:$D$3000=$D188)),Performance_Metrics!$G$2:$G$3000),"")</x:f>
        <x:v>1.01</x:v>
      </x:c>
      <x:c r="I188" s="12" t="n">
        <x:f>IFERROR(SUMIFS(Normative_Data!$G$2:$G$1000,Normative_Data!$A$2:$A$1000,$B188,Normative_Data!$B$2:$B$1000,$C188,Normative_Data!$E$2:$E$1000,$D188),"")</x:f>
        <x:v>1.08</x:v>
      </x:c>
      <x:c r="J188" s="18" t="n">
        <x:f>IF(OR($H188="",$I188=""),"",($H188-$I188)/$I188)</x:f>
        <x:v>-0.06481481481481487</x:v>
      </x:c>
      <x:c r="K188" s="12" t="str">
        <x:f>IF(OR($H188="",$I188="",$F188=""),"",IF(ABS($J188)&lt;=0.05,"Equal to Norm",IF($F188="lower",IF($H188&lt;$I188,"Above Norm","Below Norm"),IF($H188&gt;$I188,"Above Norm","Below Norm"))))</x:f>
        <x:v>Above Norm</x:v>
      </x:c>
      <x:c r="L188" s="12" t="str">
        <x:f>IFERROR(VLOOKUP($D188&amp;"|"&amp;$K188,Recommendation_Lookup!$A$2:$H$19,2,FALSE),"")</x:f>
        <x:v>Maintain first-step explosiveness</x:v>
      </x:c>
      <x:c r="M188" s="12" t="str">
        <x:f>IFERROR(VLOOKUP($D188&amp;"|"&amp;$K188,Recommendation_Lookup!$A$2:$H$19,3,FALSE),"")</x:f>
        <x:v>Start consistency; projection angle; horizontal force; reaction quality</x:v>
      </x:c>
      <x:c r="N188" s="12" t="str">
        <x:f>IFERROR(VLOOKUP($D188&amp;"|"&amp;$K188,Recommendation_Lookup!$A$2:$H$19,4,FALSE),"")</x:f>
        <x:v>Maintain speed with low-volume, high-quality acceleration exposures. Avoid unnecessary volume that could reduce sprint quality. Progress through resisted and reactive starts while preserving mechanics.</x:v>
      </x:c>
      <x:c r="O188" s="12" t="str">
        <x:f>IFERROR(VLOOKUP($D188&amp;"|"&amp;$K188,Recommendation_Lookup!$A$2:$H$19,5,FALSE),"")</x:f>
        <x:v>RVX Advanced Acceleration</x:v>
      </x:c>
      <x:c r="P188" s="12" t="str">
        <x:f>IFERROR(VLOOKUP($D188&amp;"|"&amp;$K188,Recommendation_Lookup!$A$2:$H$19,6,FALSE),"")</x:f>
        <x:v>RVX Explosive Starts Microdose</x:v>
      </x:c>
      <x:c r="Q188" s="12" t="str">
        <x:f>IFERROR(VLOOKUP($D188&amp;"|"&amp;$K188,Recommendation_Lookup!$A$2:$H$19,7,FALSE),"")</x:f>
        <x:v>Project forward, push the ground back, and win the first three steps.</x:v>
      </x:c>
      <x:c r="R188" s="12" t="str">
        <x:f>IFERROR(VLOOKUP($D188&amp;"|"&amp;$K188,Recommendation_Lookup!$A$2:$H$19,8,FALSE),"")</x:f>
        <x:v>Retest every 6–8 weeks or after a dedicated acceleration block.</x:v>
      </x:c>
      <x:c r="S188" s="12"/>
      <x:c r="T188" s="12"/>
      <x:c r="U188" s="12"/>
      <x:c r="V188" s="12"/>
      <x:c r="W188" s="12" t="str">
        <x:f>IF($S188&lt;&gt;"",$S188,$K188)</x:f>
        <x:v>Above Norm</x:v>
      </x:c>
      <x:c r="X188" s="12" t="str">
        <x:f>IF($T188&lt;&gt;"",$T188,$L188)</x:f>
        <x:v>Maintain first-step explosiveness</x:v>
      </x:c>
      <x:c r="Y188" s="12" t="str">
        <x:f>IF($U188&lt;&gt;"",$U188,$N188)</x:f>
        <x:v>Maintain speed with low-volume, high-quality acceleration exposures. Avoid unnecessary volume that could reduce sprint quality. Progress through resisted and reactive starts while preserving mechanics.</x:v>
      </x:c>
      <x:c r="Z188" s="12" t="str">
        <x:f>IF($V188&lt;&gt;"",$V188,$O188)</x:f>
        <x:v>RVX Advanced Acceleration</x:v>
      </x:c>
      <x:c r="AA188" s="12"/>
    </x:row>
    <x:row r="189">
      <x:c r="A189" s="12" t="str">
        <x:v>RVX-00032</x:v>
      </x:c>
      <x:c r="B189" s="12" t="str">
        <x:f>IFERROR(VLOOKUP($A189,Athlete_Profile!$A$2:$L$51,6,FALSE),"")</x:f>
        <x:v>Hockey</x:v>
      </x:c>
      <x:c r="C189" s="12" t="str">
        <x:f>IFERROR(VLOOKUP($A189,Athlete_Profile!$A$2:$L$51,5,FALSE),"")</x:f>
        <x:v>Male</x:v>
      </x:c>
      <x:c r="D189" s="12" t="str">
        <x:v>sprint_10m</x:v>
      </x:c>
      <x:c r="E189" s="12" t="str">
        <x:f>IFERROR(VLOOKUP($D189,Dropdown_Lists!$K$2:$N$7,2,FALSE),"")</x:f>
        <x:v>10m Sprint</x:v>
      </x:c>
      <x:c r="F189" s="12" t="str">
        <x:f>IFERROR(VLOOKUP($D189,Dropdown_Lists!$K$2:$N$7,3,FALSE),"")</x:f>
        <x:v>lower</x:v>
      </x:c>
      <x:c r="G189" s="17" t="n">
        <x:f>IFERROR(LOOKUP(2,1/((Performance_Metrics!$A$2:$A$3000=$A189)*(Performance_Metrics!$D$2:$D$3000=$D189)),Performance_Metrics!$C$2:$C$3000),"")</x:f>
        <x:v>46230</x:v>
      </x:c>
      <x:c r="H189" s="12" t="n">
        <x:f>IFERROR(LOOKUP(2,1/((Performance_Metrics!$A$2:$A$3000=$A189)*(Performance_Metrics!$D$2:$D$3000=$D189)),Performance_Metrics!$G$2:$G$3000),"")</x:f>
        <x:v>1.72</x:v>
      </x:c>
      <x:c r="I189" s="12" t="n">
        <x:f>IFERROR(SUMIFS(Normative_Data!$G$2:$G$1000,Normative_Data!$A$2:$A$1000,$B189,Normative_Data!$B$2:$B$1000,$C189,Normative_Data!$E$2:$E$1000,$D189),"")</x:f>
        <x:v>1.8</x:v>
      </x:c>
      <x:c r="J189" s="18" t="n">
        <x:f>IF(OR($H189="",$I189=""),"",($H189-$I189)/$I189)</x:f>
        <x:v>-0.04444444444444448</x:v>
      </x:c>
      <x:c r="K189" s="12" t="str">
        <x:f>IF(OR($H189="",$I189="",$F189=""),"",IF(ABS($J189)&lt;=0.05,"Equal to Norm",IF($F189="lower",IF($H189&lt;$I189,"Above Norm","Below Norm"),IF($H189&gt;$I189,"Above Norm","Below Norm"))))</x:f>
        <x:v>Equal to Norm</x:v>
      </x:c>
      <x:c r="L189" s="12" t="str">
        <x:f>IFERROR(VLOOKUP($D189&amp;"|"&amp;$K189,Recommendation_Lookup!$A$2:$H$19,2,FALSE),"")</x:f>
        <x:v>Improve acceleration continuation</x:v>
      </x:c>
      <x:c r="M189" s="12" t="str">
        <x:f>IFERROR(VLOOKUP($D189&amp;"|"&amp;$K189,Recommendation_Lookup!$A$2:$H$19,3,FALSE),"")</x:f>
        <x:v>Projection; force orientation; step rhythm; trunk control</x:v>
      </x:c>
      <x:c r="N189" s="12" t="str">
        <x:f>IFERROR(VLOOKUP($D189&amp;"|"&amp;$K189,Recommendation_Lookup!$A$2:$H$19,4,FALSE),"")</x:f>
        <x:v>Build acceleration from 0–10 m using split starts, falling starts and progressive resisted sprints. Emphasize full recovery and technical consistency.</x:v>
      </x:c>
      <x:c r="O189" s="12" t="str">
        <x:f>IFERROR(VLOOKUP($D189&amp;"|"&amp;$K189,Recommendation_Lookup!$A$2:$H$19,5,FALSE),"")</x:f>
        <x:v>RVX Acceleration Development</x:v>
      </x:c>
      <x:c r="P189" s="12" t="str">
        <x:f>IFERROR(VLOOKUP($D189&amp;"|"&amp;$K189,Recommendation_Lookup!$A$2:$H$19,6,FALSE),"")</x:f>
        <x:v>RVX Sprint Mechanics</x:v>
      </x:c>
      <x:c r="Q189" s="12" t="str">
        <x:f>IFERROR(VLOOKUP($D189&amp;"|"&amp;$K189,Recommendation_Lookup!$A$2:$H$19,7,FALSE),"")</x:f>
        <x:v>Keep building speed through the line; do not stand up too early.</x:v>
      </x:c>
      <x:c r="R189" s="12" t="str">
        <x:f>IFERROR(VLOOKUP($D189&amp;"|"&amp;$K189,Recommendation_Lookup!$A$2:$H$19,8,FALSE),"")</x:f>
        <x:v>Retest after 4–6 weeks.</x:v>
      </x:c>
      <x:c r="S189" s="12"/>
      <x:c r="T189" s="12"/>
      <x:c r="U189" s="12"/>
      <x:c r="V189" s="12"/>
      <x:c r="W189" s="12" t="str">
        <x:f>IF($S189&lt;&gt;"",$S189,$K189)</x:f>
        <x:v>Equal to Norm</x:v>
      </x:c>
      <x:c r="X189" s="12" t="str">
        <x:f>IF($T189&lt;&gt;"",$T189,$L189)</x:f>
        <x:v>Improve acceleration continuation</x:v>
      </x:c>
      <x:c r="Y189" s="12" t="str">
        <x:f>IF($U189&lt;&gt;"",$U189,$N189)</x:f>
        <x:v>Build acceleration from 0–10 m using split starts, falling starts and progressive resisted sprints. Emphasize full recovery and technical consistency.</x:v>
      </x:c>
      <x:c r="Z189" s="12" t="str">
        <x:f>IF($V189&lt;&gt;"",$V189,$O189)</x:f>
        <x:v>RVX Acceleration Development</x:v>
      </x:c>
      <x:c r="AA189" s="12"/>
    </x:row>
    <x:row r="190">
      <x:c r="A190" s="12" t="str">
        <x:v>RVX-00032</x:v>
      </x:c>
      <x:c r="B190" s="12" t="str">
        <x:f>IFERROR(VLOOKUP($A190,Athlete_Profile!$A$2:$L$51,6,FALSE),"")</x:f>
        <x:v>Hockey</x:v>
      </x:c>
      <x:c r="C190" s="12" t="str">
        <x:f>IFERROR(VLOOKUP($A190,Athlete_Profile!$A$2:$L$51,5,FALSE),"")</x:f>
        <x:v>Male</x:v>
      </x:c>
      <x:c r="D190" s="12" t="str">
        <x:v>pro_agility</x:v>
      </x:c>
      <x:c r="E190" s="12" t="str">
        <x:f>IFERROR(VLOOKUP($D190,Dropdown_Lists!$K$2:$N$7,2,FALSE),"")</x:f>
        <x:v>5-10-5 Pro Agility</x:v>
      </x:c>
      <x:c r="F190" s="12" t="str">
        <x:f>IFERROR(VLOOKUP($D190,Dropdown_Lists!$K$2:$N$7,3,FALSE),"")</x:f>
        <x:v>lower</x:v>
      </x:c>
      <x:c r="G190" s="17" t="n">
        <x:f>IFERROR(LOOKUP(2,1/((Performance_Metrics!$A$2:$A$3000=$A190)*(Performance_Metrics!$D$2:$D$3000=$D190)),Performance_Metrics!$C$2:$C$3000),"")</x:f>
        <x:v>46230</x:v>
      </x:c>
      <x:c r="H190" s="12" t="n">
        <x:f>IFERROR(LOOKUP(2,1/((Performance_Metrics!$A$2:$A$3000=$A190)*(Performance_Metrics!$D$2:$D$3000=$D190)),Performance_Metrics!$G$2:$G$3000),"")</x:f>
        <x:v>4.45</x:v>
      </x:c>
      <x:c r="I190" s="12" t="n">
        <x:f>IFERROR(SUMIFS(Normative_Data!$G$2:$G$1000,Normative_Data!$A$2:$A$1000,$B190,Normative_Data!$B$2:$B$1000,$C190,Normative_Data!$E$2:$E$1000,$D190),"")</x:f>
        <x:v>4.63</x:v>
      </x:c>
      <x:c r="J190" s="18" t="n">
        <x:f>IF(OR($H190="",$I190=""),"",($H190-$I190)/$I190)</x:f>
        <x:v>-0.03887688984881203</x:v>
      </x:c>
      <x:c r="K190" s="12" t="str">
        <x:f>IF(OR($H190="",$I190="",$F190=""),"",IF(ABS($J190)&lt;=0.05,"Equal to Norm",IF($F190="lower",IF($H190&lt;$I190,"Above Norm","Below Norm"),IF($H190&gt;$I190,"Above Norm","Below Norm"))))</x:f>
        <x:v>Equal to Norm</x:v>
      </x:c>
      <x:c r="L190" s="12" t="str">
        <x:f>IFERROR(VLOOKUP($D190&amp;"|"&amp;$K190,Recommendation_Lookup!$A$2:$H$19,2,FALSE),"")</x:f>
        <x:v>Improve braking and re-acceleration</x:v>
      </x:c>
      <x:c r="M190" s="12" t="str">
        <x:f>IFERROR(VLOOKUP($D190&amp;"|"&amp;$K190,Recommendation_Lookup!$A$2:$H$19,3,FALSE),"")</x:f>
        <x:v>Deceleration mechanics; foot placement; hip position; crossover efficiency</x:v>
      </x:c>
      <x:c r="N190" s="12" t="str">
        <x:f>IFERROR(VLOOKUP($D190&amp;"|"&amp;$K190,Recommendation_Lookup!$A$2:$H$19,4,FALSE),"")</x:f>
        <x:v>Use a structured change-of-direction block emphasizing braking positions, plant-foot control and efficient re-acceleration on both sides.</x:v>
      </x:c>
      <x:c r="O190" s="12" t="str">
        <x:f>IFERROR(VLOOKUP($D190&amp;"|"&amp;$K190,Recommendation_Lookup!$A$2:$H$19,5,FALSE),"")</x:f>
        <x:v>RVX Change of Direction Development</x:v>
      </x:c>
      <x:c r="P190" s="12" t="str">
        <x:f>IFERROR(VLOOKUP($D190&amp;"|"&amp;$K190,Recommendation_Lookup!$A$2:$H$19,6,FALSE),"")</x:f>
        <x:v>RVX Deceleration Mechanics</x:v>
      </x:c>
      <x:c r="Q190" s="12" t="str">
        <x:f>IFERROR(VLOOKUP($D190&amp;"|"&amp;$K190,Recommendation_Lookup!$A$2:$H$19,7,FALSE),"")</x:f>
        <x:v>Lower the centre of mass before the turn and push away from the plant.</x:v>
      </x:c>
      <x:c r="R190" s="12" t="str">
        <x:f>IFERROR(VLOOKUP($D190&amp;"|"&amp;$K190,Recommendation_Lookup!$A$2:$H$19,8,FALSE),"")</x:f>
        <x:v>Retest after 4–6 weeks and review directional splits if available.</x:v>
      </x:c>
      <x:c r="S190" s="12"/>
      <x:c r="T190" s="12"/>
      <x:c r="U190" s="12"/>
      <x:c r="V190" s="12"/>
      <x:c r="W190" s="12" t="str">
        <x:f>IF($S190&lt;&gt;"",$S190,$K190)</x:f>
        <x:v>Equal to Norm</x:v>
      </x:c>
      <x:c r="X190" s="12" t="str">
        <x:f>IF($T190&lt;&gt;"",$T190,$L190)</x:f>
        <x:v>Improve braking and re-acceleration</x:v>
      </x:c>
      <x:c r="Y190" s="12" t="str">
        <x:f>IF($U190&lt;&gt;"",$U190,$N190)</x:f>
        <x:v>Use a structured change-of-direction block emphasizing braking positions, plant-foot control and efficient re-acceleration on both sides.</x:v>
      </x:c>
      <x:c r="Z190" s="12" t="str">
        <x:f>IF($V190&lt;&gt;"",$V190,$O190)</x:f>
        <x:v>RVX Change of Direction Development</x:v>
      </x:c>
      <x:c r="AA190" s="12"/>
    </x:row>
    <x:row r="191">
      <x:c r="A191" s="12" t="str">
        <x:v>RVX-00032</x:v>
      </x:c>
      <x:c r="B191" s="12" t="str">
        <x:f>IFERROR(VLOOKUP($A191,Athlete_Profile!$A$2:$L$51,6,FALSE),"")</x:f>
        <x:v>Hockey</x:v>
      </x:c>
      <x:c r="C191" s="12" t="str">
        <x:f>IFERROR(VLOOKUP($A191,Athlete_Profile!$A$2:$L$51,5,FALSE),"")</x:f>
        <x:v>Male</x:v>
      </x:c>
      <x:c r="D191" s="12" t="str">
        <x:v>cmj_depth</x:v>
      </x:c>
      <x:c r="E191" s="12" t="str">
        <x:f>IFERROR(VLOOKUP($D191,Dropdown_Lists!$K$2:$N$7,2,FALSE),"")</x:f>
        <x:v>Countermovement Depth</x:v>
      </x:c>
      <x:c r="F191" s="12" t="str">
        <x:f>IFERROR(VLOOKUP($D191,Dropdown_Lists!$K$2:$N$7,3,FALSE),"")</x:f>
        <x:v>higher</x:v>
      </x:c>
      <x:c r="G191" s="17" t="n">
        <x:f>IFERROR(LOOKUP(2,1/((Performance_Metrics!$A$2:$A$3000=$A191)*(Performance_Metrics!$D$2:$D$3000=$D191)),Performance_Metrics!$C$2:$C$3000),"")</x:f>
        <x:v>46230</x:v>
      </x:c>
      <x:c r="H191" s="12" t="n">
        <x:f>IFERROR(LOOKUP(2,1/((Performance_Metrics!$A$2:$A$3000=$A191)*(Performance_Metrics!$D$2:$D$3000=$D191)),Performance_Metrics!$G$2:$G$3000),"")</x:f>
        <x:v>35</x:v>
      </x:c>
      <x:c r="I191" s="12" t="n">
        <x:f>IFERROR(SUMIFS(Normative_Data!$G$2:$G$1000,Normative_Data!$A$2:$A$1000,$B191,Normative_Data!$B$2:$B$1000,$C191,Normative_Data!$E$2:$E$1000,$D191),"")</x:f>
        <x:v>33</x:v>
      </x:c>
      <x:c r="J191" s="18" t="n">
        <x:f>IF(OR($H191="",$I191=""),"",($H191-$I191)/$I191)</x:f>
        <x:v>0.06060606060606061</x:v>
      </x:c>
      <x:c r="K191" s="12" t="str">
        <x:f>IF(OR($H191="",$I191="",$F191=""),"",IF(ABS($J191)&lt;=0.05,"Equal to Norm",IF($F191="lower",IF($H191&lt;$I191,"Above Norm","Below Norm"),IF($H191&gt;$I191,"Above Norm","Below Norm"))))</x:f>
        <x:v>Above Norm</x:v>
      </x:c>
      <x:c r="L191" s="12" t="str">
        <x:f>IFERROR(VLOOKUP($D191&amp;"|"&amp;$K191,Recommendation_Lookup!$A$2:$H$19,2,FALSE),"")</x:f>
        <x:v>Maintain effective countermovement strategy</x:v>
      </x:c>
      <x:c r="M191" s="12" t="str">
        <x:f>IFERROR(VLOOKUP($D191&amp;"|"&amp;$K191,Recommendation_Lookup!$A$2:$H$19,3,FALSE),"")</x:f>
        <x:v>Movement efficiency; eccentric control; jump consistency; depth-to-output relationship</x:v>
      </x:c>
      <x:c r="N191" s="12" t="str">
        <x:f>IFERROR(VLOOKUP($D191&amp;"|"&amp;$K191,Recommendation_Lookup!$A$2:$H$19,4,FALSE),"")</x:f>
        <x:v>Maintain the athlete’s preferred countermovement strategy while ensuring the additional depth contributes to force and impulse rather than excessive movement time.</x:v>
      </x:c>
      <x:c r="O191" s="12" t="str">
        <x:f>IFERROR(VLOOKUP($D191&amp;"|"&amp;$K191,Recommendation_Lookup!$A$2:$H$19,5,FALSE),"")</x:f>
        <x:v>RVX Jump Performance Advanced</x:v>
      </x:c>
      <x:c r="P191" s="12" t="str">
        <x:f>IFERROR(VLOOKUP($D191&amp;"|"&amp;$K191,Recommendation_Lookup!$A$2:$H$19,6,FALSE),"")</x:f>
        <x:v>RVX Eccentric Strength Microdose</x:v>
      </x:c>
      <x:c r="Q191" s="12" t="str">
        <x:f>IFERROR(VLOOKUP($D191&amp;"|"&amp;$K191,Recommendation_Lookup!$A$2:$H$19,7,FALSE),"")</x:f>
        <x:v>Use the depth you can control, then reverse quickly and aggressively.</x:v>
      </x:c>
      <x:c r="R191" s="12" t="str">
        <x:f>IFERROR(VLOOKUP($D191&amp;"|"&amp;$K191,Recommendation_Lookup!$A$2:$H$19,8,FALSE),"")</x:f>
        <x:v>Retest every 6–8 weeks while monitoring jump height and contraction time.</x:v>
      </x:c>
      <x:c r="S191" s="12"/>
      <x:c r="T191" s="12"/>
      <x:c r="U191" s="12"/>
      <x:c r="V191" s="12"/>
      <x:c r="W191" s="12" t="str">
        <x:f>IF($S191&lt;&gt;"",$S191,$K191)</x:f>
        <x:v>Above Norm</x:v>
      </x:c>
      <x:c r="X191" s="12" t="str">
        <x:f>IF($T191&lt;&gt;"",$T191,$L191)</x:f>
        <x:v>Maintain effective countermovement strategy</x:v>
      </x:c>
      <x:c r="Y191" s="12" t="str">
        <x:f>IF($U191&lt;&gt;"",$U191,$N191)</x:f>
        <x:v>Maintain the athlete’s preferred countermovement strategy while ensuring the additional depth contributes to force and impulse rather than excessive movement time.</x:v>
      </x:c>
      <x:c r="Z191" s="12" t="str">
        <x:f>IF($V191&lt;&gt;"",$V191,$O191)</x:f>
        <x:v>RVX Jump Performance Advanced</x:v>
      </x:c>
      <x:c r="AA191" s="12"/>
    </x:row>
    <x:row r="192">
      <x:c r="A192" s="12" t="str">
        <x:v>RVX-00032</x:v>
      </x:c>
      <x:c r="B192" s="12" t="str">
        <x:f>IFERROR(VLOOKUP($A192,Athlete_Profile!$A$2:$L$51,6,FALSE),"")</x:f>
        <x:v>Hockey</x:v>
      </x:c>
      <x:c r="C192" s="12" t="str">
        <x:f>IFERROR(VLOOKUP($A192,Athlete_Profile!$A$2:$L$51,5,FALSE),"")</x:f>
        <x:v>Male</x:v>
      </x:c>
      <x:c r="D192" s="12" t="str">
        <x:v>peak_force</x:v>
      </x:c>
      <x:c r="E192" s="12" t="str">
        <x:f>IFERROR(VLOOKUP($D192,Dropdown_Lists!$K$2:$N$7,2,FALSE),"")</x:f>
        <x:v>Peak Force</x:v>
      </x:c>
      <x:c r="F192" s="12" t="str">
        <x:f>IFERROR(VLOOKUP($D192,Dropdown_Lists!$K$2:$N$7,3,FALSE),"")</x:f>
        <x:v>higher</x:v>
      </x:c>
      <x:c r="G192" s="17" t="n">
        <x:f>IFERROR(LOOKUP(2,1/((Performance_Metrics!$A$2:$A$3000=$A192)*(Performance_Metrics!$D$2:$D$3000=$D192)),Performance_Metrics!$C$2:$C$3000),"")</x:f>
        <x:v>46230</x:v>
      </x:c>
      <x:c r="H192" s="12" t="n">
        <x:f>IFERROR(LOOKUP(2,1/((Performance_Metrics!$A$2:$A$3000=$A192)*(Performance_Metrics!$D$2:$D$3000=$D192)),Performance_Metrics!$G$2:$G$3000),"")</x:f>
        <x:v>2011</x:v>
      </x:c>
      <x:c r="I192" s="12" t="n">
        <x:f>IFERROR(SUMIFS(Normative_Data!$G$2:$G$1000,Normative_Data!$A$2:$A$1000,$B192,Normative_Data!$B$2:$B$1000,$C192,Normative_Data!$E$2:$E$1000,$D192),"")</x:f>
        <x:v>1925</x:v>
      </x:c>
      <x:c r="J192" s="18" t="n">
        <x:f>IF(OR($H192="",$I192=""),"",($H192-$I192)/$I192)</x:f>
        <x:v>0.044675324675324674</x:v>
      </x:c>
      <x:c r="K192" s="12" t="str">
        <x:f>IF(OR($H192="",$I192="",$F192=""),"",IF(ABS($J192)&lt;=0.05,"Equal to Norm",IF($F192="lower",IF($H192&lt;$I192,"Above Norm","Below Norm"),IF($H192&gt;$I192,"Above Norm","Below Norm"))))</x:f>
        <x:v>Equal to Norm</x:v>
      </x:c>
      <x:c r="L192" s="12" t="str">
        <x:f>IFERROR(VLOOKUP($D192&amp;"|"&amp;$K192,Recommendation_Lookup!$A$2:$H$19,2,FALSE),"")</x:f>
        <x:v>Increase force capacity</x:v>
      </x:c>
      <x:c r="M192" s="12" t="str">
        <x:f>IFERROR(VLOOKUP($D192&amp;"|"&amp;$K192,Recommendation_Lookup!$A$2:$H$19,3,FALSE),"")</x:f>
        <x:v>Relative strength; bracing; lower-body strength; isometric force</x:v>
      </x:c>
      <x:c r="N192" s="12" t="str">
        <x:f>IFERROR(VLOOKUP($D192&amp;"|"&amp;$K192,Recommendation_Lookup!$A$2:$H$19,4,FALSE),"")</x:f>
        <x:v>Use progressive lower-body strength training with compound lifts, isometrics and unilateral work. Maintain technical quality and appropriate loading progression.</x:v>
      </x:c>
      <x:c r="O192" s="12" t="str">
        <x:f>IFERROR(VLOOKUP($D192&amp;"|"&amp;$K192,Recommendation_Lookup!$A$2:$H$19,5,FALSE),"")</x:f>
        <x:v>RVX Strength Development</x:v>
      </x:c>
      <x:c r="P192" s="12" t="str">
        <x:f>IFERROR(VLOOKUP($D192&amp;"|"&amp;$K192,Recommendation_Lookup!$A$2:$H$19,6,FALSE),"")</x:f>
        <x:v>RVX Isometric Force Builder</x:v>
      </x:c>
      <x:c r="Q192" s="12" t="str">
        <x:f>IFERROR(VLOOKUP($D192&amp;"|"&amp;$K192,Recommendation_Lookup!$A$2:$H$19,7,FALSE),"")</x:f>
        <x:v>Create full-body tension and push through the floor with intent.</x:v>
      </x:c>
      <x:c r="R192" s="12" t="str">
        <x:f>IFERROR(VLOOKUP($D192&amp;"|"&amp;$K192,Recommendation_Lookup!$A$2:$H$19,8,FALSE),"")</x:f>
        <x:v>Retest after 4–6 weeks.</x:v>
      </x:c>
      <x:c r="S192" s="12"/>
      <x:c r="T192" s="12"/>
      <x:c r="U192" s="12"/>
      <x:c r="V192" s="12"/>
      <x:c r="W192" s="12" t="str">
        <x:f>IF($S192&lt;&gt;"",$S192,$K192)</x:f>
        <x:v>Equal to Norm</x:v>
      </x:c>
      <x:c r="X192" s="12" t="str">
        <x:f>IF($T192&lt;&gt;"",$T192,$L192)</x:f>
        <x:v>Increase force capacity</x:v>
      </x:c>
      <x:c r="Y192" s="12" t="str">
        <x:f>IF($U192&lt;&gt;"",$U192,$N192)</x:f>
        <x:v>Use progressive lower-body strength training with compound lifts, isometrics and unilateral work. Maintain technical quality and appropriate loading progression.</x:v>
      </x:c>
      <x:c r="Z192" s="12" t="str">
        <x:f>IF($V192&lt;&gt;"",$V192,$O192)</x:f>
        <x:v>RVX Strength Development</x:v>
      </x:c>
      <x:c r="AA192" s="12"/>
    </x:row>
    <x:row r="193">
      <x:c r="A193" s="12" t="str">
        <x:v>RVX-00032</x:v>
      </x:c>
      <x:c r="B193" s="12" t="str">
        <x:f>IFERROR(VLOOKUP($A193,Athlete_Profile!$A$2:$L$51,6,FALSE),"")</x:f>
        <x:v>Hockey</x:v>
      </x:c>
      <x:c r="C193" s="12" t="str">
        <x:f>IFERROR(VLOOKUP($A193,Athlete_Profile!$A$2:$L$51,5,FALSE),"")</x:f>
        <x:v>Male</x:v>
      </x:c>
      <x:c r="D193" s="12" t="str">
        <x:v>impulse</x:v>
      </x:c>
      <x:c r="E193" s="12" t="str">
        <x:f>IFERROR(VLOOKUP($D193,Dropdown_Lists!$K$2:$N$7,2,FALSE),"")</x:f>
        <x:v>Impulse-Momentum</x:v>
      </x:c>
      <x:c r="F193" s="12" t="str">
        <x:f>IFERROR(VLOOKUP($D193,Dropdown_Lists!$K$2:$N$7,3,FALSE),"")</x:f>
        <x:v>higher</x:v>
      </x:c>
      <x:c r="G193" s="17" t="n">
        <x:f>IFERROR(LOOKUP(2,1/((Performance_Metrics!$A$2:$A$3000=$A193)*(Performance_Metrics!$D$2:$D$3000=$D193)),Performance_Metrics!$C$2:$C$3000),"")</x:f>
        <x:v>46230</x:v>
      </x:c>
      <x:c r="H193" s="12" t="n">
        <x:f>IFERROR(LOOKUP(2,1/((Performance_Metrics!$A$2:$A$3000=$A193)*(Performance_Metrics!$D$2:$D$3000=$D193)),Performance_Metrics!$G$2:$G$3000),"")</x:f>
        <x:v>248.5</x:v>
      </x:c>
      <x:c r="I193" s="12" t="n">
        <x:f>IFERROR(SUMIFS(Normative_Data!$G$2:$G$1000,Normative_Data!$A$2:$A$1000,$B193,Normative_Data!$B$2:$B$1000,$C193,Normative_Data!$E$2:$E$1000,$D193),"")</x:f>
        <x:v>236.5</x:v>
      </x:c>
      <x:c r="J193" s="18" t="n">
        <x:f>IF(OR($H193="",$I193=""),"",($H193-$I193)/$I193)</x:f>
        <x:v>0.0507399577167019</x:v>
      </x:c>
      <x:c r="K193" s="12" t="str">
        <x:f>IF(OR($H193="",$I193="",$F193=""),"",IF(ABS($J193)&lt;=0.05,"Equal to Norm",IF($F193="lower",IF($H193&lt;$I193,"Above Norm","Below Norm"),IF($H193&gt;$I193,"Above Norm","Below Norm"))))</x:f>
        <x:v>Above Norm</x:v>
      </x:c>
      <x:c r="L193" s="12" t="str">
        <x:f>IFERROR(VLOOKUP($D193&amp;"|"&amp;$K193,Recommendation_Lookup!$A$2:$H$19,2,FALSE),"")</x:f>
        <x:v>Maintain total force-time output</x:v>
      </x:c>
      <x:c r="M193" s="12" t="str">
        <x:f>IFERROR(VLOOKUP($D193&amp;"|"&amp;$K193,Recommendation_Lookup!$A$2:$H$19,3,FALSE),"")</x:f>
        <x:v>Rate of force development; movement time; power transfer; fatigue resistance</x:v>
      </x:c>
      <x:c r="N193" s="12" t="str">
        <x:f>IFERROR(VLOOKUP($D193&amp;"|"&amp;$K193,Recommendation_Lookup!$A$2:$H$19,4,FALSE),"")</x:f>
        <x:v>Maintain impulse with strength-power microdosing and varied jump or sprint exposures. Ensure high impulse is achieved efficiently rather than through excessive movement time.</x:v>
      </x:c>
      <x:c r="O193" s="12" t="str">
        <x:f>IFERROR(VLOOKUP($D193&amp;"|"&amp;$K193,Recommendation_Lookup!$A$2:$H$19,5,FALSE),"")</x:f>
        <x:v>RVX Advanced Power Development</x:v>
      </x:c>
      <x:c r="P193" s="12" t="str">
        <x:f>IFERROR(VLOOKUP($D193&amp;"|"&amp;$K193,Recommendation_Lookup!$A$2:$H$19,6,FALSE),"")</x:f>
        <x:v>RVX Elastic Power Microdose</x:v>
      </x:c>
      <x:c r="Q193" s="12" t="str">
        <x:f>IFERROR(VLOOKUP($D193&amp;"|"&amp;$K193,Recommendation_Lookup!$A$2:$H$19,7,FALSE),"")</x:f>
        <x:v>Build force quickly and keep applying it through the full movement.</x:v>
      </x:c>
      <x:c r="R193" s="12" t="str">
        <x:f>IFERROR(VLOOKUP($D193&amp;"|"&amp;$K193,Recommendation_Lookup!$A$2:$H$19,8,FALSE),"")</x:f>
        <x:v>Retest every 6–8 weeks while reviewing contraction time and jump outcome.</x:v>
      </x:c>
      <x:c r="S193" s="12"/>
      <x:c r="T193" s="12"/>
      <x:c r="U193" s="12"/>
      <x:c r="V193" s="12"/>
      <x:c r="W193" s="12" t="str">
        <x:f>IF($S193&lt;&gt;"",$S193,$K193)</x:f>
        <x:v>Above Norm</x:v>
      </x:c>
      <x:c r="X193" s="12" t="str">
        <x:f>IF($T193&lt;&gt;"",$T193,$L193)</x:f>
        <x:v>Maintain total force-time output</x:v>
      </x:c>
      <x:c r="Y193" s="12" t="str">
        <x:f>IF($U193&lt;&gt;"",$U193,$N193)</x:f>
        <x:v>Maintain impulse with strength-power microdosing and varied jump or sprint exposures. Ensure high impulse is achieved efficiently rather than through excessive movement time.</x:v>
      </x:c>
      <x:c r="Z193" s="12" t="str">
        <x:f>IF($V193&lt;&gt;"",$V193,$O193)</x:f>
        <x:v>RVX Advanced Power Development</x:v>
      </x:c>
      <x:c r="AA193" s="12"/>
    </x:row>
    <x:row r="194">
      <x:c r="A194" s="12" t="str">
        <x:v>RVX-00033</x:v>
      </x:c>
      <x:c r="B194" s="12" t="str">
        <x:f>IFERROR(VLOOKUP($A194,Athlete_Profile!$A$2:$L$51,6,FALSE),"")</x:f>
        <x:v>Hockey</x:v>
      </x:c>
      <x:c r="C194" s="12" t="str">
        <x:f>IFERROR(VLOOKUP($A194,Athlete_Profile!$A$2:$L$51,5,FALSE),"")</x:f>
        <x:v>Female</x:v>
      </x:c>
      <x:c r="D194" s="12" t="str">
        <x:v>sprint_5m</x:v>
      </x:c>
      <x:c r="E194" s="12" t="str">
        <x:f>IFERROR(VLOOKUP($D194,Dropdown_Lists!$K$2:$N$7,2,FALSE),"")</x:f>
        <x:v>5m Sprint</x:v>
      </x:c>
      <x:c r="F194" s="12" t="str">
        <x:f>IFERROR(VLOOKUP($D194,Dropdown_Lists!$K$2:$N$7,3,FALSE),"")</x:f>
        <x:v>lower</x:v>
      </x:c>
      <x:c r="G194" s="17" t="n">
        <x:f>IFERROR(LOOKUP(2,1/((Performance_Metrics!$A$2:$A$3000=$A194)*(Performance_Metrics!$D$2:$D$3000=$D194)),Performance_Metrics!$C$2:$C$3000),"")</x:f>
        <x:v>46230</x:v>
      </x:c>
      <x:c r="H194" s="12" t="n">
        <x:f>IFERROR(LOOKUP(2,1/((Performance_Metrics!$A$2:$A$3000=$A194)*(Performance_Metrics!$D$2:$D$3000=$D194)),Performance_Metrics!$G$2:$G$3000),"")</x:f>
        <x:v>1.16</x:v>
      </x:c>
      <x:c r="I194" s="12" t="n">
        <x:f>IFERROR(SUMIFS(Normative_Data!$G$2:$G$1000,Normative_Data!$A$2:$A$1000,$B194,Normative_Data!$B$2:$B$1000,$C194,Normative_Data!$E$2:$E$1000,$D194),"")</x:f>
        <x:v>1.12</x:v>
      </x:c>
      <x:c r="J194" s="18" t="n">
        <x:f>IF(OR($H194="",$I194=""),"",($H194-$I194)/$I194)</x:f>
        <x:v>0.035714285714285546</x:v>
      </x:c>
      <x:c r="K194" s="12" t="str">
        <x:f>IF(OR($H194="",$I194="",$F194=""),"",IF(ABS($J194)&lt;=0.05,"Equal to Norm",IF($F194="lower",IF($H194&lt;$I194,"Above Norm","Below Norm"),IF($H194&gt;$I194,"Above Norm","Below Norm"))))</x:f>
        <x:v>Equal to Norm</x:v>
      </x:c>
      <x:c r="L194" s="12" t="str">
        <x:f>IFERROR(VLOOKUP($D194&amp;"|"&amp;$K194,Recommendation_Lookup!$A$2:$H$19,2,FALSE),"")</x:f>
        <x:v>Improve acceleration efficiency</x:v>
      </x:c>
      <x:c r="M194" s="12" t="str">
        <x:f>IFERROR(VLOOKUP($D194&amp;"|"&amp;$K194,Recommendation_Lookup!$A$2:$H$19,3,FALSE),"")</x:f>
        <x:v>Starting posture; shin angle; first-step direction; arm action</x:v>
      </x:c>
      <x:c r="N194" s="12" t="str">
        <x:f>IFERROR(VLOOKUP($D194&amp;"|"&amp;$K194,Recommendation_Lookup!$A$2:$H$19,4,FALSE),"")</x:f>
        <x:v>Use a focused acceleration-development block emphasizing starting position, projection and force application. Keep repetitions short with full recovery.</x:v>
      </x:c>
      <x:c r="O194" s="12" t="str">
        <x:f>IFERROR(VLOOKUP($D194&amp;"|"&amp;$K194,Recommendation_Lookup!$A$2:$H$19,5,FALSE),"")</x:f>
        <x:v>RVX Acceleration Foundations</x:v>
      </x:c>
      <x:c r="P194" s="12" t="str">
        <x:f>IFERROR(VLOOKUP($D194&amp;"|"&amp;$K194,Recommendation_Lookup!$A$2:$H$19,6,FALSE),"")</x:f>
        <x:v>RVX Sprint Mechanics</x:v>
      </x:c>
      <x:c r="Q194" s="12" t="str">
        <x:f>IFERROR(VLOOKUP($D194&amp;"|"&amp;$K194,Recommendation_Lookup!$A$2:$H$19,7,FALSE),"")</x:f>
        <x:v>Push out, not up. Keep the first steps powerful and connected.</x:v>
      </x:c>
      <x:c r="R194" s="12" t="str">
        <x:f>IFERROR(VLOOKUP($D194&amp;"|"&amp;$K194,Recommendation_Lookup!$A$2:$H$19,8,FALSE),"")</x:f>
        <x:v>Retest after 4–6 weeks of focused acceleration work.</x:v>
      </x:c>
      <x:c r="S194" s="12"/>
      <x:c r="T194" s="12"/>
      <x:c r="U194" s="12"/>
      <x:c r="V194" s="12"/>
      <x:c r="W194" s="12" t="str">
        <x:f>IF($S194&lt;&gt;"",$S194,$K194)</x:f>
        <x:v>Equal to Norm</x:v>
      </x:c>
      <x:c r="X194" s="12" t="str">
        <x:f>IF($T194&lt;&gt;"",$T194,$L194)</x:f>
        <x:v>Improve acceleration efficiency</x:v>
      </x:c>
      <x:c r="Y194" s="12" t="str">
        <x:f>IF($U194&lt;&gt;"",$U194,$N194)</x:f>
        <x:v>Use a focused acceleration-development block emphasizing starting position, projection and force application. Keep repetitions short with full recovery.</x:v>
      </x:c>
      <x:c r="Z194" s="12" t="str">
        <x:f>IF($V194&lt;&gt;"",$V194,$O194)</x:f>
        <x:v>RVX Acceleration Foundations</x:v>
      </x:c>
      <x:c r="AA194" s="12"/>
    </x:row>
    <x:row r="195">
      <x:c r="A195" s="12" t="str">
        <x:v>RVX-00033</x:v>
      </x:c>
      <x:c r="B195" s="12" t="str">
        <x:f>IFERROR(VLOOKUP($A195,Athlete_Profile!$A$2:$L$51,6,FALSE),"")</x:f>
        <x:v>Hockey</x:v>
      </x:c>
      <x:c r="C195" s="12" t="str">
        <x:f>IFERROR(VLOOKUP($A195,Athlete_Profile!$A$2:$L$51,5,FALSE),"")</x:f>
        <x:v>Female</x:v>
      </x:c>
      <x:c r="D195" s="12" t="str">
        <x:v>sprint_10m</x:v>
      </x:c>
      <x:c r="E195" s="12" t="str">
        <x:f>IFERROR(VLOOKUP($D195,Dropdown_Lists!$K$2:$N$7,2,FALSE),"")</x:f>
        <x:v>10m Sprint</x:v>
      </x:c>
      <x:c r="F195" s="12" t="str">
        <x:f>IFERROR(VLOOKUP($D195,Dropdown_Lists!$K$2:$N$7,3,FALSE),"")</x:f>
        <x:v>lower</x:v>
      </x:c>
      <x:c r="G195" s="17" t="n">
        <x:f>IFERROR(LOOKUP(2,1/((Performance_Metrics!$A$2:$A$3000=$A195)*(Performance_Metrics!$D$2:$D$3000=$D195)),Performance_Metrics!$C$2:$C$3000),"")</x:f>
        <x:v>46230</x:v>
      </x:c>
      <x:c r="H195" s="12" t="n">
        <x:f>IFERROR(LOOKUP(2,1/((Performance_Metrics!$A$2:$A$3000=$A195)*(Performance_Metrics!$D$2:$D$3000=$D195)),Performance_Metrics!$G$2:$G$3000),"")</x:f>
        <x:v>1.99</x:v>
      </x:c>
      <x:c r="I195" s="12" t="n">
        <x:f>IFERROR(SUMIFS(Normative_Data!$G$2:$G$1000,Normative_Data!$A$2:$A$1000,$B195,Normative_Data!$B$2:$B$1000,$C195,Normative_Data!$E$2:$E$1000,$D195),"")</x:f>
        <x:v>1.88</x:v>
      </x:c>
      <x:c r="J195" s="18" t="n">
        <x:f>IF(OR($H195="",$I195=""),"",($H195-$I195)/$I195)</x:f>
        <x:v>0.0585106382978724</x:v>
      </x:c>
      <x:c r="K195" s="12" t="str">
        <x:f>IF(OR($H195="",$I195="",$F195=""),"",IF(ABS($J195)&lt;=0.05,"Equal to Norm",IF($F195="lower",IF($H195&lt;$I195,"Above Norm","Below Norm"),IF($H195&gt;$I195,"Above Norm","Below Norm"))))</x:f>
        <x:v>Below Norm</x:v>
      </x:c>
      <x:c r="L195" s="12" t="str">
        <x:f>IFERROR(VLOOKUP($D195&amp;"|"&amp;$K195,Recommendation_Lookup!$A$2:$H$19,2,FALSE),"")</x:f>
        <x:v>Develop 0–10 m speed</x:v>
      </x:c>
      <x:c r="M195" s="12" t="str">
        <x:f>IFERROR(VLOOKUP($D195&amp;"|"&amp;$K195,Recommendation_Lookup!$A$2:$H$19,3,FALSE),"")</x:f>
        <x:v>Relative strength; first-step mechanics; force application; acceleration endurance</x:v>
      </x:c>
      <x:c r="N195" s="12" t="str">
        <x:f>IFERROR(VLOOKUP($D195&amp;"|"&amp;$K195,Recommendation_Lookup!$A$2:$H$19,4,FALSE),"")</x:f>
        <x:v>Use a foundational acceleration block paired with strength development. Limit sprint distances initially and improve the quality of each step before adding volume.</x:v>
      </x:c>
      <x:c r="O195" s="12" t="str">
        <x:f>IFERROR(VLOOKUP($D195&amp;"|"&amp;$K195,Recommendation_Lookup!$A$2:$H$19,5,FALSE),"")</x:f>
        <x:v>RVX Acceleration Foundations</x:v>
      </x:c>
      <x:c r="P195" s="12" t="str">
        <x:f>IFERROR(VLOOKUP($D195&amp;"|"&amp;$K195,Recommendation_Lookup!$A$2:$H$19,6,FALSE),"")</x:f>
        <x:v>RVX Relative Strength Builder</x:v>
      </x:c>
      <x:c r="Q195" s="12" t="str">
        <x:f>IFERROR(VLOOKUP($D195&amp;"|"&amp;$K195,Recommendation_Lookup!$A$2:$H$19,7,FALSE),"")</x:f>
        <x:v>Push longer, maintain posture and create force in the correct direction.</x:v>
      </x:c>
      <x:c r="R195" s="12" t="str">
        <x:f>IFERROR(VLOOKUP($D195&amp;"|"&amp;$K195,Recommendation_Lookup!$A$2:$H$19,8,FALSE),"")</x:f>
        <x:v>Retest in 4 weeks and compare 5 m versus 10 m split changes.</x:v>
      </x:c>
      <x:c r="S195" s="12"/>
      <x:c r="T195" s="12"/>
      <x:c r="U195" s="12"/>
      <x:c r="V195" s="12"/>
      <x:c r="W195" s="12" t="str">
        <x:f>IF($S195&lt;&gt;"",$S195,$K195)</x:f>
        <x:v>Below Norm</x:v>
      </x:c>
      <x:c r="X195" s="12" t="str">
        <x:f>IF($T195&lt;&gt;"",$T195,$L195)</x:f>
        <x:v>Develop 0–10 m speed</x:v>
      </x:c>
      <x:c r="Y195" s="12" t="str">
        <x:f>IF($U195&lt;&gt;"",$U195,$N195)</x:f>
        <x:v>Use a foundational acceleration block paired with strength development. Limit sprint distances initially and improve the quality of each step before adding volume.</x:v>
      </x:c>
      <x:c r="Z195" s="12" t="str">
        <x:f>IF($V195&lt;&gt;"",$V195,$O195)</x:f>
        <x:v>RVX Acceleration Foundations</x:v>
      </x:c>
      <x:c r="AA195" s="12"/>
    </x:row>
    <x:row r="196">
      <x:c r="A196" s="12" t="str">
        <x:v>RVX-00033</x:v>
      </x:c>
      <x:c r="B196" s="12" t="str">
        <x:f>IFERROR(VLOOKUP($A196,Athlete_Profile!$A$2:$L$51,6,FALSE),"")</x:f>
        <x:v>Hockey</x:v>
      </x:c>
      <x:c r="C196" s="12" t="str">
        <x:f>IFERROR(VLOOKUP($A196,Athlete_Profile!$A$2:$L$51,5,FALSE),"")</x:f>
        <x:v>Female</x:v>
      </x:c>
      <x:c r="D196" s="12" t="str">
        <x:v>pro_agility</x:v>
      </x:c>
      <x:c r="E196" s="12" t="str">
        <x:f>IFERROR(VLOOKUP($D196,Dropdown_Lists!$K$2:$N$7,2,FALSE),"")</x:f>
        <x:v>5-10-5 Pro Agility</x:v>
      </x:c>
      <x:c r="F196" s="12" t="str">
        <x:f>IFERROR(VLOOKUP($D196,Dropdown_Lists!$K$2:$N$7,3,FALSE),"")</x:f>
        <x:v>lower</x:v>
      </x:c>
      <x:c r="G196" s="17" t="n">
        <x:f>IFERROR(LOOKUP(2,1/((Performance_Metrics!$A$2:$A$3000=$A196)*(Performance_Metrics!$D$2:$D$3000=$D196)),Performance_Metrics!$C$2:$C$3000),"")</x:f>
        <x:v>46230</x:v>
      </x:c>
      <x:c r="H196" s="12" t="n">
        <x:f>IFERROR(LOOKUP(2,1/((Performance_Metrics!$A$2:$A$3000=$A196)*(Performance_Metrics!$D$2:$D$3000=$D196)),Performance_Metrics!$G$2:$G$3000),"")</x:f>
        <x:v>4.97</x:v>
      </x:c>
      <x:c r="I196" s="12" t="n">
        <x:f>IFERROR(SUMIFS(Normative_Data!$G$2:$G$1000,Normative_Data!$A$2:$A$1000,$B196,Normative_Data!$B$2:$B$1000,$C196,Normative_Data!$E$2:$E$1000,$D196),"")</x:f>
        <x:v>4.82</x:v>
      </x:c>
      <x:c r="J196" s="18" t="n">
        <x:f>IF(OR($H196="",$I196=""),"",($H196-$I196)/$I196)</x:f>
        <x:v>0.031120331950207355</x:v>
      </x:c>
      <x:c r="K196" s="12" t="str">
        <x:f>IF(OR($H196="",$I196="",$F196=""),"",IF(ABS($J196)&lt;=0.05,"Equal to Norm",IF($F196="lower",IF($H196&lt;$I196,"Above Norm","Below Norm"),IF($H196&gt;$I196,"Above Norm","Below Norm"))))</x:f>
        <x:v>Equal to Norm</x:v>
      </x:c>
      <x:c r="L196" s="12" t="str">
        <x:f>IFERROR(VLOOKUP($D196&amp;"|"&amp;$K196,Recommendation_Lookup!$A$2:$H$19,2,FALSE),"")</x:f>
        <x:v>Improve braking and re-acceleration</x:v>
      </x:c>
      <x:c r="M196" s="12" t="str">
        <x:f>IFERROR(VLOOKUP($D196&amp;"|"&amp;$K196,Recommendation_Lookup!$A$2:$H$19,3,FALSE),"")</x:f>
        <x:v>Deceleration mechanics; foot placement; hip position; crossover efficiency</x:v>
      </x:c>
      <x:c r="N196" s="12" t="str">
        <x:f>IFERROR(VLOOKUP($D196&amp;"|"&amp;$K196,Recommendation_Lookup!$A$2:$H$19,4,FALSE),"")</x:f>
        <x:v>Use a structured change-of-direction block emphasizing braking positions, plant-foot control and efficient re-acceleration on both sides.</x:v>
      </x:c>
      <x:c r="O196" s="12" t="str">
        <x:f>IFERROR(VLOOKUP($D196&amp;"|"&amp;$K196,Recommendation_Lookup!$A$2:$H$19,5,FALSE),"")</x:f>
        <x:v>RVX Change of Direction Development</x:v>
      </x:c>
      <x:c r="P196" s="12" t="str">
        <x:f>IFERROR(VLOOKUP($D196&amp;"|"&amp;$K196,Recommendation_Lookup!$A$2:$H$19,6,FALSE),"")</x:f>
        <x:v>RVX Deceleration Mechanics</x:v>
      </x:c>
      <x:c r="Q196" s="12" t="str">
        <x:f>IFERROR(VLOOKUP($D196&amp;"|"&amp;$K196,Recommendation_Lookup!$A$2:$H$19,7,FALSE),"")</x:f>
        <x:v>Lower the centre of mass before the turn and push away from the plant.</x:v>
      </x:c>
      <x:c r="R196" s="12" t="str">
        <x:f>IFERROR(VLOOKUP($D196&amp;"|"&amp;$K196,Recommendation_Lookup!$A$2:$H$19,8,FALSE),"")</x:f>
        <x:v>Retest after 4–6 weeks and review directional splits if available.</x:v>
      </x:c>
      <x:c r="S196" s="12"/>
      <x:c r="T196" s="12"/>
      <x:c r="U196" s="12"/>
      <x:c r="V196" s="12"/>
      <x:c r="W196" s="12" t="str">
        <x:f>IF($S196&lt;&gt;"",$S196,$K196)</x:f>
        <x:v>Equal to Norm</x:v>
      </x:c>
      <x:c r="X196" s="12" t="str">
        <x:f>IF($T196&lt;&gt;"",$T196,$L196)</x:f>
        <x:v>Improve braking and re-acceleration</x:v>
      </x:c>
      <x:c r="Y196" s="12" t="str">
        <x:f>IF($U196&lt;&gt;"",$U196,$N196)</x:f>
        <x:v>Use a structured change-of-direction block emphasizing braking positions, plant-foot control and efficient re-acceleration on both sides.</x:v>
      </x:c>
      <x:c r="Z196" s="12" t="str">
        <x:f>IF($V196&lt;&gt;"",$V196,$O196)</x:f>
        <x:v>RVX Change of Direction Development</x:v>
      </x:c>
      <x:c r="AA196" s="12"/>
    </x:row>
    <x:row r="197">
      <x:c r="A197" s="12" t="str">
        <x:v>RVX-00033</x:v>
      </x:c>
      <x:c r="B197" s="12" t="str">
        <x:f>IFERROR(VLOOKUP($A197,Athlete_Profile!$A$2:$L$51,6,FALSE),"")</x:f>
        <x:v>Hockey</x:v>
      </x:c>
      <x:c r="C197" s="12" t="str">
        <x:f>IFERROR(VLOOKUP($A197,Athlete_Profile!$A$2:$L$51,5,FALSE),"")</x:f>
        <x:v>Female</x:v>
      </x:c>
      <x:c r="D197" s="12" t="str">
        <x:v>cmj_depth</x:v>
      </x:c>
      <x:c r="E197" s="12" t="str">
        <x:f>IFERROR(VLOOKUP($D197,Dropdown_Lists!$K$2:$N$7,2,FALSE),"")</x:f>
        <x:v>Countermovement Depth</x:v>
      </x:c>
      <x:c r="F197" s="12" t="str">
        <x:f>IFERROR(VLOOKUP($D197,Dropdown_Lists!$K$2:$N$7,3,FALSE),"")</x:f>
        <x:v>higher</x:v>
      </x:c>
      <x:c r="G197" s="17" t="n">
        <x:f>IFERROR(LOOKUP(2,1/((Performance_Metrics!$A$2:$A$3000=$A197)*(Performance_Metrics!$D$2:$D$3000=$D197)),Performance_Metrics!$C$2:$C$3000),"")</x:f>
        <x:v>46230</x:v>
      </x:c>
      <x:c r="H197" s="12" t="n">
        <x:f>IFERROR(LOOKUP(2,1/((Performance_Metrics!$A$2:$A$3000=$A197)*(Performance_Metrics!$D$2:$D$3000=$D197)),Performance_Metrics!$G$2:$G$3000),"")</x:f>
        <x:v>28.6</x:v>
      </x:c>
      <x:c r="I197" s="12" t="n">
        <x:f>IFERROR(SUMIFS(Normative_Data!$G$2:$G$1000,Normative_Data!$A$2:$A$1000,$B197,Normative_Data!$B$2:$B$1000,$C197,Normative_Data!$E$2:$E$1000,$D197),"")</x:f>
        <x:v>30</x:v>
      </x:c>
      <x:c r="J197" s="18" t="n">
        <x:f>IF(OR($H197="",$I197=""),"",($H197-$I197)/$I197)</x:f>
        <x:v>-0.04666666666666662</x:v>
      </x:c>
      <x:c r="K197" s="12" t="str">
        <x:f>IF(OR($H197="",$I197="",$F197=""),"",IF(ABS($J197)&lt;=0.05,"Equal to Norm",IF($F197="lower",IF($H197&lt;$I197,"Above Norm","Below Norm"),IF($H197&gt;$I197,"Above Norm","Below Norm"))))</x:f>
        <x:v>Equal to Norm</x:v>
      </x:c>
      <x:c r="L197" s="12" t="str">
        <x:f>IFERROR(VLOOKUP($D197&amp;"|"&amp;$K197,Recommendation_Lookup!$A$2:$H$19,2,FALSE),"")</x:f>
        <x:v>Optimize countermovement strategy</x:v>
      </x:c>
      <x:c r="M197" s="12" t="str">
        <x:f>IFERROR(VLOOKUP($D197&amp;"|"&amp;$K197,Recommendation_Lookup!$A$2:$H$19,3,FALSE),"")</x:f>
        <x:v>Eccentric control; trunk position; reversal timing; mobility</x:v>
      </x:c>
      <x:c r="N197" s="12" t="str">
        <x:f>IFERROR(VLOOKUP($D197&amp;"|"&amp;$K197,Recommendation_Lookup!$A$2:$H$19,4,FALSE),"")</x:f>
        <x:v>Use controlled countermovement drills and landing-to-jump progressions. Determine whether additional or reduced depth improves the athlete’s overall jump output.</x:v>
      </x:c>
      <x:c r="O197" s="12" t="str">
        <x:f>IFERROR(VLOOKUP($D197&amp;"|"&amp;$K197,Recommendation_Lookup!$A$2:$H$19,5,FALSE),"")</x:f>
        <x:v>RVX Jump Mechanics</x:v>
      </x:c>
      <x:c r="P197" s="12" t="str">
        <x:f>IFERROR(VLOOKUP($D197&amp;"|"&amp;$K197,Recommendation_Lookup!$A$2:$H$19,6,FALSE),"")</x:f>
        <x:v>RVX Eccentric Control</x:v>
      </x:c>
      <x:c r="Q197" s="12" t="str">
        <x:f>IFERROR(VLOOKUP($D197&amp;"|"&amp;$K197,Recommendation_Lookup!$A$2:$H$19,7,FALSE),"")</x:f>
        <x:v>Sit into the movement under control and reverse without losing posture.</x:v>
      </x:c>
      <x:c r="R197" s="12" t="str">
        <x:f>IFERROR(VLOOKUP($D197&amp;"|"&amp;$K197,Recommendation_Lookup!$A$2:$H$19,8,FALSE),"")</x:f>
        <x:v>Retest after 4–6 weeks with jump height and impulse reviewed together.</x:v>
      </x:c>
      <x:c r="S197" s="12"/>
      <x:c r="T197" s="12"/>
      <x:c r="U197" s="12"/>
      <x:c r="V197" s="12"/>
      <x:c r="W197" s="12" t="str">
        <x:f>IF($S197&lt;&gt;"",$S197,$K197)</x:f>
        <x:v>Equal to Norm</x:v>
      </x:c>
      <x:c r="X197" s="12" t="str">
        <x:f>IF($T197&lt;&gt;"",$T197,$L197)</x:f>
        <x:v>Optimize countermovement strategy</x:v>
      </x:c>
      <x:c r="Y197" s="12" t="str">
        <x:f>IF($U197&lt;&gt;"",$U197,$N197)</x:f>
        <x:v>Use controlled countermovement drills and landing-to-jump progressions. Determine whether additional or reduced depth improves the athlete’s overall jump output.</x:v>
      </x:c>
      <x:c r="Z197" s="12" t="str">
        <x:f>IF($V197&lt;&gt;"",$V197,$O197)</x:f>
        <x:v>RVX Jump Mechanics</x:v>
      </x:c>
      <x:c r="AA197" s="12"/>
    </x:row>
    <x:row r="198">
      <x:c r="A198" s="12" t="str">
        <x:v>RVX-00033</x:v>
      </x:c>
      <x:c r="B198" s="12" t="str">
        <x:f>IFERROR(VLOOKUP($A198,Athlete_Profile!$A$2:$L$51,6,FALSE),"")</x:f>
        <x:v>Hockey</x:v>
      </x:c>
      <x:c r="C198" s="12" t="str">
        <x:f>IFERROR(VLOOKUP($A198,Athlete_Profile!$A$2:$L$51,5,FALSE),"")</x:f>
        <x:v>Female</x:v>
      </x:c>
      <x:c r="D198" s="12" t="str">
        <x:v>peak_force</x:v>
      </x:c>
      <x:c r="E198" s="12" t="str">
        <x:f>IFERROR(VLOOKUP($D198,Dropdown_Lists!$K$2:$N$7,2,FALSE),"")</x:f>
        <x:v>Peak Force</x:v>
      </x:c>
      <x:c r="F198" s="12" t="str">
        <x:f>IFERROR(VLOOKUP($D198,Dropdown_Lists!$K$2:$N$7,3,FALSE),"")</x:f>
        <x:v>higher</x:v>
      </x:c>
      <x:c r="G198" s="17" t="n">
        <x:f>IFERROR(LOOKUP(2,1/((Performance_Metrics!$A$2:$A$3000=$A198)*(Performance_Metrics!$D$2:$D$3000=$D198)),Performance_Metrics!$C$2:$C$3000),"")</x:f>
        <x:v>46230</x:v>
      </x:c>
      <x:c r="H198" s="12" t="n">
        <x:f>IFERROR(LOOKUP(2,1/((Performance_Metrics!$A$2:$A$3000=$A198)*(Performance_Metrics!$D$2:$D$3000=$D198)),Performance_Metrics!$G$2:$G$3000),"")</x:f>
        <x:v>1667</x:v>
      </x:c>
      <x:c r="I198" s="12" t="n">
        <x:f>IFERROR(SUMIFS(Normative_Data!$G$2:$G$1000,Normative_Data!$A$2:$A$1000,$B198,Normative_Data!$B$2:$B$1000,$C198,Normative_Data!$E$2:$E$1000,$D198),"")</x:f>
        <x:v>1750</x:v>
      </x:c>
      <x:c r="J198" s="18" t="n">
        <x:f>IF(OR($H198="",$I198=""),"",($H198-$I198)/$I198)</x:f>
        <x:v>-0.04742857142857143</x:v>
      </x:c>
      <x:c r="K198" s="12" t="str">
        <x:f>IF(OR($H198="",$I198="",$F198=""),"",IF(ABS($J198)&lt;=0.05,"Equal to Norm",IF($F198="lower",IF($H198&lt;$I198,"Above Norm","Below Norm"),IF($H198&gt;$I198,"Above Norm","Below Norm"))))</x:f>
        <x:v>Equal to Norm</x:v>
      </x:c>
      <x:c r="L198" s="12" t="str">
        <x:f>IFERROR(VLOOKUP($D198&amp;"|"&amp;$K198,Recommendation_Lookup!$A$2:$H$19,2,FALSE),"")</x:f>
        <x:v>Increase force capacity</x:v>
      </x:c>
      <x:c r="M198" s="12" t="str">
        <x:f>IFERROR(VLOOKUP($D198&amp;"|"&amp;$K198,Recommendation_Lookup!$A$2:$H$19,3,FALSE),"")</x:f>
        <x:v>Relative strength; bracing; lower-body strength; isometric force</x:v>
      </x:c>
      <x:c r="N198" s="12" t="str">
        <x:f>IFERROR(VLOOKUP($D198&amp;"|"&amp;$K198,Recommendation_Lookup!$A$2:$H$19,4,FALSE),"")</x:f>
        <x:v>Use progressive lower-body strength training with compound lifts, isometrics and unilateral work. Maintain technical quality and appropriate loading progression.</x:v>
      </x:c>
      <x:c r="O198" s="12" t="str">
        <x:f>IFERROR(VLOOKUP($D198&amp;"|"&amp;$K198,Recommendation_Lookup!$A$2:$H$19,5,FALSE),"")</x:f>
        <x:v>RVX Strength Development</x:v>
      </x:c>
      <x:c r="P198" s="12" t="str">
        <x:f>IFERROR(VLOOKUP($D198&amp;"|"&amp;$K198,Recommendation_Lookup!$A$2:$H$19,6,FALSE),"")</x:f>
        <x:v>RVX Isometric Force Builder</x:v>
      </x:c>
      <x:c r="Q198" s="12" t="str">
        <x:f>IFERROR(VLOOKUP($D198&amp;"|"&amp;$K198,Recommendation_Lookup!$A$2:$H$19,7,FALSE),"")</x:f>
        <x:v>Create full-body tension and push through the floor with intent.</x:v>
      </x:c>
      <x:c r="R198" s="12" t="str">
        <x:f>IFERROR(VLOOKUP($D198&amp;"|"&amp;$K198,Recommendation_Lookup!$A$2:$H$19,8,FALSE),"")</x:f>
        <x:v>Retest after 4–6 weeks.</x:v>
      </x:c>
      <x:c r="S198" s="12"/>
      <x:c r="T198" s="12"/>
      <x:c r="U198" s="12"/>
      <x:c r="V198" s="12"/>
      <x:c r="W198" s="12" t="str">
        <x:f>IF($S198&lt;&gt;"",$S198,$K198)</x:f>
        <x:v>Equal to Norm</x:v>
      </x:c>
      <x:c r="X198" s="12" t="str">
        <x:f>IF($T198&lt;&gt;"",$T198,$L198)</x:f>
        <x:v>Increase force capacity</x:v>
      </x:c>
      <x:c r="Y198" s="12" t="str">
        <x:f>IF($U198&lt;&gt;"",$U198,$N198)</x:f>
        <x:v>Use progressive lower-body strength training with compound lifts, isometrics and unilateral work. Maintain technical quality and appropriate loading progression.</x:v>
      </x:c>
      <x:c r="Z198" s="12" t="str">
        <x:f>IF($V198&lt;&gt;"",$V198,$O198)</x:f>
        <x:v>RVX Strength Development</x:v>
      </x:c>
      <x:c r="AA198" s="12"/>
    </x:row>
    <x:row r="199">
      <x:c r="A199" s="12" t="str">
        <x:v>RVX-00033</x:v>
      </x:c>
      <x:c r="B199" s="12" t="str">
        <x:f>IFERROR(VLOOKUP($A199,Athlete_Profile!$A$2:$L$51,6,FALSE),"")</x:f>
        <x:v>Hockey</x:v>
      </x:c>
      <x:c r="C199" s="12" t="str">
        <x:f>IFERROR(VLOOKUP($A199,Athlete_Profile!$A$2:$L$51,5,FALSE),"")</x:f>
        <x:v>Female</x:v>
      </x:c>
      <x:c r="D199" s="12" t="str">
        <x:v>impulse</x:v>
      </x:c>
      <x:c r="E199" s="12" t="str">
        <x:f>IFERROR(VLOOKUP($D199,Dropdown_Lists!$K$2:$N$7,2,FALSE),"")</x:f>
        <x:v>Impulse-Momentum</x:v>
      </x:c>
      <x:c r="F199" s="12" t="str">
        <x:f>IFERROR(VLOOKUP($D199,Dropdown_Lists!$K$2:$N$7,3,FALSE),"")</x:f>
        <x:v>higher</x:v>
      </x:c>
      <x:c r="G199" s="17" t="n">
        <x:f>IFERROR(LOOKUP(2,1/((Performance_Metrics!$A$2:$A$3000=$A199)*(Performance_Metrics!$D$2:$D$3000=$D199)),Performance_Metrics!$C$2:$C$3000),"")</x:f>
        <x:v>46230</x:v>
      </x:c>
      <x:c r="H199" s="12" t="n">
        <x:f>IFERROR(LOOKUP(2,1/((Performance_Metrics!$A$2:$A$3000=$A199)*(Performance_Metrics!$D$2:$D$3000=$D199)),Performance_Metrics!$G$2:$G$3000),"")</x:f>
        <x:v>201.6</x:v>
      </x:c>
      <x:c r="I199" s="12" t="n">
        <x:f>IFERROR(SUMIFS(Normative_Data!$G$2:$G$1000,Normative_Data!$A$2:$A$1000,$B199,Normative_Data!$B$2:$B$1000,$C199,Normative_Data!$E$2:$E$1000,$D199),"")</x:f>
        <x:v>215</x:v>
      </x:c>
      <x:c r="J199" s="18" t="n">
        <x:f>IF(OR($H199="",$I199=""),"",($H199-$I199)/$I199)</x:f>
        <x:v>-0.06232558139534886</x:v>
      </x:c>
      <x:c r="K199" s="12" t="str">
        <x:f>IF(OR($H199="",$I199="",$F199=""),"",IF(ABS($J199)&lt;=0.05,"Equal to Norm",IF($F199="lower",IF($H199&lt;$I199,"Above Norm","Below Norm"),IF($H199&gt;$I199,"Above Norm","Below Norm"))))</x:f>
        <x:v>Below Norm</x:v>
      </x:c>
      <x:c r="L199" s="12" t="str">
        <x:f>IFERROR(VLOOKUP($D199&amp;"|"&amp;$K199,Recommendation_Lookup!$A$2:$H$19,2,FALSE),"")</x:f>
        <x:v>Develop force-time capacity</x:v>
      </x:c>
      <x:c r="M199" s="12" t="str">
        <x:f>IFERROR(VLOOKUP($D199&amp;"|"&amp;$K199,Recommendation_Lookup!$A$2:$H$19,3,FALSE),"")</x:f>
        <x:v>Maximal strength; eccentric control; concentric force; movement coordination</x:v>
      </x:c>
      <x:c r="N199" s="12" t="str">
        <x:f>IFERROR(VLOOKUP($D199&amp;"|"&amp;$K199,Recommendation_Lookup!$A$2:$H$19,4,FALSE),"")</x:f>
        <x:v>Build foundational force production before progressing to advanced plyometrics. Pair strength work with controlled jumps and explosive intent at appropriate loads.</x:v>
      </x:c>
      <x:c r="O199" s="12" t="str">
        <x:f>IFERROR(VLOOKUP($D199&amp;"|"&amp;$K199,Recommendation_Lookup!$A$2:$H$19,5,FALSE),"")</x:f>
        <x:v>RVX Power Foundations</x:v>
      </x:c>
      <x:c r="P199" s="12" t="str">
        <x:f>IFERROR(VLOOKUP($D199&amp;"|"&amp;$K199,Recommendation_Lookup!$A$2:$H$19,6,FALSE),"")</x:f>
        <x:v>RVX Strength Foundations</x:v>
      </x:c>
      <x:c r="Q199" s="12" t="str">
        <x:f>IFERROR(VLOOKUP($D199&amp;"|"&amp;$K199,Recommendation_Lookup!$A$2:$H$19,7,FALSE),"")</x:f>
        <x:v>Control the loading phase, then drive through the entire push with intent.</x:v>
      </x:c>
      <x:c r="R199" s="12" t="str">
        <x:f>IFERROR(VLOOKUP($D199&amp;"|"&amp;$K199,Recommendation_Lookup!$A$2:$H$19,8,FALSE),"")</x:f>
        <x:v>Retest after 4 weeks and review peak force, depth and movement time together.</x:v>
      </x:c>
      <x:c r="S199" s="12"/>
      <x:c r="T199" s="12"/>
      <x:c r="U199" s="12"/>
      <x:c r="V199" s="12"/>
      <x:c r="W199" s="12" t="str">
        <x:f>IF($S199&lt;&gt;"",$S199,$K199)</x:f>
        <x:v>Below Norm</x:v>
      </x:c>
      <x:c r="X199" s="12" t="str">
        <x:f>IF($T199&lt;&gt;"",$T199,$L199)</x:f>
        <x:v>Develop force-time capacity</x:v>
      </x:c>
      <x:c r="Y199" s="12" t="str">
        <x:f>IF($U199&lt;&gt;"",$U199,$N199)</x:f>
        <x:v>Build foundational force production before progressing to advanced plyometrics. Pair strength work with controlled jumps and explosive intent at appropriate loads.</x:v>
      </x:c>
      <x:c r="Z199" s="12" t="str">
        <x:f>IF($V199&lt;&gt;"",$V199,$O199)</x:f>
        <x:v>RVX Power Foundations</x:v>
      </x:c>
      <x:c r="AA199" s="12"/>
    </x:row>
    <x:row r="200">
      <x:c r="A200" s="12" t="str">
        <x:v>RVX-00034</x:v>
      </x:c>
      <x:c r="B200" s="12" t="str">
        <x:f>IFERROR(VLOOKUP($A200,Athlete_Profile!$A$2:$L$51,6,FALSE),"")</x:f>
        <x:v>Hockey</x:v>
      </x:c>
      <x:c r="C200" s="12" t="str">
        <x:f>IFERROR(VLOOKUP($A200,Athlete_Profile!$A$2:$L$51,5,FALSE),"")</x:f>
        <x:v>Male</x:v>
      </x:c>
      <x:c r="D200" s="12" t="str">
        <x:v>sprint_5m</x:v>
      </x:c>
      <x:c r="E200" s="12" t="str">
        <x:f>IFERROR(VLOOKUP($D200,Dropdown_Lists!$K$2:$N$7,2,FALSE),"")</x:f>
        <x:v>5m Sprint</x:v>
      </x:c>
      <x:c r="F200" s="12" t="str">
        <x:f>IFERROR(VLOOKUP($D200,Dropdown_Lists!$K$2:$N$7,3,FALSE),"")</x:f>
        <x:v>lower</x:v>
      </x:c>
      <x:c r="G200" s="17" t="n">
        <x:f>IFERROR(LOOKUP(2,1/((Performance_Metrics!$A$2:$A$3000=$A200)*(Performance_Metrics!$D$2:$D$3000=$D200)),Performance_Metrics!$C$2:$C$3000),"")</x:f>
        <x:v>46230</x:v>
      </x:c>
      <x:c r="H200" s="12" t="n">
        <x:f>IFERROR(LOOKUP(2,1/((Performance_Metrics!$A$2:$A$3000=$A200)*(Performance_Metrics!$D$2:$D$3000=$D200)),Performance_Metrics!$G$2:$G$3000),"")</x:f>
        <x:v>0.9</x:v>
      </x:c>
      <x:c r="I200" s="12" t="n">
        <x:f>IFERROR(SUMIFS(Normative_Data!$G$2:$G$1000,Normative_Data!$A$2:$A$1000,$B200,Normative_Data!$B$2:$B$1000,$C200,Normative_Data!$E$2:$E$1000,$D200),"")</x:f>
        <x:v>1.08</x:v>
      </x:c>
      <x:c r="J200" s="18" t="n">
        <x:f>IF(OR($H200="",$I200=""),"",($H200-$I200)/$I200)</x:f>
        <x:v>-0.1666666666666667</x:v>
      </x:c>
      <x:c r="K200" s="12" t="str">
        <x:f>IF(OR($H200="",$I200="",$F200=""),"",IF(ABS($J200)&lt;=0.05,"Equal to Norm",IF($F200="lower",IF($H200&lt;$I200,"Above Norm","Below Norm"),IF($H200&gt;$I200,"Above Norm","Below Norm"))))</x:f>
        <x:v>Above Norm</x:v>
      </x:c>
      <x:c r="L200" s="12" t="str">
        <x:f>IFERROR(VLOOKUP($D200&amp;"|"&amp;$K200,Recommendation_Lookup!$A$2:$H$19,2,FALSE),"")</x:f>
        <x:v>Maintain first-step explosiveness</x:v>
      </x:c>
      <x:c r="M200" s="12" t="str">
        <x:f>IFERROR(VLOOKUP($D200&amp;"|"&amp;$K200,Recommendation_Lookup!$A$2:$H$19,3,FALSE),"")</x:f>
        <x:v>Start consistency; projection angle; horizontal force; reaction quality</x:v>
      </x:c>
      <x:c r="N200" s="12" t="str">
        <x:f>IFERROR(VLOOKUP($D200&amp;"|"&amp;$K200,Recommendation_Lookup!$A$2:$H$19,4,FALSE),"")</x:f>
        <x:v>Maintain speed with low-volume, high-quality acceleration exposures. Avoid unnecessary volume that could reduce sprint quality. Progress through resisted and reactive starts while preserving mechanics.</x:v>
      </x:c>
      <x:c r="O200" s="12" t="str">
        <x:f>IFERROR(VLOOKUP($D200&amp;"|"&amp;$K200,Recommendation_Lookup!$A$2:$H$19,5,FALSE),"")</x:f>
        <x:v>RVX Advanced Acceleration</x:v>
      </x:c>
      <x:c r="P200" s="12" t="str">
        <x:f>IFERROR(VLOOKUP($D200&amp;"|"&amp;$K200,Recommendation_Lookup!$A$2:$H$19,6,FALSE),"")</x:f>
        <x:v>RVX Explosive Starts Microdose</x:v>
      </x:c>
      <x:c r="Q200" s="12" t="str">
        <x:f>IFERROR(VLOOKUP($D200&amp;"|"&amp;$K200,Recommendation_Lookup!$A$2:$H$19,7,FALSE),"")</x:f>
        <x:v>Project forward, push the ground back, and win the first three steps.</x:v>
      </x:c>
      <x:c r="R200" s="12" t="str">
        <x:f>IFERROR(VLOOKUP($D200&amp;"|"&amp;$K200,Recommendation_Lookup!$A$2:$H$19,8,FALSE),"")</x:f>
        <x:v>Retest every 6–8 weeks or after a dedicated acceleration block.</x:v>
      </x:c>
      <x:c r="S200" s="12"/>
      <x:c r="T200" s="12"/>
      <x:c r="U200" s="12"/>
      <x:c r="V200" s="12"/>
      <x:c r="W200" s="12" t="str">
        <x:f>IF($S200&lt;&gt;"",$S200,$K200)</x:f>
        <x:v>Above Norm</x:v>
      </x:c>
      <x:c r="X200" s="12" t="str">
        <x:f>IF($T200&lt;&gt;"",$T200,$L200)</x:f>
        <x:v>Maintain first-step explosiveness</x:v>
      </x:c>
      <x:c r="Y200" s="12" t="str">
        <x:f>IF($U200&lt;&gt;"",$U200,$N200)</x:f>
        <x:v>Maintain speed with low-volume, high-quality acceleration exposures. Avoid unnecessary volume that could reduce sprint quality. Progress through resisted and reactive starts while preserving mechanics.</x:v>
      </x:c>
      <x:c r="Z200" s="12" t="str">
        <x:f>IF($V200&lt;&gt;"",$V200,$O200)</x:f>
        <x:v>RVX Advanced Acceleration</x:v>
      </x:c>
      <x:c r="AA200" s="12"/>
    </x:row>
    <x:row r="201">
      <x:c r="A201" s="12" t="str">
        <x:v>RVX-00034</x:v>
      </x:c>
      <x:c r="B201" s="12" t="str">
        <x:f>IFERROR(VLOOKUP($A201,Athlete_Profile!$A$2:$L$51,6,FALSE),"")</x:f>
        <x:v>Hockey</x:v>
      </x:c>
      <x:c r="C201" s="12" t="str">
        <x:f>IFERROR(VLOOKUP($A201,Athlete_Profile!$A$2:$L$51,5,FALSE),"")</x:f>
        <x:v>Male</x:v>
      </x:c>
      <x:c r="D201" s="12" t="str">
        <x:v>sprint_10m</x:v>
      </x:c>
      <x:c r="E201" s="12" t="str">
        <x:f>IFERROR(VLOOKUP($D201,Dropdown_Lists!$K$2:$N$7,2,FALSE),"")</x:f>
        <x:v>10m Sprint</x:v>
      </x:c>
      <x:c r="F201" s="12" t="str">
        <x:f>IFERROR(VLOOKUP($D201,Dropdown_Lists!$K$2:$N$7,3,FALSE),"")</x:f>
        <x:v>lower</x:v>
      </x:c>
      <x:c r="G201" s="17" t="n">
        <x:f>IFERROR(LOOKUP(2,1/((Performance_Metrics!$A$2:$A$3000=$A201)*(Performance_Metrics!$D$2:$D$3000=$D201)),Performance_Metrics!$C$2:$C$3000),"")</x:f>
        <x:v>46230</x:v>
      </x:c>
      <x:c r="H201" s="12" t="n">
        <x:f>IFERROR(LOOKUP(2,1/((Performance_Metrics!$A$2:$A$3000=$A201)*(Performance_Metrics!$D$2:$D$3000=$D201)),Performance_Metrics!$G$2:$G$3000),"")</x:f>
        <x:v>1.52</x:v>
      </x:c>
      <x:c r="I201" s="12" t="n">
        <x:f>IFERROR(SUMIFS(Normative_Data!$G$2:$G$1000,Normative_Data!$A$2:$A$1000,$B201,Normative_Data!$B$2:$B$1000,$C201,Normative_Data!$E$2:$E$1000,$D201),"")</x:f>
        <x:v>1.8</x:v>
      </x:c>
      <x:c r="J201" s="18" t="n">
        <x:f>IF(OR($H201="",$I201=""),"",($H201-$I201)/$I201)</x:f>
        <x:v>-0.15555555555555556</x:v>
      </x:c>
      <x:c r="K201" s="12" t="str">
        <x:f>IF(OR($H201="",$I201="",$F201=""),"",IF(ABS($J201)&lt;=0.05,"Equal to Norm",IF($F201="lower",IF($H201&lt;$I201,"Above Norm","Below Norm"),IF($H201&gt;$I201,"Above Norm","Below Norm"))))</x:f>
        <x:v>Above Norm</x:v>
      </x:c>
      <x:c r="L201" s="12" t="str">
        <x:f>IFERROR(VLOOKUP($D201&amp;"|"&amp;$K201,Recommendation_Lookup!$A$2:$H$19,2,FALSE),"")</x:f>
        <x:v>Maintain acceleration through 10 m</x:v>
      </x:c>
      <x:c r="M201" s="12" t="str">
        <x:f>IFERROR(VLOOKUP($D201&amp;"|"&amp;$K201,Recommendation_Lookup!$A$2:$H$19,3,FALSE),"")</x:f>
        <x:v>Transition mechanics; stride rhythm; stiffness; repeatability</x:v>
      </x:c>
      <x:c r="N201" s="12" t="str">
        <x:f>IFERROR(VLOOKUP($D201&amp;"|"&amp;$K201,Recommendation_Lookup!$A$2:$H$19,4,FALSE),"")</x:f>
        <x:v>Maintain one to two weekly high-quality acceleration exposures. Add varied starts and light resistance while monitoring consistency across trials.</x:v>
      </x:c>
      <x:c r="O201" s="12" t="str">
        <x:f>IFERROR(VLOOKUP($D201&amp;"|"&amp;$K201,Recommendation_Lookup!$A$2:$H$19,5,FALSE),"")</x:f>
        <x:v>RVX Advanced Acceleration</x:v>
      </x:c>
      <x:c r="P201" s="12" t="str">
        <x:f>IFERROR(VLOOKUP($D201&amp;"|"&amp;$K201,Recommendation_Lookup!$A$2:$H$19,6,FALSE),"")</x:f>
        <x:v>RVX Speed Maintenance Microdose</x:v>
      </x:c>
      <x:c r="Q201" s="12" t="str">
        <x:f>IFERROR(VLOOKUP($D201&amp;"|"&amp;$K201,Recommendation_Lookup!$A$2:$H$19,7,FALSE),"")</x:f>
        <x:v>Stay patient through acceleration and keep pushing behind the body.</x:v>
      </x:c>
      <x:c r="R201" s="12" t="str">
        <x:f>IFERROR(VLOOKUP($D201&amp;"|"&amp;$K201,Recommendation_Lookup!$A$2:$H$19,8,FALSE),"")</x:f>
        <x:v>Retest every 6–8 weeks or after a speed block.</x:v>
      </x:c>
      <x:c r="S201" s="12"/>
      <x:c r="T201" s="12"/>
      <x:c r="U201" s="12"/>
      <x:c r="V201" s="12"/>
      <x:c r="W201" s="12" t="str">
        <x:f>IF($S201&lt;&gt;"",$S201,$K201)</x:f>
        <x:v>Above Norm</x:v>
      </x:c>
      <x:c r="X201" s="12" t="str">
        <x:f>IF($T201&lt;&gt;"",$T201,$L201)</x:f>
        <x:v>Maintain acceleration through 10 m</x:v>
      </x:c>
      <x:c r="Y201" s="12" t="str">
        <x:f>IF($U201&lt;&gt;"",$U201,$N201)</x:f>
        <x:v>Maintain one to two weekly high-quality acceleration exposures. Add varied starts and light resistance while monitoring consistency across trials.</x:v>
      </x:c>
      <x:c r="Z201" s="12" t="str">
        <x:f>IF($V201&lt;&gt;"",$V201,$O201)</x:f>
        <x:v>RVX Advanced Acceleration</x:v>
      </x:c>
      <x:c r="AA201" s="12"/>
    </x:row>
    <x:row r="202">
      <x:c r="A202" s="12" t="str">
        <x:v>RVX-00034</x:v>
      </x:c>
      <x:c r="B202" s="12" t="str">
        <x:f>IFERROR(VLOOKUP($A202,Athlete_Profile!$A$2:$L$51,6,FALSE),"")</x:f>
        <x:v>Hockey</x:v>
      </x:c>
      <x:c r="C202" s="12" t="str">
        <x:f>IFERROR(VLOOKUP($A202,Athlete_Profile!$A$2:$L$51,5,FALSE),"")</x:f>
        <x:v>Male</x:v>
      </x:c>
      <x:c r="D202" s="12" t="str">
        <x:v>pro_agility</x:v>
      </x:c>
      <x:c r="E202" s="12" t="str">
        <x:f>IFERROR(VLOOKUP($D202,Dropdown_Lists!$K$2:$N$7,2,FALSE),"")</x:f>
        <x:v>5-10-5 Pro Agility</x:v>
      </x:c>
      <x:c r="F202" s="12" t="str">
        <x:f>IFERROR(VLOOKUP($D202,Dropdown_Lists!$K$2:$N$7,3,FALSE),"")</x:f>
        <x:v>lower</x:v>
      </x:c>
      <x:c r="G202" s="17" t="n">
        <x:f>IFERROR(LOOKUP(2,1/((Performance_Metrics!$A$2:$A$3000=$A202)*(Performance_Metrics!$D$2:$D$3000=$D202)),Performance_Metrics!$C$2:$C$3000),"")</x:f>
        <x:v>46230</x:v>
      </x:c>
      <x:c r="H202" s="12" t="n">
        <x:f>IFERROR(LOOKUP(2,1/((Performance_Metrics!$A$2:$A$3000=$A202)*(Performance_Metrics!$D$2:$D$3000=$D202)),Performance_Metrics!$G$2:$G$3000),"")</x:f>
        <x:v>3.95</x:v>
      </x:c>
      <x:c r="I202" s="12" t="n">
        <x:f>IFERROR(SUMIFS(Normative_Data!$G$2:$G$1000,Normative_Data!$A$2:$A$1000,$B202,Normative_Data!$B$2:$B$1000,$C202,Normative_Data!$E$2:$E$1000,$D202),"")</x:f>
        <x:v>4.63</x:v>
      </x:c>
      <x:c r="J202" s="18" t="n">
        <x:f>IF(OR($H202="",$I202=""),"",($H202-$I202)/$I202)</x:f>
        <x:v>-0.14686825053995675</x:v>
      </x:c>
      <x:c r="K202" s="12" t="str">
        <x:f>IF(OR($H202="",$I202="",$F202=""),"",IF(ABS($J202)&lt;=0.05,"Equal to Norm",IF($F202="lower",IF($H202&lt;$I202,"Above Norm","Below Norm"),IF($H202&gt;$I202,"Above Norm","Below Norm"))))</x:f>
        <x:v>Above Norm</x:v>
      </x:c>
      <x:c r="L202" s="12" t="str">
        <x:f>IFERROR(VLOOKUP($D202&amp;"|"&amp;$K202,Recommendation_Lookup!$A$2:$H$19,2,FALSE),"")</x:f>
        <x:v>Maintain change-of-direction performance</x:v>
      </x:c>
      <x:c r="M202" s="12" t="str">
        <x:f>IFERROR(VLOOKUP($D202&amp;"|"&amp;$K202,Recommendation_Lookup!$A$2:$H$19,3,FALSE),"")</x:f>
        <x:v>Reactive decision-making; braking tolerance; bilateral symmetry; movement variability</x:v>
      </x:c>
      <x:c r="N202" s="12" t="str">
        <x:f>IFERROR(VLOOKUP($D202&amp;"|"&amp;$K202,Recommendation_Lookup!$A$2:$H$19,4,FALSE),"")</x:f>
        <x:v>Maintain planned change-of-direction work and progress toward reactive agility. Use low-volume, high-quality exposures with multiple starting and turning strategies.</x:v>
      </x:c>
      <x:c r="O202" s="12" t="str">
        <x:f>IFERROR(VLOOKUP($D202&amp;"|"&amp;$K202,Recommendation_Lookup!$A$2:$H$19,5,FALSE),"")</x:f>
        <x:v>RVX Advanced Change of Direction</x:v>
      </x:c>
      <x:c r="P202" s="12" t="str">
        <x:f>IFERROR(VLOOKUP($D202&amp;"|"&amp;$K202,Recommendation_Lookup!$A$2:$H$19,6,FALSE),"")</x:f>
        <x:v>RVX Reactive Agility</x:v>
      </x:c>
      <x:c r="Q202" s="12" t="str">
        <x:f>IFERROR(VLOOKUP($D202&amp;"|"&amp;$K202,Recommendation_Lookup!$A$2:$H$19,7,FALSE),"")</x:f>
        <x:v>Brake under control, own the plant and accelerate out immediately.</x:v>
      </x:c>
      <x:c r="R202" s="12" t="str">
        <x:f>IFERROR(VLOOKUP($D202&amp;"|"&amp;$K202,Recommendation_Lookup!$A$2:$H$19,8,FALSE),"")</x:f>
        <x:v>Retest every 6–8 weeks with left and right trial review.</x:v>
      </x:c>
      <x:c r="S202" s="12"/>
      <x:c r="T202" s="12"/>
      <x:c r="U202" s="12"/>
      <x:c r="V202" s="12"/>
      <x:c r="W202" s="12" t="str">
        <x:f>IF($S202&lt;&gt;"",$S202,$K202)</x:f>
        <x:v>Above Norm</x:v>
      </x:c>
      <x:c r="X202" s="12" t="str">
        <x:f>IF($T202&lt;&gt;"",$T202,$L202)</x:f>
        <x:v>Maintain change-of-direction performance</x:v>
      </x:c>
      <x:c r="Y202" s="12" t="str">
        <x:f>IF($U202&lt;&gt;"",$U202,$N202)</x:f>
        <x:v>Maintain planned change-of-direction work and progress toward reactive agility. Use low-volume, high-quality exposures with multiple starting and turning strategies.</x:v>
      </x:c>
      <x:c r="Z202" s="12" t="str">
        <x:f>IF($V202&lt;&gt;"",$V202,$O202)</x:f>
        <x:v>RVX Advanced Change of Direction</x:v>
      </x:c>
      <x:c r="AA202" s="12"/>
    </x:row>
    <x:row r="203">
      <x:c r="A203" s="12" t="str">
        <x:v>RVX-00034</x:v>
      </x:c>
      <x:c r="B203" s="12" t="str">
        <x:f>IFERROR(VLOOKUP($A203,Athlete_Profile!$A$2:$L$51,6,FALSE),"")</x:f>
        <x:v>Hockey</x:v>
      </x:c>
      <x:c r="C203" s="12" t="str">
        <x:f>IFERROR(VLOOKUP($A203,Athlete_Profile!$A$2:$L$51,5,FALSE),"")</x:f>
        <x:v>Male</x:v>
      </x:c>
      <x:c r="D203" s="12" t="str">
        <x:v>cmj_depth</x:v>
      </x:c>
      <x:c r="E203" s="12" t="str">
        <x:f>IFERROR(VLOOKUP($D203,Dropdown_Lists!$K$2:$N$7,2,FALSE),"")</x:f>
        <x:v>Countermovement Depth</x:v>
      </x:c>
      <x:c r="F203" s="12" t="str">
        <x:f>IFERROR(VLOOKUP($D203,Dropdown_Lists!$K$2:$N$7,3,FALSE),"")</x:f>
        <x:v>higher</x:v>
      </x:c>
      <x:c r="G203" s="17" t="n">
        <x:f>IFERROR(LOOKUP(2,1/((Performance_Metrics!$A$2:$A$3000=$A203)*(Performance_Metrics!$D$2:$D$3000=$D203)),Performance_Metrics!$C$2:$C$3000),"")</x:f>
        <x:v>46230</x:v>
      </x:c>
      <x:c r="H203" s="12" t="n">
        <x:f>IFERROR(LOOKUP(2,1/((Performance_Metrics!$A$2:$A$3000=$A203)*(Performance_Metrics!$D$2:$D$3000=$D203)),Performance_Metrics!$G$2:$G$3000),"")</x:f>
        <x:v>37.4</x:v>
      </x:c>
      <x:c r="I203" s="12" t="n">
        <x:f>IFERROR(SUMIFS(Normative_Data!$G$2:$G$1000,Normative_Data!$A$2:$A$1000,$B203,Normative_Data!$B$2:$B$1000,$C203,Normative_Data!$E$2:$E$1000,$D203),"")</x:f>
        <x:v>33</x:v>
      </x:c>
      <x:c r="J203" s="18" t="n">
        <x:f>IF(OR($H203="",$I203=""),"",($H203-$I203)/$I203)</x:f>
        <x:v>0.1333333333333333</x:v>
      </x:c>
      <x:c r="K203" s="12" t="str">
        <x:f>IF(OR($H203="",$I203="",$F203=""),"",IF(ABS($J203)&lt;=0.05,"Equal to Norm",IF($F203="lower",IF($H203&lt;$I203,"Above Norm","Below Norm"),IF($H203&gt;$I203,"Above Norm","Below Norm"))))</x:f>
        <x:v>Above Norm</x:v>
      </x:c>
      <x:c r="L203" s="12" t="str">
        <x:f>IFERROR(VLOOKUP($D203&amp;"|"&amp;$K203,Recommendation_Lookup!$A$2:$H$19,2,FALSE),"")</x:f>
        <x:v>Maintain effective countermovement strategy</x:v>
      </x:c>
      <x:c r="M203" s="12" t="str">
        <x:f>IFERROR(VLOOKUP($D203&amp;"|"&amp;$K203,Recommendation_Lookup!$A$2:$H$19,3,FALSE),"")</x:f>
        <x:v>Movement efficiency; eccentric control; jump consistency; depth-to-output relationship</x:v>
      </x:c>
      <x:c r="N203" s="12" t="str">
        <x:f>IFERROR(VLOOKUP($D203&amp;"|"&amp;$K203,Recommendation_Lookup!$A$2:$H$19,4,FALSE),"")</x:f>
        <x:v>Maintain the athlete’s preferred countermovement strategy while ensuring the additional depth contributes to force and impulse rather than excessive movement time.</x:v>
      </x:c>
      <x:c r="O203" s="12" t="str">
        <x:f>IFERROR(VLOOKUP($D203&amp;"|"&amp;$K203,Recommendation_Lookup!$A$2:$H$19,5,FALSE),"")</x:f>
        <x:v>RVX Jump Performance Advanced</x:v>
      </x:c>
      <x:c r="P203" s="12" t="str">
        <x:f>IFERROR(VLOOKUP($D203&amp;"|"&amp;$K203,Recommendation_Lookup!$A$2:$H$19,6,FALSE),"")</x:f>
        <x:v>RVX Eccentric Strength Microdose</x:v>
      </x:c>
      <x:c r="Q203" s="12" t="str">
        <x:f>IFERROR(VLOOKUP($D203&amp;"|"&amp;$K203,Recommendation_Lookup!$A$2:$H$19,7,FALSE),"")</x:f>
        <x:v>Use the depth you can control, then reverse quickly and aggressively.</x:v>
      </x:c>
      <x:c r="R203" s="12" t="str">
        <x:f>IFERROR(VLOOKUP($D203&amp;"|"&amp;$K203,Recommendation_Lookup!$A$2:$H$19,8,FALSE),"")</x:f>
        <x:v>Retest every 6–8 weeks while monitoring jump height and contraction time.</x:v>
      </x:c>
      <x:c r="S203" s="12"/>
      <x:c r="T203" s="12"/>
      <x:c r="U203" s="12"/>
      <x:c r="V203" s="12"/>
      <x:c r="W203" s="12" t="str">
        <x:f>IF($S203&lt;&gt;"",$S203,$K203)</x:f>
        <x:v>Above Norm</x:v>
      </x:c>
      <x:c r="X203" s="12" t="str">
        <x:f>IF($T203&lt;&gt;"",$T203,$L203)</x:f>
        <x:v>Maintain effective countermovement strategy</x:v>
      </x:c>
      <x:c r="Y203" s="12" t="str">
        <x:f>IF($U203&lt;&gt;"",$U203,$N203)</x:f>
        <x:v>Maintain the athlete’s preferred countermovement strategy while ensuring the additional depth contributes to force and impulse rather than excessive movement time.</x:v>
      </x:c>
      <x:c r="Z203" s="12" t="str">
        <x:f>IF($V203&lt;&gt;"",$V203,$O203)</x:f>
        <x:v>RVX Jump Performance Advanced</x:v>
      </x:c>
      <x:c r="AA203" s="12"/>
    </x:row>
    <x:row r="204">
      <x:c r="A204" s="12" t="str">
        <x:v>RVX-00034</x:v>
      </x:c>
      <x:c r="B204" s="12" t="str">
        <x:f>IFERROR(VLOOKUP($A204,Athlete_Profile!$A$2:$L$51,6,FALSE),"")</x:f>
        <x:v>Hockey</x:v>
      </x:c>
      <x:c r="C204" s="12" t="str">
        <x:f>IFERROR(VLOOKUP($A204,Athlete_Profile!$A$2:$L$51,5,FALSE),"")</x:f>
        <x:v>Male</x:v>
      </x:c>
      <x:c r="D204" s="12" t="str">
        <x:v>peak_force</x:v>
      </x:c>
      <x:c r="E204" s="12" t="str">
        <x:f>IFERROR(VLOOKUP($D204,Dropdown_Lists!$K$2:$N$7,2,FALSE),"")</x:f>
        <x:v>Peak Force</x:v>
      </x:c>
      <x:c r="F204" s="12" t="str">
        <x:f>IFERROR(VLOOKUP($D204,Dropdown_Lists!$K$2:$N$7,3,FALSE),"")</x:f>
        <x:v>higher</x:v>
      </x:c>
      <x:c r="G204" s="17" t="n">
        <x:f>IFERROR(LOOKUP(2,1/((Performance_Metrics!$A$2:$A$3000=$A204)*(Performance_Metrics!$D$2:$D$3000=$D204)),Performance_Metrics!$C$2:$C$3000),"")</x:f>
        <x:v>46230</x:v>
      </x:c>
      <x:c r="H204" s="12" t="n">
        <x:f>IFERROR(LOOKUP(2,1/((Performance_Metrics!$A$2:$A$3000=$A204)*(Performance_Metrics!$D$2:$D$3000=$D204)),Performance_Metrics!$G$2:$G$3000),"")</x:f>
        <x:v>2198</x:v>
      </x:c>
      <x:c r="I204" s="12" t="n">
        <x:f>IFERROR(SUMIFS(Normative_Data!$G$2:$G$1000,Normative_Data!$A$2:$A$1000,$B204,Normative_Data!$B$2:$B$1000,$C204,Normative_Data!$E$2:$E$1000,$D204),"")</x:f>
        <x:v>1925</x:v>
      </x:c>
      <x:c r="J204" s="18" t="n">
        <x:f>IF(OR($H204="",$I204=""),"",($H204-$I204)/$I204)</x:f>
        <x:v>0.14181818181818182</x:v>
      </x:c>
      <x:c r="K204" s="12" t="str">
        <x:f>IF(OR($H204="",$I204="",$F204=""),"",IF(ABS($J204)&lt;=0.05,"Equal to Norm",IF($F204="lower",IF($H204&lt;$I204,"Above Norm","Below Norm"),IF($H204&gt;$I204,"Above Norm","Below Norm"))))</x:f>
        <x:v>Above Norm</x:v>
      </x:c>
      <x:c r="L204" s="12" t="str">
        <x:f>IFERROR(VLOOKUP($D204&amp;"|"&amp;$K204,Recommendation_Lookup!$A$2:$H$19,2,FALSE),"")</x:f>
        <x:v>Maintain maximal force qualities</x:v>
      </x:c>
      <x:c r="M204" s="12" t="str">
        <x:f>IFERROR(VLOOKUP($D204&amp;"|"&amp;$K204,Recommendation_Lookup!$A$2:$H$19,3,FALSE),"")</x:f>
        <x:v>Force application speed; asymmetry; fatigue management; sport transfer</x:v>
      </x:c>
      <x:c r="N204" s="12" t="str">
        <x:f>IFERROR(VLOOKUP($D204&amp;"|"&amp;$K204,Recommendation_Lookup!$A$2:$H$19,4,FALSE),"")</x:f>
        <x:v>Maintain maximal force with low-volume strength exposure while shifting selected work toward power and sport-specific application. Monitor asymmetry and fatigue.</x:v>
      </x:c>
      <x:c r="O204" s="12" t="str">
        <x:f>IFERROR(VLOOKUP($D204&amp;"|"&amp;$K204,Recommendation_Lookup!$A$2:$H$19,5,FALSE),"")</x:f>
        <x:v>RVX Advanced Strength-Power</x:v>
      </x:c>
      <x:c r="P204" s="12" t="str">
        <x:f>IFERROR(VLOOKUP($D204&amp;"|"&amp;$K204,Recommendation_Lookup!$A$2:$H$19,6,FALSE),"")</x:f>
        <x:v>RVX Force Maintenance Microdose</x:v>
      </x:c>
      <x:c r="Q204" s="12" t="str">
        <x:f>IFERROR(VLOOKUP($D204&amp;"|"&amp;$K204,Recommendation_Lookup!$A$2:$H$19,7,FALSE),"")</x:f>
        <x:v>Produce high force without losing position or movement speed.</x:v>
      </x:c>
      <x:c r="R204" s="12" t="str">
        <x:f>IFERROR(VLOOKUP($D204&amp;"|"&amp;$K204,Recommendation_Lookup!$A$2:$H$19,8,FALSE),"")</x:f>
        <x:v>Retest every 6–8 weeks or following a strength-power phase.</x:v>
      </x:c>
      <x:c r="S204" s="12"/>
      <x:c r="T204" s="12"/>
      <x:c r="U204" s="12"/>
      <x:c r="V204" s="12"/>
      <x:c r="W204" s="12" t="str">
        <x:f>IF($S204&lt;&gt;"",$S204,$K204)</x:f>
        <x:v>Above Norm</x:v>
      </x:c>
      <x:c r="X204" s="12" t="str">
        <x:f>IF($T204&lt;&gt;"",$T204,$L204)</x:f>
        <x:v>Maintain maximal force qualities</x:v>
      </x:c>
      <x:c r="Y204" s="12" t="str">
        <x:f>IF($U204&lt;&gt;"",$U204,$N204)</x:f>
        <x:v>Maintain maximal force with low-volume strength exposure while shifting selected work toward power and sport-specific application. Monitor asymmetry and fatigue.</x:v>
      </x:c>
      <x:c r="Z204" s="12" t="str">
        <x:f>IF($V204&lt;&gt;"",$V204,$O204)</x:f>
        <x:v>RVX Advanced Strength-Power</x:v>
      </x:c>
      <x:c r="AA204" s="12"/>
    </x:row>
    <x:row r="205">
      <x:c r="A205" s="12" t="str">
        <x:v>RVX-00034</x:v>
      </x:c>
      <x:c r="B205" s="12" t="str">
        <x:f>IFERROR(VLOOKUP($A205,Athlete_Profile!$A$2:$L$51,6,FALSE),"")</x:f>
        <x:v>Hockey</x:v>
      </x:c>
      <x:c r="C205" s="12" t="str">
        <x:f>IFERROR(VLOOKUP($A205,Athlete_Profile!$A$2:$L$51,5,FALSE),"")</x:f>
        <x:v>Male</x:v>
      </x:c>
      <x:c r="D205" s="12" t="str">
        <x:v>impulse</x:v>
      </x:c>
      <x:c r="E205" s="12" t="str">
        <x:f>IFERROR(VLOOKUP($D205,Dropdown_Lists!$K$2:$N$7,2,FALSE),"")</x:f>
        <x:v>Impulse-Momentum</x:v>
      </x:c>
      <x:c r="F205" s="12" t="str">
        <x:f>IFERROR(VLOOKUP($D205,Dropdown_Lists!$K$2:$N$7,3,FALSE),"")</x:f>
        <x:v>higher</x:v>
      </x:c>
      <x:c r="G205" s="17" t="n">
        <x:f>IFERROR(LOOKUP(2,1/((Performance_Metrics!$A$2:$A$3000=$A205)*(Performance_Metrics!$D$2:$D$3000=$D205)),Performance_Metrics!$C$2:$C$3000),"")</x:f>
        <x:v>46230</x:v>
      </x:c>
      <x:c r="H205" s="12" t="n">
        <x:f>IFERROR(LOOKUP(2,1/((Performance_Metrics!$A$2:$A$3000=$A205)*(Performance_Metrics!$D$2:$D$3000=$D205)),Performance_Metrics!$G$2:$G$3000),"")</x:f>
        <x:v>268.6</x:v>
      </x:c>
      <x:c r="I205" s="12" t="n">
        <x:f>IFERROR(SUMIFS(Normative_Data!$G$2:$G$1000,Normative_Data!$A$2:$A$1000,$B205,Normative_Data!$B$2:$B$1000,$C205,Normative_Data!$E$2:$E$1000,$D205),"")</x:f>
        <x:v>236.5</x:v>
      </x:c>
      <x:c r="J205" s="18" t="n">
        <x:f>IF(OR($H205="",$I205=""),"",($H205-$I205)/$I205)</x:f>
        <x:v>0.13572938689217767</x:v>
      </x:c>
      <x:c r="K205" s="12" t="str">
        <x:f>IF(OR($H205="",$I205="",$F205=""),"",IF(ABS($J205)&lt;=0.05,"Equal to Norm",IF($F205="lower",IF($H205&lt;$I205,"Above Norm","Below Norm"),IF($H205&gt;$I205,"Above Norm","Below Norm"))))</x:f>
        <x:v>Above Norm</x:v>
      </x:c>
      <x:c r="L205" s="12" t="str">
        <x:f>IFERROR(VLOOKUP($D205&amp;"|"&amp;$K205,Recommendation_Lookup!$A$2:$H$19,2,FALSE),"")</x:f>
        <x:v>Maintain total force-time output</x:v>
      </x:c>
      <x:c r="M205" s="12" t="str">
        <x:f>IFERROR(VLOOKUP($D205&amp;"|"&amp;$K205,Recommendation_Lookup!$A$2:$H$19,3,FALSE),"")</x:f>
        <x:v>Rate of force development; movement time; power transfer; fatigue resistance</x:v>
      </x:c>
      <x:c r="N205" s="12" t="str">
        <x:f>IFERROR(VLOOKUP($D205&amp;"|"&amp;$K205,Recommendation_Lookup!$A$2:$H$19,4,FALSE),"")</x:f>
        <x:v>Maintain impulse with strength-power microdosing and varied jump or sprint exposures. Ensure high impulse is achieved efficiently rather than through excessive movement time.</x:v>
      </x:c>
      <x:c r="O205" s="12" t="str">
        <x:f>IFERROR(VLOOKUP($D205&amp;"|"&amp;$K205,Recommendation_Lookup!$A$2:$H$19,5,FALSE),"")</x:f>
        <x:v>RVX Advanced Power Development</x:v>
      </x:c>
      <x:c r="P205" s="12" t="str">
        <x:f>IFERROR(VLOOKUP($D205&amp;"|"&amp;$K205,Recommendation_Lookup!$A$2:$H$19,6,FALSE),"")</x:f>
        <x:v>RVX Elastic Power Microdose</x:v>
      </x:c>
      <x:c r="Q205" s="12" t="str">
        <x:f>IFERROR(VLOOKUP($D205&amp;"|"&amp;$K205,Recommendation_Lookup!$A$2:$H$19,7,FALSE),"")</x:f>
        <x:v>Build force quickly and keep applying it through the full movement.</x:v>
      </x:c>
      <x:c r="R205" s="12" t="str">
        <x:f>IFERROR(VLOOKUP($D205&amp;"|"&amp;$K205,Recommendation_Lookup!$A$2:$H$19,8,FALSE),"")</x:f>
        <x:v>Retest every 6–8 weeks while reviewing contraction time and jump outcome.</x:v>
      </x:c>
      <x:c r="S205" s="12"/>
      <x:c r="T205" s="12"/>
      <x:c r="U205" s="12"/>
      <x:c r="V205" s="12"/>
      <x:c r="W205" s="12" t="str">
        <x:f>IF($S205&lt;&gt;"",$S205,$K205)</x:f>
        <x:v>Above Norm</x:v>
      </x:c>
      <x:c r="X205" s="12" t="str">
        <x:f>IF($T205&lt;&gt;"",$T205,$L205)</x:f>
        <x:v>Maintain total force-time output</x:v>
      </x:c>
      <x:c r="Y205" s="12" t="str">
        <x:f>IF($U205&lt;&gt;"",$U205,$N205)</x:f>
        <x:v>Maintain impulse with strength-power microdosing and varied jump or sprint exposures. Ensure high impulse is achieved efficiently rather than through excessive movement time.</x:v>
      </x:c>
      <x:c r="Z205" s="12" t="str">
        <x:f>IF($V205&lt;&gt;"",$V205,$O205)</x:f>
        <x:v>RVX Advanced Power Development</x:v>
      </x:c>
      <x:c r="AA205" s="12"/>
    </x:row>
    <x:row r="206">
      <x:c r="A206" s="12" t="str">
        <x:v>RVX-00035</x:v>
      </x:c>
      <x:c r="B206" s="12" t="str">
        <x:f>IFERROR(VLOOKUP($A206,Athlete_Profile!$A$2:$L$51,6,FALSE),"")</x:f>
        <x:v>Hockey</x:v>
      </x:c>
      <x:c r="C206" s="12" t="str">
        <x:f>IFERROR(VLOOKUP($A206,Athlete_Profile!$A$2:$L$51,5,FALSE),"")</x:f>
        <x:v>Female</x:v>
      </x:c>
      <x:c r="D206" s="12" t="str">
        <x:v>sprint_5m</x:v>
      </x:c>
      <x:c r="E206" s="12" t="str">
        <x:f>IFERROR(VLOOKUP($D206,Dropdown_Lists!$K$2:$N$7,2,FALSE),"")</x:f>
        <x:v>5m Sprint</x:v>
      </x:c>
      <x:c r="F206" s="12" t="str">
        <x:f>IFERROR(VLOOKUP($D206,Dropdown_Lists!$K$2:$N$7,3,FALSE),"")</x:f>
        <x:v>lower</x:v>
      </x:c>
      <x:c r="G206" s="17" t="n">
        <x:f>IFERROR(LOOKUP(2,1/((Performance_Metrics!$A$2:$A$3000=$A206)*(Performance_Metrics!$D$2:$D$3000=$D206)),Performance_Metrics!$C$2:$C$3000),"")</x:f>
        <x:v>46230</x:v>
      </x:c>
      <x:c r="H206" s="12" t="n">
        <x:f>IFERROR(LOOKUP(2,1/((Performance_Metrics!$A$2:$A$3000=$A206)*(Performance_Metrics!$D$2:$D$3000=$D206)),Performance_Metrics!$G$2:$G$3000),"")</x:f>
        <x:v>1.06</x:v>
      </x:c>
      <x:c r="I206" s="12" t="n">
        <x:f>IFERROR(SUMIFS(Normative_Data!$G$2:$G$1000,Normative_Data!$A$2:$A$1000,$B206,Normative_Data!$B$2:$B$1000,$C206,Normative_Data!$E$2:$E$1000,$D206),"")</x:f>
        <x:v>1.12</x:v>
      </x:c>
      <x:c r="J206" s="18" t="n">
        <x:f>IF(OR($H206="",$I206=""),"",($H206-$I206)/$I206)</x:f>
        <x:v>-0.05357142857142862</x:v>
      </x:c>
      <x:c r="K206" s="12" t="str">
        <x:f>IF(OR($H206="",$I206="",$F206=""),"",IF(ABS($J206)&lt;=0.05,"Equal to Norm",IF($F206="lower",IF($H206&lt;$I206,"Above Norm","Below Norm"),IF($H206&gt;$I206,"Above Norm","Below Norm"))))</x:f>
        <x:v>Above Norm</x:v>
      </x:c>
      <x:c r="L206" s="12" t="str">
        <x:f>IFERROR(VLOOKUP($D206&amp;"|"&amp;$K206,Recommendation_Lookup!$A$2:$H$19,2,FALSE),"")</x:f>
        <x:v>Maintain first-step explosiveness</x:v>
      </x:c>
      <x:c r="M206" s="12" t="str">
        <x:f>IFERROR(VLOOKUP($D206&amp;"|"&amp;$K206,Recommendation_Lookup!$A$2:$H$19,3,FALSE),"")</x:f>
        <x:v>Start consistency; projection angle; horizontal force; reaction quality</x:v>
      </x:c>
      <x:c r="N206" s="12" t="str">
        <x:f>IFERROR(VLOOKUP($D206&amp;"|"&amp;$K206,Recommendation_Lookup!$A$2:$H$19,4,FALSE),"")</x:f>
        <x:v>Maintain speed with low-volume, high-quality acceleration exposures. Avoid unnecessary volume that could reduce sprint quality. Progress through resisted and reactive starts while preserving mechanics.</x:v>
      </x:c>
      <x:c r="O206" s="12" t="str">
        <x:f>IFERROR(VLOOKUP($D206&amp;"|"&amp;$K206,Recommendation_Lookup!$A$2:$H$19,5,FALSE),"")</x:f>
        <x:v>RVX Advanced Acceleration</x:v>
      </x:c>
      <x:c r="P206" s="12" t="str">
        <x:f>IFERROR(VLOOKUP($D206&amp;"|"&amp;$K206,Recommendation_Lookup!$A$2:$H$19,6,FALSE),"")</x:f>
        <x:v>RVX Explosive Starts Microdose</x:v>
      </x:c>
      <x:c r="Q206" s="12" t="str">
        <x:f>IFERROR(VLOOKUP($D206&amp;"|"&amp;$K206,Recommendation_Lookup!$A$2:$H$19,7,FALSE),"")</x:f>
        <x:v>Project forward, push the ground back, and win the first three steps.</x:v>
      </x:c>
      <x:c r="R206" s="12" t="str">
        <x:f>IFERROR(VLOOKUP($D206&amp;"|"&amp;$K206,Recommendation_Lookup!$A$2:$H$19,8,FALSE),"")</x:f>
        <x:v>Retest every 6–8 weeks or after a dedicated acceleration block.</x:v>
      </x:c>
      <x:c r="S206" s="12"/>
      <x:c r="T206" s="12"/>
      <x:c r="U206" s="12"/>
      <x:c r="V206" s="12"/>
      <x:c r="W206" s="12" t="str">
        <x:f>IF($S206&lt;&gt;"",$S206,$K206)</x:f>
        <x:v>Above Norm</x:v>
      </x:c>
      <x:c r="X206" s="12" t="str">
        <x:f>IF($T206&lt;&gt;"",$T206,$L206)</x:f>
        <x:v>Maintain first-step explosiveness</x:v>
      </x:c>
      <x:c r="Y206" s="12" t="str">
        <x:f>IF($U206&lt;&gt;"",$U206,$N206)</x:f>
        <x:v>Maintain speed with low-volume, high-quality acceleration exposures. Avoid unnecessary volume that could reduce sprint quality. Progress through resisted and reactive starts while preserving mechanics.</x:v>
      </x:c>
      <x:c r="Z206" s="12" t="str">
        <x:f>IF($V206&lt;&gt;"",$V206,$O206)</x:f>
        <x:v>RVX Advanced Acceleration</x:v>
      </x:c>
      <x:c r="AA206" s="12"/>
    </x:row>
    <x:row r="207">
      <x:c r="A207" s="12" t="str">
        <x:v>RVX-00035</x:v>
      </x:c>
      <x:c r="B207" s="12" t="str">
        <x:f>IFERROR(VLOOKUP($A207,Athlete_Profile!$A$2:$L$51,6,FALSE),"")</x:f>
        <x:v>Hockey</x:v>
      </x:c>
      <x:c r="C207" s="12" t="str">
        <x:f>IFERROR(VLOOKUP($A207,Athlete_Profile!$A$2:$L$51,5,FALSE),"")</x:f>
        <x:v>Female</x:v>
      </x:c>
      <x:c r="D207" s="12" t="str">
        <x:v>sprint_10m</x:v>
      </x:c>
      <x:c r="E207" s="12" t="str">
        <x:f>IFERROR(VLOOKUP($D207,Dropdown_Lists!$K$2:$N$7,2,FALSE),"")</x:f>
        <x:v>10m Sprint</x:v>
      </x:c>
      <x:c r="F207" s="12" t="str">
        <x:f>IFERROR(VLOOKUP($D207,Dropdown_Lists!$K$2:$N$7,3,FALSE),"")</x:f>
        <x:v>lower</x:v>
      </x:c>
      <x:c r="G207" s="17" t="n">
        <x:f>IFERROR(LOOKUP(2,1/((Performance_Metrics!$A$2:$A$3000=$A207)*(Performance_Metrics!$D$2:$D$3000=$D207)),Performance_Metrics!$C$2:$C$3000),"")</x:f>
        <x:v>46230</x:v>
      </x:c>
      <x:c r="H207" s="12" t="n">
        <x:f>IFERROR(LOOKUP(2,1/((Performance_Metrics!$A$2:$A$3000=$A207)*(Performance_Metrics!$D$2:$D$3000=$D207)),Performance_Metrics!$G$2:$G$3000),"")</x:f>
        <x:v>1.82</x:v>
      </x:c>
      <x:c r="I207" s="12" t="n">
        <x:f>IFERROR(SUMIFS(Normative_Data!$G$2:$G$1000,Normative_Data!$A$2:$A$1000,$B207,Normative_Data!$B$2:$B$1000,$C207,Normative_Data!$E$2:$E$1000,$D207),"")</x:f>
        <x:v>1.88</x:v>
      </x:c>
      <x:c r="J207" s="18" t="n">
        <x:f>IF(OR($H207="",$I207=""),"",($H207-$I207)/$I207)</x:f>
        <x:v>-0.03191489361702119</x:v>
      </x:c>
      <x:c r="K207" s="12" t="str">
        <x:f>IF(OR($H207="",$I207="",$F207=""),"",IF(ABS($J207)&lt;=0.05,"Equal to Norm",IF($F207="lower",IF($H207&lt;$I207,"Above Norm","Below Norm"),IF($H207&gt;$I207,"Above Norm","Below Norm"))))</x:f>
        <x:v>Equal to Norm</x:v>
      </x:c>
      <x:c r="L207" s="12" t="str">
        <x:f>IFERROR(VLOOKUP($D207&amp;"|"&amp;$K207,Recommendation_Lookup!$A$2:$H$19,2,FALSE),"")</x:f>
        <x:v>Improve acceleration continuation</x:v>
      </x:c>
      <x:c r="M207" s="12" t="str">
        <x:f>IFERROR(VLOOKUP($D207&amp;"|"&amp;$K207,Recommendation_Lookup!$A$2:$H$19,3,FALSE),"")</x:f>
        <x:v>Projection; force orientation; step rhythm; trunk control</x:v>
      </x:c>
      <x:c r="N207" s="12" t="str">
        <x:f>IFERROR(VLOOKUP($D207&amp;"|"&amp;$K207,Recommendation_Lookup!$A$2:$H$19,4,FALSE),"")</x:f>
        <x:v>Build acceleration from 0–10 m using split starts, falling starts and progressive resisted sprints. Emphasize full recovery and technical consistency.</x:v>
      </x:c>
      <x:c r="O207" s="12" t="str">
        <x:f>IFERROR(VLOOKUP($D207&amp;"|"&amp;$K207,Recommendation_Lookup!$A$2:$H$19,5,FALSE),"")</x:f>
        <x:v>RVX Acceleration Development</x:v>
      </x:c>
      <x:c r="P207" s="12" t="str">
        <x:f>IFERROR(VLOOKUP($D207&amp;"|"&amp;$K207,Recommendation_Lookup!$A$2:$H$19,6,FALSE),"")</x:f>
        <x:v>RVX Sprint Mechanics</x:v>
      </x:c>
      <x:c r="Q207" s="12" t="str">
        <x:f>IFERROR(VLOOKUP($D207&amp;"|"&amp;$K207,Recommendation_Lookup!$A$2:$H$19,7,FALSE),"")</x:f>
        <x:v>Keep building speed through the line; do not stand up too early.</x:v>
      </x:c>
      <x:c r="R207" s="12" t="str">
        <x:f>IFERROR(VLOOKUP($D207&amp;"|"&amp;$K207,Recommendation_Lookup!$A$2:$H$19,8,FALSE),"")</x:f>
        <x:v>Retest after 4–6 weeks.</x:v>
      </x:c>
      <x:c r="S207" s="12"/>
      <x:c r="T207" s="12"/>
      <x:c r="U207" s="12"/>
      <x:c r="V207" s="12"/>
      <x:c r="W207" s="12" t="str">
        <x:f>IF($S207&lt;&gt;"",$S207,$K207)</x:f>
        <x:v>Equal to Norm</x:v>
      </x:c>
      <x:c r="X207" s="12" t="str">
        <x:f>IF($T207&lt;&gt;"",$T207,$L207)</x:f>
        <x:v>Improve acceleration continuation</x:v>
      </x:c>
      <x:c r="Y207" s="12" t="str">
        <x:f>IF($U207&lt;&gt;"",$U207,$N207)</x:f>
        <x:v>Build acceleration from 0–10 m using split starts, falling starts and progressive resisted sprints. Emphasize full recovery and technical consistency.</x:v>
      </x:c>
      <x:c r="Z207" s="12" t="str">
        <x:f>IF($V207&lt;&gt;"",$V207,$O207)</x:f>
        <x:v>RVX Acceleration Development</x:v>
      </x:c>
      <x:c r="AA207" s="12"/>
    </x:row>
    <x:row r="208">
      <x:c r="A208" s="12" t="str">
        <x:v>RVX-00035</x:v>
      </x:c>
      <x:c r="B208" s="12" t="str">
        <x:f>IFERROR(VLOOKUP($A208,Athlete_Profile!$A$2:$L$51,6,FALSE),"")</x:f>
        <x:v>Hockey</x:v>
      </x:c>
      <x:c r="C208" s="12" t="str">
        <x:f>IFERROR(VLOOKUP($A208,Athlete_Profile!$A$2:$L$51,5,FALSE),"")</x:f>
        <x:v>Female</x:v>
      </x:c>
      <x:c r="D208" s="12" t="str">
        <x:v>pro_agility</x:v>
      </x:c>
      <x:c r="E208" s="12" t="str">
        <x:f>IFERROR(VLOOKUP($D208,Dropdown_Lists!$K$2:$N$7,2,FALSE),"")</x:f>
        <x:v>5-10-5 Pro Agility</x:v>
      </x:c>
      <x:c r="F208" s="12" t="str">
        <x:f>IFERROR(VLOOKUP($D208,Dropdown_Lists!$K$2:$N$7,3,FALSE),"")</x:f>
        <x:v>lower</x:v>
      </x:c>
      <x:c r="G208" s="17" t="n">
        <x:f>IFERROR(LOOKUP(2,1/((Performance_Metrics!$A$2:$A$3000=$A208)*(Performance_Metrics!$D$2:$D$3000=$D208)),Performance_Metrics!$C$2:$C$3000),"")</x:f>
        <x:v>46230</x:v>
      </x:c>
      <x:c r="H208" s="12" t="n">
        <x:f>IFERROR(LOOKUP(2,1/((Performance_Metrics!$A$2:$A$3000=$A208)*(Performance_Metrics!$D$2:$D$3000=$D208)),Performance_Metrics!$G$2:$G$3000),"")</x:f>
        <x:v>4.5</x:v>
      </x:c>
      <x:c r="I208" s="12" t="n">
        <x:f>IFERROR(SUMIFS(Normative_Data!$G$2:$G$1000,Normative_Data!$A$2:$A$1000,$B208,Normative_Data!$B$2:$B$1000,$C208,Normative_Data!$E$2:$E$1000,$D208),"")</x:f>
        <x:v>4.82</x:v>
      </x:c>
      <x:c r="J208" s="18" t="n">
        <x:f>IF(OR($H208="",$I208=""),"",($H208-$I208)/$I208)</x:f>
        <x:v>-0.06639004149377599</x:v>
      </x:c>
      <x:c r="K208" s="12" t="str">
        <x:f>IF(OR($H208="",$I208="",$F208=""),"",IF(ABS($J208)&lt;=0.05,"Equal to Norm",IF($F208="lower",IF($H208&lt;$I208,"Above Norm","Below Norm"),IF($H208&gt;$I208,"Above Norm","Below Norm"))))</x:f>
        <x:v>Above Norm</x:v>
      </x:c>
      <x:c r="L208" s="12" t="str">
        <x:f>IFERROR(VLOOKUP($D208&amp;"|"&amp;$K208,Recommendation_Lookup!$A$2:$H$19,2,FALSE),"")</x:f>
        <x:v>Maintain change-of-direction performance</x:v>
      </x:c>
      <x:c r="M208" s="12" t="str">
        <x:f>IFERROR(VLOOKUP($D208&amp;"|"&amp;$K208,Recommendation_Lookup!$A$2:$H$19,3,FALSE),"")</x:f>
        <x:v>Reactive decision-making; braking tolerance; bilateral symmetry; movement variability</x:v>
      </x:c>
      <x:c r="N208" s="12" t="str">
        <x:f>IFERROR(VLOOKUP($D208&amp;"|"&amp;$K208,Recommendation_Lookup!$A$2:$H$19,4,FALSE),"")</x:f>
        <x:v>Maintain planned change-of-direction work and progress toward reactive agility. Use low-volume, high-quality exposures with multiple starting and turning strategies.</x:v>
      </x:c>
      <x:c r="O208" s="12" t="str">
        <x:f>IFERROR(VLOOKUP($D208&amp;"|"&amp;$K208,Recommendation_Lookup!$A$2:$H$19,5,FALSE),"")</x:f>
        <x:v>RVX Advanced Change of Direction</x:v>
      </x:c>
      <x:c r="P208" s="12" t="str">
        <x:f>IFERROR(VLOOKUP($D208&amp;"|"&amp;$K208,Recommendation_Lookup!$A$2:$H$19,6,FALSE),"")</x:f>
        <x:v>RVX Reactive Agility</x:v>
      </x:c>
      <x:c r="Q208" s="12" t="str">
        <x:f>IFERROR(VLOOKUP($D208&amp;"|"&amp;$K208,Recommendation_Lookup!$A$2:$H$19,7,FALSE),"")</x:f>
        <x:v>Brake under control, own the plant and accelerate out immediately.</x:v>
      </x:c>
      <x:c r="R208" s="12" t="str">
        <x:f>IFERROR(VLOOKUP($D208&amp;"|"&amp;$K208,Recommendation_Lookup!$A$2:$H$19,8,FALSE),"")</x:f>
        <x:v>Retest every 6–8 weeks with left and right trial review.</x:v>
      </x:c>
      <x:c r="S208" s="12"/>
      <x:c r="T208" s="12"/>
      <x:c r="U208" s="12"/>
      <x:c r="V208" s="12"/>
      <x:c r="W208" s="12" t="str">
        <x:f>IF($S208&lt;&gt;"",$S208,$K208)</x:f>
        <x:v>Above Norm</x:v>
      </x:c>
      <x:c r="X208" s="12" t="str">
        <x:f>IF($T208&lt;&gt;"",$T208,$L208)</x:f>
        <x:v>Maintain change-of-direction performance</x:v>
      </x:c>
      <x:c r="Y208" s="12" t="str">
        <x:f>IF($U208&lt;&gt;"",$U208,$N208)</x:f>
        <x:v>Maintain planned change-of-direction work and progress toward reactive agility. Use low-volume, high-quality exposures with multiple starting and turning strategies.</x:v>
      </x:c>
      <x:c r="Z208" s="12" t="str">
        <x:f>IF($V208&lt;&gt;"",$V208,$O208)</x:f>
        <x:v>RVX Advanced Change of Direction</x:v>
      </x:c>
      <x:c r="AA208" s="12"/>
    </x:row>
    <x:row r="209">
      <x:c r="A209" s="12" t="str">
        <x:v>RVX-00035</x:v>
      </x:c>
      <x:c r="B209" s="12" t="str">
        <x:f>IFERROR(VLOOKUP($A209,Athlete_Profile!$A$2:$L$51,6,FALSE),"")</x:f>
        <x:v>Hockey</x:v>
      </x:c>
      <x:c r="C209" s="12" t="str">
        <x:f>IFERROR(VLOOKUP($A209,Athlete_Profile!$A$2:$L$51,5,FALSE),"")</x:f>
        <x:v>Female</x:v>
      </x:c>
      <x:c r="D209" s="12" t="str">
        <x:v>cmj_depth</x:v>
      </x:c>
      <x:c r="E209" s="12" t="str">
        <x:f>IFERROR(VLOOKUP($D209,Dropdown_Lists!$K$2:$N$7,2,FALSE),"")</x:f>
        <x:v>Countermovement Depth</x:v>
      </x:c>
      <x:c r="F209" s="12" t="str">
        <x:f>IFERROR(VLOOKUP($D209,Dropdown_Lists!$K$2:$N$7,3,FALSE),"")</x:f>
        <x:v>higher</x:v>
      </x:c>
      <x:c r="G209" s="17" t="n">
        <x:f>IFERROR(LOOKUP(2,1/((Performance_Metrics!$A$2:$A$3000=$A209)*(Performance_Metrics!$D$2:$D$3000=$D209)),Performance_Metrics!$C$2:$C$3000),"")</x:f>
        <x:v>46230</x:v>
      </x:c>
      <x:c r="H209" s="12" t="n">
        <x:f>IFERROR(LOOKUP(2,1/((Performance_Metrics!$A$2:$A$3000=$A209)*(Performance_Metrics!$D$2:$D$3000=$D209)),Performance_Metrics!$G$2:$G$3000),"")</x:f>
        <x:v>31.1</x:v>
      </x:c>
      <x:c r="I209" s="12" t="n">
        <x:f>IFERROR(SUMIFS(Normative_Data!$G$2:$G$1000,Normative_Data!$A$2:$A$1000,$B209,Normative_Data!$B$2:$B$1000,$C209,Normative_Data!$E$2:$E$1000,$D209),"")</x:f>
        <x:v>30</x:v>
      </x:c>
      <x:c r="J209" s="18" t="n">
        <x:f>IF(OR($H209="",$I209=""),"",($H209-$I209)/$I209)</x:f>
        <x:v>0.036666666666666715</x:v>
      </x:c>
      <x:c r="K209" s="12" t="str">
        <x:f>IF(OR($H209="",$I209="",$F209=""),"",IF(ABS($J209)&lt;=0.05,"Equal to Norm",IF($F209="lower",IF($H209&lt;$I209,"Above Norm","Below Norm"),IF($H209&gt;$I209,"Above Norm","Below Norm"))))</x:f>
        <x:v>Equal to Norm</x:v>
      </x:c>
      <x:c r="L209" s="12" t="str">
        <x:f>IFERROR(VLOOKUP($D209&amp;"|"&amp;$K209,Recommendation_Lookup!$A$2:$H$19,2,FALSE),"")</x:f>
        <x:v>Optimize countermovement strategy</x:v>
      </x:c>
      <x:c r="M209" s="12" t="str">
        <x:f>IFERROR(VLOOKUP($D209&amp;"|"&amp;$K209,Recommendation_Lookup!$A$2:$H$19,3,FALSE),"")</x:f>
        <x:v>Eccentric control; trunk position; reversal timing; mobility</x:v>
      </x:c>
      <x:c r="N209" s="12" t="str">
        <x:f>IFERROR(VLOOKUP($D209&amp;"|"&amp;$K209,Recommendation_Lookup!$A$2:$H$19,4,FALSE),"")</x:f>
        <x:v>Use controlled countermovement drills and landing-to-jump progressions. Determine whether additional or reduced depth improves the athlete’s overall jump output.</x:v>
      </x:c>
      <x:c r="O209" s="12" t="str">
        <x:f>IFERROR(VLOOKUP($D209&amp;"|"&amp;$K209,Recommendation_Lookup!$A$2:$H$19,5,FALSE),"")</x:f>
        <x:v>RVX Jump Mechanics</x:v>
      </x:c>
      <x:c r="P209" s="12" t="str">
        <x:f>IFERROR(VLOOKUP($D209&amp;"|"&amp;$K209,Recommendation_Lookup!$A$2:$H$19,6,FALSE),"")</x:f>
        <x:v>RVX Eccentric Control</x:v>
      </x:c>
      <x:c r="Q209" s="12" t="str">
        <x:f>IFERROR(VLOOKUP($D209&amp;"|"&amp;$K209,Recommendation_Lookup!$A$2:$H$19,7,FALSE),"")</x:f>
        <x:v>Sit into the movement under control and reverse without losing posture.</x:v>
      </x:c>
      <x:c r="R209" s="12" t="str">
        <x:f>IFERROR(VLOOKUP($D209&amp;"|"&amp;$K209,Recommendation_Lookup!$A$2:$H$19,8,FALSE),"")</x:f>
        <x:v>Retest after 4–6 weeks with jump height and impulse reviewed together.</x:v>
      </x:c>
      <x:c r="S209" s="12"/>
      <x:c r="T209" s="12"/>
      <x:c r="U209" s="12"/>
      <x:c r="V209" s="12"/>
      <x:c r="W209" s="12" t="str">
        <x:f>IF($S209&lt;&gt;"",$S209,$K209)</x:f>
        <x:v>Equal to Norm</x:v>
      </x:c>
      <x:c r="X209" s="12" t="str">
        <x:f>IF($T209&lt;&gt;"",$T209,$L209)</x:f>
        <x:v>Optimize countermovement strategy</x:v>
      </x:c>
      <x:c r="Y209" s="12" t="str">
        <x:f>IF($U209&lt;&gt;"",$U209,$N209)</x:f>
        <x:v>Use controlled countermovement drills and landing-to-jump progressions. Determine whether additional or reduced depth improves the athlete’s overall jump output.</x:v>
      </x:c>
      <x:c r="Z209" s="12" t="str">
        <x:f>IF($V209&lt;&gt;"",$V209,$O209)</x:f>
        <x:v>RVX Jump Mechanics</x:v>
      </x:c>
      <x:c r="AA209" s="12"/>
    </x:row>
    <x:row r="210">
      <x:c r="A210" s="12" t="str">
        <x:v>RVX-00035</x:v>
      </x:c>
      <x:c r="B210" s="12" t="str">
        <x:f>IFERROR(VLOOKUP($A210,Athlete_Profile!$A$2:$L$51,6,FALSE),"")</x:f>
        <x:v>Hockey</x:v>
      </x:c>
      <x:c r="C210" s="12" t="str">
        <x:f>IFERROR(VLOOKUP($A210,Athlete_Profile!$A$2:$L$51,5,FALSE),"")</x:f>
        <x:v>Female</x:v>
      </x:c>
      <x:c r="D210" s="12" t="str">
        <x:v>peak_force</x:v>
      </x:c>
      <x:c r="E210" s="12" t="str">
        <x:f>IFERROR(VLOOKUP($D210,Dropdown_Lists!$K$2:$N$7,2,FALSE),"")</x:f>
        <x:v>Peak Force</x:v>
      </x:c>
      <x:c r="F210" s="12" t="str">
        <x:f>IFERROR(VLOOKUP($D210,Dropdown_Lists!$K$2:$N$7,3,FALSE),"")</x:f>
        <x:v>higher</x:v>
      </x:c>
      <x:c r="G210" s="17" t="n">
        <x:f>IFERROR(LOOKUP(2,1/((Performance_Metrics!$A$2:$A$3000=$A210)*(Performance_Metrics!$D$2:$D$3000=$D210)),Performance_Metrics!$C$2:$C$3000),"")</x:f>
        <x:v>46230</x:v>
      </x:c>
      <x:c r="H210" s="12" t="n">
        <x:f>IFERROR(LOOKUP(2,1/((Performance_Metrics!$A$2:$A$3000=$A210)*(Performance_Metrics!$D$2:$D$3000=$D210)),Performance_Metrics!$G$2:$G$3000),"")</x:f>
        <x:v>1865</x:v>
      </x:c>
      <x:c r="I210" s="12" t="n">
        <x:f>IFERROR(SUMIFS(Normative_Data!$G$2:$G$1000,Normative_Data!$A$2:$A$1000,$B210,Normative_Data!$B$2:$B$1000,$C210,Normative_Data!$E$2:$E$1000,$D210),"")</x:f>
        <x:v>1750</x:v>
      </x:c>
      <x:c r="J210" s="18" t="n">
        <x:f>IF(OR($H210="",$I210=""),"",($H210-$I210)/$I210)</x:f>
        <x:v>0.06571428571428571</x:v>
      </x:c>
      <x:c r="K210" s="12" t="str">
        <x:f>IF(OR($H210="",$I210="",$F210=""),"",IF(ABS($J210)&lt;=0.05,"Equal to Norm",IF($F210="lower",IF($H210&lt;$I210,"Above Norm","Below Norm"),IF($H210&gt;$I210,"Above Norm","Below Norm"))))</x:f>
        <x:v>Above Norm</x:v>
      </x:c>
      <x:c r="L210" s="12" t="str">
        <x:f>IFERROR(VLOOKUP($D210&amp;"|"&amp;$K210,Recommendation_Lookup!$A$2:$H$19,2,FALSE),"")</x:f>
        <x:v>Maintain maximal force qualities</x:v>
      </x:c>
      <x:c r="M210" s="12" t="str">
        <x:f>IFERROR(VLOOKUP($D210&amp;"|"&amp;$K210,Recommendation_Lookup!$A$2:$H$19,3,FALSE),"")</x:f>
        <x:v>Force application speed; asymmetry; fatigue management; sport transfer</x:v>
      </x:c>
      <x:c r="N210" s="12" t="str">
        <x:f>IFERROR(VLOOKUP($D210&amp;"|"&amp;$K210,Recommendation_Lookup!$A$2:$H$19,4,FALSE),"")</x:f>
        <x:v>Maintain maximal force with low-volume strength exposure while shifting selected work toward power and sport-specific application. Monitor asymmetry and fatigue.</x:v>
      </x:c>
      <x:c r="O210" s="12" t="str">
        <x:f>IFERROR(VLOOKUP($D210&amp;"|"&amp;$K210,Recommendation_Lookup!$A$2:$H$19,5,FALSE),"")</x:f>
        <x:v>RVX Advanced Strength-Power</x:v>
      </x:c>
      <x:c r="P210" s="12" t="str">
        <x:f>IFERROR(VLOOKUP($D210&amp;"|"&amp;$K210,Recommendation_Lookup!$A$2:$H$19,6,FALSE),"")</x:f>
        <x:v>RVX Force Maintenance Microdose</x:v>
      </x:c>
      <x:c r="Q210" s="12" t="str">
        <x:f>IFERROR(VLOOKUP($D210&amp;"|"&amp;$K210,Recommendation_Lookup!$A$2:$H$19,7,FALSE),"")</x:f>
        <x:v>Produce high force without losing position or movement speed.</x:v>
      </x:c>
      <x:c r="R210" s="12" t="str">
        <x:f>IFERROR(VLOOKUP($D210&amp;"|"&amp;$K210,Recommendation_Lookup!$A$2:$H$19,8,FALSE),"")</x:f>
        <x:v>Retest every 6–8 weeks or following a strength-power phase.</x:v>
      </x:c>
      <x:c r="S210" s="12"/>
      <x:c r="T210" s="12"/>
      <x:c r="U210" s="12"/>
      <x:c r="V210" s="12"/>
      <x:c r="W210" s="12" t="str">
        <x:f>IF($S210&lt;&gt;"",$S210,$K210)</x:f>
        <x:v>Above Norm</x:v>
      </x:c>
      <x:c r="X210" s="12" t="str">
        <x:f>IF($T210&lt;&gt;"",$T210,$L210)</x:f>
        <x:v>Maintain maximal force qualities</x:v>
      </x:c>
      <x:c r="Y210" s="12" t="str">
        <x:f>IF($U210&lt;&gt;"",$U210,$N210)</x:f>
        <x:v>Maintain maximal force with low-volume strength exposure while shifting selected work toward power and sport-specific application. Monitor asymmetry and fatigue.</x:v>
      </x:c>
      <x:c r="Z210" s="12" t="str">
        <x:f>IF($V210&lt;&gt;"",$V210,$O210)</x:f>
        <x:v>RVX Advanced Strength-Power</x:v>
      </x:c>
      <x:c r="AA210" s="12"/>
    </x:row>
    <x:row r="211">
      <x:c r="A211" s="12" t="str">
        <x:v>RVX-00035</x:v>
      </x:c>
      <x:c r="B211" s="12" t="str">
        <x:f>IFERROR(VLOOKUP($A211,Athlete_Profile!$A$2:$L$51,6,FALSE),"")</x:f>
        <x:v>Hockey</x:v>
      </x:c>
      <x:c r="C211" s="12" t="str">
        <x:f>IFERROR(VLOOKUP($A211,Athlete_Profile!$A$2:$L$51,5,FALSE),"")</x:f>
        <x:v>Female</x:v>
      </x:c>
      <x:c r="D211" s="12" t="str">
        <x:v>impulse</x:v>
      </x:c>
      <x:c r="E211" s="12" t="str">
        <x:f>IFERROR(VLOOKUP($D211,Dropdown_Lists!$K$2:$N$7,2,FALSE),"")</x:f>
        <x:v>Impulse-Momentum</x:v>
      </x:c>
      <x:c r="F211" s="12" t="str">
        <x:f>IFERROR(VLOOKUP($D211,Dropdown_Lists!$K$2:$N$7,3,FALSE),"")</x:f>
        <x:v>higher</x:v>
      </x:c>
      <x:c r="G211" s="17" t="n">
        <x:f>IFERROR(LOOKUP(2,1/((Performance_Metrics!$A$2:$A$3000=$A211)*(Performance_Metrics!$D$2:$D$3000=$D211)),Performance_Metrics!$C$2:$C$3000),"")</x:f>
        <x:v>46230</x:v>
      </x:c>
      <x:c r="H211" s="12" t="n">
        <x:f>IFERROR(LOOKUP(2,1/((Performance_Metrics!$A$2:$A$3000=$A211)*(Performance_Metrics!$D$2:$D$3000=$D211)),Performance_Metrics!$G$2:$G$3000),"")</x:f>
        <x:v>229.7</x:v>
      </x:c>
      <x:c r="I211" s="12" t="n">
        <x:f>IFERROR(SUMIFS(Normative_Data!$G$2:$G$1000,Normative_Data!$A$2:$A$1000,$B211,Normative_Data!$B$2:$B$1000,$C211,Normative_Data!$E$2:$E$1000,$D211),"")</x:f>
        <x:v>215</x:v>
      </x:c>
      <x:c r="J211" s="18" t="n">
        <x:f>IF(OR($H211="",$I211=""),"",($H211-$I211)/$I211)</x:f>
        <x:v>0.06837209302325577</x:v>
      </x:c>
      <x:c r="K211" s="12" t="str">
        <x:f>IF(OR($H211="",$I211="",$F211=""),"",IF(ABS($J211)&lt;=0.05,"Equal to Norm",IF($F211="lower",IF($H211&lt;$I211,"Above Norm","Below Norm"),IF($H211&gt;$I211,"Above Norm","Below Norm"))))</x:f>
        <x:v>Above Norm</x:v>
      </x:c>
      <x:c r="L211" s="12" t="str">
        <x:f>IFERROR(VLOOKUP($D211&amp;"|"&amp;$K211,Recommendation_Lookup!$A$2:$H$19,2,FALSE),"")</x:f>
        <x:v>Maintain total force-time output</x:v>
      </x:c>
      <x:c r="M211" s="12" t="str">
        <x:f>IFERROR(VLOOKUP($D211&amp;"|"&amp;$K211,Recommendation_Lookup!$A$2:$H$19,3,FALSE),"")</x:f>
        <x:v>Rate of force development; movement time; power transfer; fatigue resistance</x:v>
      </x:c>
      <x:c r="N211" s="12" t="str">
        <x:f>IFERROR(VLOOKUP($D211&amp;"|"&amp;$K211,Recommendation_Lookup!$A$2:$H$19,4,FALSE),"")</x:f>
        <x:v>Maintain impulse with strength-power microdosing and varied jump or sprint exposures. Ensure high impulse is achieved efficiently rather than through excessive movement time.</x:v>
      </x:c>
      <x:c r="O211" s="12" t="str">
        <x:f>IFERROR(VLOOKUP($D211&amp;"|"&amp;$K211,Recommendation_Lookup!$A$2:$H$19,5,FALSE),"")</x:f>
        <x:v>RVX Advanced Power Development</x:v>
      </x:c>
      <x:c r="P211" s="12" t="str">
        <x:f>IFERROR(VLOOKUP($D211&amp;"|"&amp;$K211,Recommendation_Lookup!$A$2:$H$19,6,FALSE),"")</x:f>
        <x:v>RVX Elastic Power Microdose</x:v>
      </x:c>
      <x:c r="Q211" s="12" t="str">
        <x:f>IFERROR(VLOOKUP($D211&amp;"|"&amp;$K211,Recommendation_Lookup!$A$2:$H$19,7,FALSE),"")</x:f>
        <x:v>Build force quickly and keep applying it through the full movement.</x:v>
      </x:c>
      <x:c r="R211" s="12" t="str">
        <x:f>IFERROR(VLOOKUP($D211&amp;"|"&amp;$K211,Recommendation_Lookup!$A$2:$H$19,8,FALSE),"")</x:f>
        <x:v>Retest every 6–8 weeks while reviewing contraction time and jump outcome.</x:v>
      </x:c>
      <x:c r="S211" s="12"/>
      <x:c r="T211" s="12"/>
      <x:c r="U211" s="12"/>
      <x:c r="V211" s="12"/>
      <x:c r="W211" s="12" t="str">
        <x:f>IF($S211&lt;&gt;"",$S211,$K211)</x:f>
        <x:v>Above Norm</x:v>
      </x:c>
      <x:c r="X211" s="12" t="str">
        <x:f>IF($T211&lt;&gt;"",$T211,$L211)</x:f>
        <x:v>Maintain total force-time output</x:v>
      </x:c>
      <x:c r="Y211" s="12" t="str">
        <x:f>IF($U211&lt;&gt;"",$U211,$N211)</x:f>
        <x:v>Maintain impulse with strength-power microdosing and varied jump or sprint exposures. Ensure high impulse is achieved efficiently rather than through excessive movement time.</x:v>
      </x:c>
      <x:c r="Z211" s="12" t="str">
        <x:f>IF($V211&lt;&gt;"",$V211,$O211)</x:f>
        <x:v>RVX Advanced Power Development</x:v>
      </x:c>
      <x:c r="AA211" s="12"/>
    </x:row>
    <x:row r="212">
      <x:c r="A212" s="12" t="str">
        <x:v>RVX-00036</x:v>
      </x:c>
      <x:c r="B212" s="12" t="str">
        <x:f>IFERROR(VLOOKUP($A212,Athlete_Profile!$A$2:$L$51,6,FALSE),"")</x:f>
        <x:v>Soccer</x:v>
      </x:c>
      <x:c r="C212" s="12" t="str">
        <x:f>IFERROR(VLOOKUP($A212,Athlete_Profile!$A$2:$L$51,5,FALSE),"")</x:f>
        <x:v>Male</x:v>
      </x:c>
      <x:c r="D212" s="12" t="str">
        <x:v>sprint_5m</x:v>
      </x:c>
      <x:c r="E212" s="12" t="str">
        <x:f>IFERROR(VLOOKUP($D212,Dropdown_Lists!$K$2:$N$7,2,FALSE),"")</x:f>
        <x:v>5m Sprint</x:v>
      </x:c>
      <x:c r="F212" s="12" t="str">
        <x:f>IFERROR(VLOOKUP($D212,Dropdown_Lists!$K$2:$N$7,3,FALSE),"")</x:f>
        <x:v>lower</x:v>
      </x:c>
      <x:c r="G212" s="17" t="n">
        <x:f>IFERROR(LOOKUP(2,1/((Performance_Metrics!$A$2:$A$3000=$A212)*(Performance_Metrics!$D$2:$D$3000=$D212)),Performance_Metrics!$C$2:$C$3000),"")</x:f>
        <x:v>46230</x:v>
      </x:c>
      <x:c r="H212" s="12" t="n">
        <x:f>IFERROR(LOOKUP(2,1/((Performance_Metrics!$A$2:$A$3000=$A212)*(Performance_Metrics!$D$2:$D$3000=$D212)),Performance_Metrics!$G$2:$G$3000),"")</x:f>
        <x:v>1.15</x:v>
      </x:c>
      <x:c r="I212" s="12" t="n">
        <x:f>IFERROR(SUMIFS(Normative_Data!$G$2:$G$1000,Normative_Data!$A$2:$A$1000,$B212,Normative_Data!$B$2:$B$1000,$C212,Normative_Data!$E$2:$E$1000,$D212),"")</x:f>
        <x:v>1.09</x:v>
      </x:c>
      <x:c r="J212" s="18" t="n">
        <x:f>IF(OR($H212="",$I212=""),"",($H212-$I212)/$I212)</x:f>
        <x:v>0.05504587155963287</x:v>
      </x:c>
      <x:c r="K212" s="12" t="str">
        <x:f>IF(OR($H212="",$I212="",$F212=""),"",IF(ABS($J212)&lt;=0.05,"Equal to Norm",IF($F212="lower",IF($H212&lt;$I212,"Above Norm","Below Norm"),IF($H212&gt;$I212,"Above Norm","Below Norm"))))</x:f>
        <x:v>Below Norm</x:v>
      </x:c>
      <x:c r="L212" s="12" t="str">
        <x:f>IFERROR(VLOOKUP($D212&amp;"|"&amp;$K212,Recommendation_Lookup!$A$2:$H$19,2,FALSE),"")</x:f>
        <x:v>Develop first-step acceleration</x:v>
      </x:c>
      <x:c r="M212" s="12" t="str">
        <x:f>IFERROR(VLOOKUP($D212&amp;"|"&amp;$K212,Recommendation_Lookup!$A$2:$H$19,3,FALSE),"")</x:f>
        <x:v>Relative strength; horizontal force; start mechanics; stiffness; coordination</x:v>
      </x:c>
      <x:c r="N212" s="12" t="str">
        <x:f>IFERROR(VLOOKUP($D212&amp;"|"&amp;$K212,Recommendation_Lookup!$A$2:$H$19,4,FALSE),"")</x:f>
        <x:v>Prioritize acceleration fundamentals and lower-body force capacity. Use resisted marches, wall drills, short sled accelerations and controlled 5 m sprint exposures.</x:v>
      </x:c>
      <x:c r="O212" s="12" t="str">
        <x:f>IFERROR(VLOOKUP($D212&amp;"|"&amp;$K212,Recommendation_Lookup!$A$2:$H$19,5,FALSE),"")</x:f>
        <x:v>RVX Acceleration Foundations</x:v>
      </x:c>
      <x:c r="P212" s="12" t="str">
        <x:f>IFERROR(VLOOKUP($D212&amp;"|"&amp;$K212,Recommendation_Lookup!$A$2:$H$19,6,FALSE),"")</x:f>
        <x:v>RVX Lower-Body Strength Foundations</x:v>
      </x:c>
      <x:c r="Q212" s="12" t="str">
        <x:f>IFERROR(VLOOKUP($D212&amp;"|"&amp;$K212,Recommendation_Lookup!$A$2:$H$19,7,FALSE),"")</x:f>
        <x:v>Create a strong angle, drive through the ground, and accelerate with intent.</x:v>
      </x:c>
      <x:c r="R212" s="12" t="str">
        <x:f>IFERROR(VLOOKUP($D212&amp;"|"&amp;$K212,Recommendation_Lookup!$A$2:$H$19,8,FALSE),"")</x:f>
        <x:v>Retest after 4 weeks; review technique video before increasing sprint volume.</x:v>
      </x:c>
      <x:c r="S212" s="12"/>
      <x:c r="T212" s="12"/>
      <x:c r="U212" s="12"/>
      <x:c r="V212" s="12"/>
      <x:c r="W212" s="12" t="str">
        <x:f>IF($S212&lt;&gt;"",$S212,$K212)</x:f>
        <x:v>Below Norm</x:v>
      </x:c>
      <x:c r="X212" s="12" t="str">
        <x:f>IF($T212&lt;&gt;"",$T212,$L212)</x:f>
        <x:v>Develop first-step acceleration</x:v>
      </x:c>
      <x:c r="Y212" s="12" t="str">
        <x:f>IF($U212&lt;&gt;"",$U212,$N212)</x:f>
        <x:v>Prioritize acceleration fundamentals and lower-body force capacity. Use resisted marches, wall drills, short sled accelerations and controlled 5 m sprint exposures.</x:v>
      </x:c>
      <x:c r="Z212" s="12" t="str">
        <x:f>IF($V212&lt;&gt;"",$V212,$O212)</x:f>
        <x:v>RVX Acceleration Foundations</x:v>
      </x:c>
      <x:c r="AA212" s="12"/>
    </x:row>
    <x:row r="213">
      <x:c r="A213" s="12" t="str">
        <x:v>RVX-00036</x:v>
      </x:c>
      <x:c r="B213" s="12" t="str">
        <x:f>IFERROR(VLOOKUP($A213,Athlete_Profile!$A$2:$L$51,6,FALSE),"")</x:f>
        <x:v>Soccer</x:v>
      </x:c>
      <x:c r="C213" s="12" t="str">
        <x:f>IFERROR(VLOOKUP($A213,Athlete_Profile!$A$2:$L$51,5,FALSE),"")</x:f>
        <x:v>Male</x:v>
      </x:c>
      <x:c r="D213" s="12" t="str">
        <x:v>sprint_10m</x:v>
      </x:c>
      <x:c r="E213" s="12" t="str">
        <x:f>IFERROR(VLOOKUP($D213,Dropdown_Lists!$K$2:$N$7,2,FALSE),"")</x:f>
        <x:v>10m Sprint</x:v>
      </x:c>
      <x:c r="F213" s="12" t="str">
        <x:f>IFERROR(VLOOKUP($D213,Dropdown_Lists!$K$2:$N$7,3,FALSE),"")</x:f>
        <x:v>lower</x:v>
      </x:c>
      <x:c r="G213" s="17" t="n">
        <x:f>IFERROR(LOOKUP(2,1/((Performance_Metrics!$A$2:$A$3000=$A213)*(Performance_Metrics!$D$2:$D$3000=$D213)),Performance_Metrics!$C$2:$C$3000),"")</x:f>
        <x:v>46230</x:v>
      </x:c>
      <x:c r="H213" s="12" t="n">
        <x:f>IFERROR(LOOKUP(2,1/((Performance_Metrics!$A$2:$A$3000=$A213)*(Performance_Metrics!$D$2:$D$3000=$D213)),Performance_Metrics!$G$2:$G$3000),"")</x:f>
        <x:v>1.96</x:v>
      </x:c>
      <x:c r="I213" s="12" t="n">
        <x:f>IFERROR(SUMIFS(Normative_Data!$G$2:$G$1000,Normative_Data!$A$2:$A$1000,$B213,Normative_Data!$B$2:$B$1000,$C213,Normative_Data!$E$2:$E$1000,$D213),"")</x:f>
        <x:v>1.83</x:v>
      </x:c>
      <x:c r="J213" s="18" t="n">
        <x:f>IF(OR($H213="",$I213=""),"",($H213-$I213)/$I213)</x:f>
        <x:v>0.07103825136612016</x:v>
      </x:c>
      <x:c r="K213" s="12" t="str">
        <x:f>IF(OR($H213="",$I213="",$F213=""),"",IF(ABS($J213)&lt;=0.05,"Equal to Norm",IF($F213="lower",IF($H213&lt;$I213,"Above Norm","Below Norm"),IF($H213&gt;$I213,"Above Norm","Below Norm"))))</x:f>
        <x:v>Below Norm</x:v>
      </x:c>
      <x:c r="L213" s="12" t="str">
        <x:f>IFERROR(VLOOKUP($D213&amp;"|"&amp;$K213,Recommendation_Lookup!$A$2:$H$19,2,FALSE),"")</x:f>
        <x:v>Develop 0–10 m speed</x:v>
      </x:c>
      <x:c r="M213" s="12" t="str">
        <x:f>IFERROR(VLOOKUP($D213&amp;"|"&amp;$K213,Recommendation_Lookup!$A$2:$H$19,3,FALSE),"")</x:f>
        <x:v>Relative strength; first-step mechanics; force application; acceleration endurance</x:v>
      </x:c>
      <x:c r="N213" s="12" t="str">
        <x:f>IFERROR(VLOOKUP($D213&amp;"|"&amp;$K213,Recommendation_Lookup!$A$2:$H$19,4,FALSE),"")</x:f>
        <x:v>Use a foundational acceleration block paired with strength development. Limit sprint distances initially and improve the quality of each step before adding volume.</x:v>
      </x:c>
      <x:c r="O213" s="12" t="str">
        <x:f>IFERROR(VLOOKUP($D213&amp;"|"&amp;$K213,Recommendation_Lookup!$A$2:$H$19,5,FALSE),"")</x:f>
        <x:v>RVX Acceleration Foundations</x:v>
      </x:c>
      <x:c r="P213" s="12" t="str">
        <x:f>IFERROR(VLOOKUP($D213&amp;"|"&amp;$K213,Recommendation_Lookup!$A$2:$H$19,6,FALSE),"")</x:f>
        <x:v>RVX Relative Strength Builder</x:v>
      </x:c>
      <x:c r="Q213" s="12" t="str">
        <x:f>IFERROR(VLOOKUP($D213&amp;"|"&amp;$K213,Recommendation_Lookup!$A$2:$H$19,7,FALSE),"")</x:f>
        <x:v>Push longer, maintain posture and create force in the correct direction.</x:v>
      </x:c>
      <x:c r="R213" s="12" t="str">
        <x:f>IFERROR(VLOOKUP($D213&amp;"|"&amp;$K213,Recommendation_Lookup!$A$2:$H$19,8,FALSE),"")</x:f>
        <x:v>Retest in 4 weeks and compare 5 m versus 10 m split changes.</x:v>
      </x:c>
      <x:c r="S213" s="12"/>
      <x:c r="T213" s="12"/>
      <x:c r="U213" s="12"/>
      <x:c r="V213" s="12"/>
      <x:c r="W213" s="12" t="str">
        <x:f>IF($S213&lt;&gt;"",$S213,$K213)</x:f>
        <x:v>Below Norm</x:v>
      </x:c>
      <x:c r="X213" s="12" t="str">
        <x:f>IF($T213&lt;&gt;"",$T213,$L213)</x:f>
        <x:v>Develop 0–10 m speed</x:v>
      </x:c>
      <x:c r="Y213" s="12" t="str">
        <x:f>IF($U213&lt;&gt;"",$U213,$N213)</x:f>
        <x:v>Use a foundational acceleration block paired with strength development. Limit sprint distances initially and improve the quality of each step before adding volume.</x:v>
      </x:c>
      <x:c r="Z213" s="12" t="str">
        <x:f>IF($V213&lt;&gt;"",$V213,$O213)</x:f>
        <x:v>RVX Acceleration Foundations</x:v>
      </x:c>
      <x:c r="AA213" s="12"/>
    </x:row>
    <x:row r="214">
      <x:c r="A214" s="12" t="str">
        <x:v>RVX-00036</x:v>
      </x:c>
      <x:c r="B214" s="12" t="str">
        <x:f>IFERROR(VLOOKUP($A214,Athlete_Profile!$A$2:$L$51,6,FALSE),"")</x:f>
        <x:v>Soccer</x:v>
      </x:c>
      <x:c r="C214" s="12" t="str">
        <x:f>IFERROR(VLOOKUP($A214,Athlete_Profile!$A$2:$L$51,5,FALSE),"")</x:f>
        <x:v>Male</x:v>
      </x:c>
      <x:c r="D214" s="12" t="str">
        <x:v>pro_agility</x:v>
      </x:c>
      <x:c r="E214" s="12" t="str">
        <x:f>IFERROR(VLOOKUP($D214,Dropdown_Lists!$K$2:$N$7,2,FALSE),"")</x:f>
        <x:v>5-10-5 Pro Agility</x:v>
      </x:c>
      <x:c r="F214" s="12" t="str">
        <x:f>IFERROR(VLOOKUP($D214,Dropdown_Lists!$K$2:$N$7,3,FALSE),"")</x:f>
        <x:v>lower</x:v>
      </x:c>
      <x:c r="G214" s="17" t="n">
        <x:f>IFERROR(LOOKUP(2,1/((Performance_Metrics!$A$2:$A$3000=$A214)*(Performance_Metrics!$D$2:$D$3000=$D214)),Performance_Metrics!$C$2:$C$3000),"")</x:f>
        <x:v>46230</x:v>
      </x:c>
      <x:c r="H214" s="12" t="n">
        <x:f>IFERROR(LOOKUP(2,1/((Performance_Metrics!$A$2:$A$3000=$A214)*(Performance_Metrics!$D$2:$D$3000=$D214)),Performance_Metrics!$G$2:$G$3000),"")</x:f>
        <x:v>4.93</x:v>
      </x:c>
      <x:c r="I214" s="12" t="n">
        <x:f>IFERROR(SUMIFS(Normative_Data!$G$2:$G$1000,Normative_Data!$A$2:$A$1000,$B214,Normative_Data!$B$2:$B$1000,$C214,Normative_Data!$E$2:$E$1000,$D214),"")</x:f>
        <x:v>4.7</x:v>
      </x:c>
      <x:c r="J214" s="18" t="n">
        <x:f>IF(OR($H214="",$I214=""),"",($H214-$I214)/$I214)</x:f>
        <x:v>0.048936170212765855</x:v>
      </x:c>
      <x:c r="K214" s="12" t="str">
        <x:f>IF(OR($H214="",$I214="",$F214=""),"",IF(ABS($J214)&lt;=0.05,"Equal to Norm",IF($F214="lower",IF($H214&lt;$I214,"Above Norm","Below Norm"),IF($H214&gt;$I214,"Above Norm","Below Norm"))))</x:f>
        <x:v>Equal to Norm</x:v>
      </x:c>
      <x:c r="L214" s="12" t="str">
        <x:f>IFERROR(VLOOKUP($D214&amp;"|"&amp;$K214,Recommendation_Lookup!$A$2:$H$19,2,FALSE),"")</x:f>
        <x:v>Improve braking and re-acceleration</x:v>
      </x:c>
      <x:c r="M214" s="12" t="str">
        <x:f>IFERROR(VLOOKUP($D214&amp;"|"&amp;$K214,Recommendation_Lookup!$A$2:$H$19,3,FALSE),"")</x:f>
        <x:v>Deceleration mechanics; foot placement; hip position; crossover efficiency</x:v>
      </x:c>
      <x:c r="N214" s="12" t="str">
        <x:f>IFERROR(VLOOKUP($D214&amp;"|"&amp;$K214,Recommendation_Lookup!$A$2:$H$19,4,FALSE),"")</x:f>
        <x:v>Use a structured change-of-direction block emphasizing braking positions, plant-foot control and efficient re-acceleration on both sides.</x:v>
      </x:c>
      <x:c r="O214" s="12" t="str">
        <x:f>IFERROR(VLOOKUP($D214&amp;"|"&amp;$K214,Recommendation_Lookup!$A$2:$H$19,5,FALSE),"")</x:f>
        <x:v>RVX Change of Direction Development</x:v>
      </x:c>
      <x:c r="P214" s="12" t="str">
        <x:f>IFERROR(VLOOKUP($D214&amp;"|"&amp;$K214,Recommendation_Lookup!$A$2:$H$19,6,FALSE),"")</x:f>
        <x:v>RVX Deceleration Mechanics</x:v>
      </x:c>
      <x:c r="Q214" s="12" t="str">
        <x:f>IFERROR(VLOOKUP($D214&amp;"|"&amp;$K214,Recommendation_Lookup!$A$2:$H$19,7,FALSE),"")</x:f>
        <x:v>Lower the centre of mass before the turn and push away from the plant.</x:v>
      </x:c>
      <x:c r="R214" s="12" t="str">
        <x:f>IFERROR(VLOOKUP($D214&amp;"|"&amp;$K214,Recommendation_Lookup!$A$2:$H$19,8,FALSE),"")</x:f>
        <x:v>Retest after 4–6 weeks and review directional splits if available.</x:v>
      </x:c>
      <x:c r="S214" s="12"/>
      <x:c r="T214" s="12"/>
      <x:c r="U214" s="12"/>
      <x:c r="V214" s="12"/>
      <x:c r="W214" s="12" t="str">
        <x:f>IF($S214&lt;&gt;"",$S214,$K214)</x:f>
        <x:v>Equal to Norm</x:v>
      </x:c>
      <x:c r="X214" s="12" t="str">
        <x:f>IF($T214&lt;&gt;"",$T214,$L214)</x:f>
        <x:v>Improve braking and re-acceleration</x:v>
      </x:c>
      <x:c r="Y214" s="12" t="str">
        <x:f>IF($U214&lt;&gt;"",$U214,$N214)</x:f>
        <x:v>Use a structured change-of-direction block emphasizing braking positions, plant-foot control and efficient re-acceleration on both sides.</x:v>
      </x:c>
      <x:c r="Z214" s="12" t="str">
        <x:f>IF($V214&lt;&gt;"",$V214,$O214)</x:f>
        <x:v>RVX Change of Direction Development</x:v>
      </x:c>
      <x:c r="AA214" s="12"/>
    </x:row>
    <x:row r="215">
      <x:c r="A215" s="12" t="str">
        <x:v>RVX-00036</x:v>
      </x:c>
      <x:c r="B215" s="12" t="str">
        <x:f>IFERROR(VLOOKUP($A215,Athlete_Profile!$A$2:$L$51,6,FALSE),"")</x:f>
        <x:v>Soccer</x:v>
      </x:c>
      <x:c r="C215" s="12" t="str">
        <x:f>IFERROR(VLOOKUP($A215,Athlete_Profile!$A$2:$L$51,5,FALSE),"")</x:f>
        <x:v>Male</x:v>
      </x:c>
      <x:c r="D215" s="12" t="str">
        <x:v>cmj_depth</x:v>
      </x:c>
      <x:c r="E215" s="12" t="str">
        <x:f>IFERROR(VLOOKUP($D215,Dropdown_Lists!$K$2:$N$7,2,FALSE),"")</x:f>
        <x:v>Countermovement Depth</x:v>
      </x:c>
      <x:c r="F215" s="12" t="str">
        <x:f>IFERROR(VLOOKUP($D215,Dropdown_Lists!$K$2:$N$7,3,FALSE),"")</x:f>
        <x:v>higher</x:v>
      </x:c>
      <x:c r="G215" s="17" t="n">
        <x:f>IFERROR(LOOKUP(2,1/((Performance_Metrics!$A$2:$A$3000=$A215)*(Performance_Metrics!$D$2:$D$3000=$D215)),Performance_Metrics!$C$2:$C$3000),"")</x:f>
        <x:v>46230</x:v>
      </x:c>
      <x:c r="H215" s="12" t="n">
        <x:f>IFERROR(LOOKUP(2,1/((Performance_Metrics!$A$2:$A$3000=$A215)*(Performance_Metrics!$D$2:$D$3000=$D215)),Performance_Metrics!$G$2:$G$3000),"")</x:f>
        <x:v>30.1</x:v>
      </x:c>
      <x:c r="I215" s="12" t="n">
        <x:f>IFERROR(SUMIFS(Normative_Data!$G$2:$G$1000,Normative_Data!$A$2:$A$1000,$B215,Normative_Data!$B$2:$B$1000,$C215,Normative_Data!$E$2:$E$1000,$D215),"")</x:f>
        <x:v>31.35</x:v>
      </x:c>
      <x:c r="J215" s="18" t="n">
        <x:f>IF(OR($H215="",$I215=""),"",($H215-$I215)/$I215)</x:f>
        <x:v>-0.03987240829346092</x:v>
      </x:c>
      <x:c r="K215" s="12" t="str">
        <x:f>IF(OR($H215="",$I215="",$F215=""),"",IF(ABS($J215)&lt;=0.05,"Equal to Norm",IF($F215="lower",IF($H215&lt;$I215,"Above Norm","Below Norm"),IF($H215&gt;$I215,"Above Norm","Below Norm"))))</x:f>
        <x:v>Equal to Norm</x:v>
      </x:c>
      <x:c r="L215" s="12" t="str">
        <x:f>IFERROR(VLOOKUP($D215&amp;"|"&amp;$K215,Recommendation_Lookup!$A$2:$H$19,2,FALSE),"")</x:f>
        <x:v>Optimize countermovement strategy</x:v>
      </x:c>
      <x:c r="M215" s="12" t="str">
        <x:f>IFERROR(VLOOKUP($D215&amp;"|"&amp;$K215,Recommendation_Lookup!$A$2:$H$19,3,FALSE),"")</x:f>
        <x:v>Eccentric control; trunk position; reversal timing; mobility</x:v>
      </x:c>
      <x:c r="N215" s="12" t="str">
        <x:f>IFERROR(VLOOKUP($D215&amp;"|"&amp;$K215,Recommendation_Lookup!$A$2:$H$19,4,FALSE),"")</x:f>
        <x:v>Use controlled countermovement drills and landing-to-jump progressions. Determine whether additional or reduced depth improves the athlete’s overall jump output.</x:v>
      </x:c>
      <x:c r="O215" s="12" t="str">
        <x:f>IFERROR(VLOOKUP($D215&amp;"|"&amp;$K215,Recommendation_Lookup!$A$2:$H$19,5,FALSE),"")</x:f>
        <x:v>RVX Jump Mechanics</x:v>
      </x:c>
      <x:c r="P215" s="12" t="str">
        <x:f>IFERROR(VLOOKUP($D215&amp;"|"&amp;$K215,Recommendation_Lookup!$A$2:$H$19,6,FALSE),"")</x:f>
        <x:v>RVX Eccentric Control</x:v>
      </x:c>
      <x:c r="Q215" s="12" t="str">
        <x:f>IFERROR(VLOOKUP($D215&amp;"|"&amp;$K215,Recommendation_Lookup!$A$2:$H$19,7,FALSE),"")</x:f>
        <x:v>Sit into the movement under control and reverse without losing posture.</x:v>
      </x:c>
      <x:c r="R215" s="12" t="str">
        <x:f>IFERROR(VLOOKUP($D215&amp;"|"&amp;$K215,Recommendation_Lookup!$A$2:$H$19,8,FALSE),"")</x:f>
        <x:v>Retest after 4–6 weeks with jump height and impulse reviewed together.</x:v>
      </x:c>
      <x:c r="S215" s="12"/>
      <x:c r="T215" s="12"/>
      <x:c r="U215" s="12"/>
      <x:c r="V215" s="12"/>
      <x:c r="W215" s="12" t="str">
        <x:f>IF($S215&lt;&gt;"",$S215,$K215)</x:f>
        <x:v>Equal to Norm</x:v>
      </x:c>
      <x:c r="X215" s="12" t="str">
        <x:f>IF($T215&lt;&gt;"",$T215,$L215)</x:f>
        <x:v>Optimize countermovement strategy</x:v>
      </x:c>
      <x:c r="Y215" s="12" t="str">
        <x:f>IF($U215&lt;&gt;"",$U215,$N215)</x:f>
        <x:v>Use controlled countermovement drills and landing-to-jump progressions. Determine whether additional or reduced depth improves the athlete’s overall jump output.</x:v>
      </x:c>
      <x:c r="Z215" s="12" t="str">
        <x:f>IF($V215&lt;&gt;"",$V215,$O215)</x:f>
        <x:v>RVX Jump Mechanics</x:v>
      </x:c>
      <x:c r="AA215" s="12"/>
    </x:row>
    <x:row r="216">
      <x:c r="A216" s="12" t="str">
        <x:v>RVX-00036</x:v>
      </x:c>
      <x:c r="B216" s="12" t="str">
        <x:f>IFERROR(VLOOKUP($A216,Athlete_Profile!$A$2:$L$51,6,FALSE),"")</x:f>
        <x:v>Soccer</x:v>
      </x:c>
      <x:c r="C216" s="12" t="str">
        <x:f>IFERROR(VLOOKUP($A216,Athlete_Profile!$A$2:$L$51,5,FALSE),"")</x:f>
        <x:v>Male</x:v>
      </x:c>
      <x:c r="D216" s="12" t="str">
        <x:v>peak_force</x:v>
      </x:c>
      <x:c r="E216" s="12" t="str">
        <x:f>IFERROR(VLOOKUP($D216,Dropdown_Lists!$K$2:$N$7,2,FALSE),"")</x:f>
        <x:v>Peak Force</x:v>
      </x:c>
      <x:c r="F216" s="12" t="str">
        <x:f>IFERROR(VLOOKUP($D216,Dropdown_Lists!$K$2:$N$7,3,FALSE),"")</x:f>
        <x:v>higher</x:v>
      </x:c>
      <x:c r="G216" s="17" t="n">
        <x:f>IFERROR(LOOKUP(2,1/((Performance_Metrics!$A$2:$A$3000=$A216)*(Performance_Metrics!$D$2:$D$3000=$D216)),Performance_Metrics!$C$2:$C$3000),"")</x:f>
        <x:v>46230</x:v>
      </x:c>
      <x:c r="H216" s="12" t="n">
        <x:f>IFERROR(LOOKUP(2,1/((Performance_Metrics!$A$2:$A$3000=$A216)*(Performance_Metrics!$D$2:$D$3000=$D216)),Performance_Metrics!$G$2:$G$3000),"")</x:f>
        <x:v>1710</x:v>
      </x:c>
      <x:c r="I216" s="12" t="n">
        <x:f>IFERROR(SUMIFS(Normative_Data!$G$2:$G$1000,Normative_Data!$A$2:$A$1000,$B216,Normative_Data!$B$2:$B$1000,$C216,Normative_Data!$E$2:$E$1000,$D216),"")</x:f>
        <x:v>1828.75</x:v>
      </x:c>
      <x:c r="J216" s="18" t="n">
        <x:f>IF(OR($H216="",$I216=""),"",($H216-$I216)/$I216)</x:f>
        <x:v>-0.06493506493506493</x:v>
      </x:c>
      <x:c r="K216" s="12" t="str">
        <x:f>IF(OR($H216="",$I216="",$F216=""),"",IF(ABS($J216)&lt;=0.05,"Equal to Norm",IF($F216="lower",IF($H216&lt;$I216,"Above Norm","Below Norm"),IF($H216&gt;$I216,"Above Norm","Below Norm"))))</x:f>
        <x:v>Below Norm</x:v>
      </x:c>
      <x:c r="L216" s="12" t="str">
        <x:f>IFERROR(VLOOKUP($D216&amp;"|"&amp;$K216,Recommendation_Lookup!$A$2:$H$19,2,FALSE),"")</x:f>
        <x:v>Build foundational force production</x:v>
      </x:c>
      <x:c r="M216" s="12" t="str">
        <x:f>IFERROR(VLOOKUP($D216&amp;"|"&amp;$K216,Recommendation_Lookup!$A$2:$H$19,3,FALSE),"")</x:f>
        <x:v>Relative strength; technique; tendon capacity; trunk stability; unilateral strength</x:v>
      </x:c>
      <x:c r="N216" s="12" t="str">
        <x:f>IFERROR(VLOOKUP($D216&amp;"|"&amp;$K216,Recommendation_Lookup!$A$2:$H$19,4,FALSE),"")</x:f>
        <x:v>Prioritize foundational strength and positional competency. Use progressive resistance, isometrics and unilateral patterns before advanced power methods.</x:v>
      </x:c>
      <x:c r="O216" s="12" t="str">
        <x:f>IFERROR(VLOOKUP($D216&amp;"|"&amp;$K216,Recommendation_Lookup!$A$2:$H$19,5,FALSE),"")</x:f>
        <x:v>RVX Strength Foundations</x:v>
      </x:c>
      <x:c r="P216" s="12" t="str">
        <x:f>IFERROR(VLOOKUP($D216&amp;"|"&amp;$K216,Recommendation_Lookup!$A$2:$H$19,6,FALSE),"")</x:f>
        <x:v>RVX Lower-Body Capacity</x:v>
      </x:c>
      <x:c r="Q216" s="12" t="str">
        <x:f>IFERROR(VLOOKUP($D216&amp;"|"&amp;$K216,Recommendation_Lookup!$A$2:$H$19,7,FALSE),"")</x:f>
        <x:v>Own the position first, then increase force with consistent intent.</x:v>
      </x:c>
      <x:c r="R216" s="12" t="str">
        <x:f>IFERROR(VLOOKUP($D216&amp;"|"&amp;$K216,Recommendation_Lookup!$A$2:$H$19,8,FALSE),"")</x:f>
        <x:v>Retest after 4–6 weeks; review body-mass-relative force when possible.</x:v>
      </x:c>
      <x:c r="S216" s="12"/>
      <x:c r="T216" s="12"/>
      <x:c r="U216" s="12"/>
      <x:c r="V216" s="12"/>
      <x:c r="W216" s="12" t="str">
        <x:f>IF($S216&lt;&gt;"",$S216,$K216)</x:f>
        <x:v>Below Norm</x:v>
      </x:c>
      <x:c r="X216" s="12" t="str">
        <x:f>IF($T216&lt;&gt;"",$T216,$L216)</x:f>
        <x:v>Build foundational force production</x:v>
      </x:c>
      <x:c r="Y216" s="12" t="str">
        <x:f>IF($U216&lt;&gt;"",$U216,$N216)</x:f>
        <x:v>Prioritize foundational strength and positional competency. Use progressive resistance, isometrics and unilateral patterns before advanced power methods.</x:v>
      </x:c>
      <x:c r="Z216" s="12" t="str">
        <x:f>IF($V216&lt;&gt;"",$V216,$O216)</x:f>
        <x:v>RVX Strength Foundations</x:v>
      </x:c>
      <x:c r="AA216" s="12"/>
    </x:row>
    <x:row r="217">
      <x:c r="A217" s="12" t="str">
        <x:v>RVX-00036</x:v>
      </x:c>
      <x:c r="B217" s="12" t="str">
        <x:f>IFERROR(VLOOKUP($A217,Athlete_Profile!$A$2:$L$51,6,FALSE),"")</x:f>
        <x:v>Soccer</x:v>
      </x:c>
      <x:c r="C217" s="12" t="str">
        <x:f>IFERROR(VLOOKUP($A217,Athlete_Profile!$A$2:$L$51,5,FALSE),"")</x:f>
        <x:v>Male</x:v>
      </x:c>
      <x:c r="D217" s="12" t="str">
        <x:v>impulse</x:v>
      </x:c>
      <x:c r="E217" s="12" t="str">
        <x:f>IFERROR(VLOOKUP($D217,Dropdown_Lists!$K$2:$N$7,2,FALSE),"")</x:f>
        <x:v>Impulse-Momentum</x:v>
      </x:c>
      <x:c r="F217" s="12" t="str">
        <x:f>IFERROR(VLOOKUP($D217,Dropdown_Lists!$K$2:$N$7,3,FALSE),"")</x:f>
        <x:v>higher</x:v>
      </x:c>
      <x:c r="G217" s="17" t="n">
        <x:f>IFERROR(LOOKUP(2,1/((Performance_Metrics!$A$2:$A$3000=$A217)*(Performance_Metrics!$D$2:$D$3000=$D217)),Performance_Metrics!$C$2:$C$3000),"")</x:f>
        <x:v>46230</x:v>
      </x:c>
      <x:c r="H217" s="12" t="n">
        <x:f>IFERROR(LOOKUP(2,1/((Performance_Metrics!$A$2:$A$3000=$A217)*(Performance_Metrics!$D$2:$D$3000=$D217)),Performance_Metrics!$G$2:$G$3000),"")</x:f>
        <x:v>209.1</x:v>
      </x:c>
      <x:c r="I217" s="12" t="n">
        <x:f>IFERROR(SUMIFS(Normative_Data!$G$2:$G$1000,Normative_Data!$A$2:$A$1000,$B217,Normative_Data!$B$2:$B$1000,$C217,Normative_Data!$E$2:$E$1000,$D217),"")</x:f>
        <x:v>224.68</x:v>
      </x:c>
      <x:c r="J217" s="18" t="n">
        <x:f>IF(OR($H217="",$I217=""),"",($H217-$I217)/$I217)</x:f>
        <x:v>-0.06934306569343071</x:v>
      </x:c>
      <x:c r="K217" s="12" t="str">
        <x:f>IF(OR($H217="",$I217="",$F217=""),"",IF(ABS($J217)&lt;=0.05,"Equal to Norm",IF($F217="lower",IF($H217&lt;$I217,"Above Norm","Below Norm"),IF($H217&gt;$I217,"Above Norm","Below Norm"))))</x:f>
        <x:v>Below Norm</x:v>
      </x:c>
      <x:c r="L217" s="12" t="str">
        <x:f>IFERROR(VLOOKUP($D217&amp;"|"&amp;$K217,Recommendation_Lookup!$A$2:$H$19,2,FALSE),"")</x:f>
        <x:v>Develop force-time capacity</x:v>
      </x:c>
      <x:c r="M217" s="12" t="str">
        <x:f>IFERROR(VLOOKUP($D217&amp;"|"&amp;$K217,Recommendation_Lookup!$A$2:$H$19,3,FALSE),"")</x:f>
        <x:v>Maximal strength; eccentric control; concentric force; movement coordination</x:v>
      </x:c>
      <x:c r="N217" s="12" t="str">
        <x:f>IFERROR(VLOOKUP($D217&amp;"|"&amp;$K217,Recommendation_Lookup!$A$2:$H$19,4,FALSE),"")</x:f>
        <x:v>Build foundational force production before progressing to advanced plyometrics. Pair strength work with controlled jumps and explosive intent at appropriate loads.</x:v>
      </x:c>
      <x:c r="O217" s="12" t="str">
        <x:f>IFERROR(VLOOKUP($D217&amp;"|"&amp;$K217,Recommendation_Lookup!$A$2:$H$19,5,FALSE),"")</x:f>
        <x:v>RVX Power Foundations</x:v>
      </x:c>
      <x:c r="P217" s="12" t="str">
        <x:f>IFERROR(VLOOKUP($D217&amp;"|"&amp;$K217,Recommendation_Lookup!$A$2:$H$19,6,FALSE),"")</x:f>
        <x:v>RVX Strength Foundations</x:v>
      </x:c>
      <x:c r="Q217" s="12" t="str">
        <x:f>IFERROR(VLOOKUP($D217&amp;"|"&amp;$K217,Recommendation_Lookup!$A$2:$H$19,7,FALSE),"")</x:f>
        <x:v>Control the loading phase, then drive through the entire push with intent.</x:v>
      </x:c>
      <x:c r="R217" s="12" t="str">
        <x:f>IFERROR(VLOOKUP($D217&amp;"|"&amp;$K217,Recommendation_Lookup!$A$2:$H$19,8,FALSE),"")</x:f>
        <x:v>Retest after 4 weeks and review peak force, depth and movement time together.</x:v>
      </x:c>
      <x:c r="S217" s="12"/>
      <x:c r="T217" s="12"/>
      <x:c r="U217" s="12"/>
      <x:c r="V217" s="12"/>
      <x:c r="W217" s="12" t="str">
        <x:f>IF($S217&lt;&gt;"",$S217,$K217)</x:f>
        <x:v>Below Norm</x:v>
      </x:c>
      <x:c r="X217" s="12" t="str">
        <x:f>IF($T217&lt;&gt;"",$T217,$L217)</x:f>
        <x:v>Develop force-time capacity</x:v>
      </x:c>
      <x:c r="Y217" s="12" t="str">
        <x:f>IF($U217&lt;&gt;"",$U217,$N217)</x:f>
        <x:v>Build foundational force production before progressing to advanced plyometrics. Pair strength work with controlled jumps and explosive intent at appropriate loads.</x:v>
      </x:c>
      <x:c r="Z217" s="12" t="str">
        <x:f>IF($V217&lt;&gt;"",$V217,$O217)</x:f>
        <x:v>RVX Power Foundations</x:v>
      </x:c>
      <x:c r="AA217" s="12"/>
    </x:row>
    <x:row r="218">
      <x:c r="A218" s="12" t="str">
        <x:v>RVX-00037</x:v>
      </x:c>
      <x:c r="B218" s="12" t="str">
        <x:f>IFERROR(VLOOKUP($A218,Athlete_Profile!$A$2:$L$51,6,FALSE),"")</x:f>
        <x:v>Soccer</x:v>
      </x:c>
      <x:c r="C218" s="12" t="str">
        <x:f>IFERROR(VLOOKUP($A218,Athlete_Profile!$A$2:$L$51,5,FALSE),"")</x:f>
        <x:v>Female</x:v>
      </x:c>
      <x:c r="D218" s="12" t="str">
        <x:v>sprint_5m</x:v>
      </x:c>
      <x:c r="E218" s="12" t="str">
        <x:f>IFERROR(VLOOKUP($D218,Dropdown_Lists!$K$2:$N$7,2,FALSE),"")</x:f>
        <x:v>5m Sprint</x:v>
      </x:c>
      <x:c r="F218" s="12" t="str">
        <x:f>IFERROR(VLOOKUP($D218,Dropdown_Lists!$K$2:$N$7,3,FALSE),"")</x:f>
        <x:v>lower</x:v>
      </x:c>
      <x:c r="G218" s="17" t="n">
        <x:f>IFERROR(LOOKUP(2,1/((Performance_Metrics!$A$2:$A$3000=$A218)*(Performance_Metrics!$D$2:$D$3000=$D218)),Performance_Metrics!$C$2:$C$3000),"")</x:f>
        <x:v>46230</x:v>
      </x:c>
      <x:c r="H218" s="12" t="n">
        <x:f>IFERROR(LOOKUP(2,1/((Performance_Metrics!$A$2:$A$3000=$A218)*(Performance_Metrics!$D$2:$D$3000=$D218)),Performance_Metrics!$G$2:$G$3000),"")</x:f>
        <x:v>0.98</x:v>
      </x:c>
      <x:c r="I218" s="12" t="n">
        <x:f>IFERROR(SUMIFS(Normative_Data!$G$2:$G$1000,Normative_Data!$A$2:$A$1000,$B218,Normative_Data!$B$2:$B$1000,$C218,Normative_Data!$E$2:$E$1000,$D218),"")</x:f>
        <x:v>1.14</x:v>
      </x:c>
      <x:c r="J218" s="18" t="n">
        <x:f>IF(OR($H218="",$I218=""),"",($H218-$I218)/$I218)</x:f>
        <x:v>-0.1403508771929824</x:v>
      </x:c>
      <x:c r="K218" s="12" t="str">
        <x:f>IF(OR($H218="",$I218="",$F218=""),"",IF(ABS($J218)&lt;=0.05,"Equal to Norm",IF($F218="lower",IF($H218&lt;$I218,"Above Norm","Below Norm"),IF($H218&gt;$I218,"Above Norm","Below Norm"))))</x:f>
        <x:v>Above Norm</x:v>
      </x:c>
      <x:c r="L218" s="12" t="str">
        <x:f>IFERROR(VLOOKUP($D218&amp;"|"&amp;$K218,Recommendation_Lookup!$A$2:$H$19,2,FALSE),"")</x:f>
        <x:v>Maintain first-step explosiveness</x:v>
      </x:c>
      <x:c r="M218" s="12" t="str">
        <x:f>IFERROR(VLOOKUP($D218&amp;"|"&amp;$K218,Recommendation_Lookup!$A$2:$H$19,3,FALSE),"")</x:f>
        <x:v>Start consistency; projection angle; horizontal force; reaction quality</x:v>
      </x:c>
      <x:c r="N218" s="12" t="str">
        <x:f>IFERROR(VLOOKUP($D218&amp;"|"&amp;$K218,Recommendation_Lookup!$A$2:$H$19,4,FALSE),"")</x:f>
        <x:v>Maintain speed with low-volume, high-quality acceleration exposures. Avoid unnecessary volume that could reduce sprint quality. Progress through resisted and reactive starts while preserving mechanics.</x:v>
      </x:c>
      <x:c r="O218" s="12" t="str">
        <x:f>IFERROR(VLOOKUP($D218&amp;"|"&amp;$K218,Recommendation_Lookup!$A$2:$H$19,5,FALSE),"")</x:f>
        <x:v>RVX Advanced Acceleration</x:v>
      </x:c>
      <x:c r="P218" s="12" t="str">
        <x:f>IFERROR(VLOOKUP($D218&amp;"|"&amp;$K218,Recommendation_Lookup!$A$2:$H$19,6,FALSE),"")</x:f>
        <x:v>RVX Explosive Starts Microdose</x:v>
      </x:c>
      <x:c r="Q218" s="12" t="str">
        <x:f>IFERROR(VLOOKUP($D218&amp;"|"&amp;$K218,Recommendation_Lookup!$A$2:$H$19,7,FALSE),"")</x:f>
        <x:v>Project forward, push the ground back, and win the first three steps.</x:v>
      </x:c>
      <x:c r="R218" s="12" t="str">
        <x:f>IFERROR(VLOOKUP($D218&amp;"|"&amp;$K218,Recommendation_Lookup!$A$2:$H$19,8,FALSE),"")</x:f>
        <x:v>Retest every 6–8 weeks or after a dedicated acceleration block.</x:v>
      </x:c>
      <x:c r="S218" s="12"/>
      <x:c r="T218" s="12"/>
      <x:c r="U218" s="12"/>
      <x:c r="V218" s="12"/>
      <x:c r="W218" s="12" t="str">
        <x:f>IF($S218&lt;&gt;"",$S218,$K218)</x:f>
        <x:v>Above Norm</x:v>
      </x:c>
      <x:c r="X218" s="12" t="str">
        <x:f>IF($T218&lt;&gt;"",$T218,$L218)</x:f>
        <x:v>Maintain first-step explosiveness</x:v>
      </x:c>
      <x:c r="Y218" s="12" t="str">
        <x:f>IF($U218&lt;&gt;"",$U218,$N218)</x:f>
        <x:v>Maintain speed with low-volume, high-quality acceleration exposures. Avoid unnecessary volume that could reduce sprint quality. Progress through resisted and reactive starts while preserving mechanics.</x:v>
      </x:c>
      <x:c r="Z218" s="12" t="str">
        <x:f>IF($V218&lt;&gt;"",$V218,$O218)</x:f>
        <x:v>RVX Advanced Acceleration</x:v>
      </x:c>
      <x:c r="AA218" s="12"/>
    </x:row>
    <x:row r="219">
      <x:c r="A219" s="12" t="str">
        <x:v>RVX-00037</x:v>
      </x:c>
      <x:c r="B219" s="12" t="str">
        <x:f>IFERROR(VLOOKUP($A219,Athlete_Profile!$A$2:$L$51,6,FALSE),"")</x:f>
        <x:v>Soccer</x:v>
      </x:c>
      <x:c r="C219" s="12" t="str">
        <x:f>IFERROR(VLOOKUP($A219,Athlete_Profile!$A$2:$L$51,5,FALSE),"")</x:f>
        <x:v>Female</x:v>
      </x:c>
      <x:c r="D219" s="12" t="str">
        <x:v>sprint_10m</x:v>
      </x:c>
      <x:c r="E219" s="12" t="str">
        <x:f>IFERROR(VLOOKUP($D219,Dropdown_Lists!$K$2:$N$7,2,FALSE),"")</x:f>
        <x:v>10m Sprint</x:v>
      </x:c>
      <x:c r="F219" s="12" t="str">
        <x:f>IFERROR(VLOOKUP($D219,Dropdown_Lists!$K$2:$N$7,3,FALSE),"")</x:f>
        <x:v>lower</x:v>
      </x:c>
      <x:c r="G219" s="17" t="n">
        <x:f>IFERROR(LOOKUP(2,1/((Performance_Metrics!$A$2:$A$3000=$A219)*(Performance_Metrics!$D$2:$D$3000=$D219)),Performance_Metrics!$C$2:$C$3000),"")</x:f>
        <x:v>46230</x:v>
      </x:c>
      <x:c r="H219" s="12" t="n">
        <x:f>IFERROR(LOOKUP(2,1/((Performance_Metrics!$A$2:$A$3000=$A219)*(Performance_Metrics!$D$2:$D$3000=$D219)),Performance_Metrics!$G$2:$G$3000),"")</x:f>
        <x:v>1.64</x:v>
      </x:c>
      <x:c r="I219" s="12" t="n">
        <x:f>IFERROR(SUMIFS(Normative_Data!$G$2:$G$1000,Normative_Data!$A$2:$A$1000,$B219,Normative_Data!$B$2:$B$1000,$C219,Normative_Data!$E$2:$E$1000,$D219),"")</x:f>
        <x:v>1.91</x:v>
      </x:c>
      <x:c r="J219" s="18" t="n">
        <x:f>IF(OR($H219="",$I219=""),"",($H219-$I219)/$I219)</x:f>
        <x:v>-0.14136125654450263</x:v>
      </x:c>
      <x:c r="K219" s="12" t="str">
        <x:f>IF(OR($H219="",$I219="",$F219=""),"",IF(ABS($J219)&lt;=0.05,"Equal to Norm",IF($F219="lower",IF($H219&lt;$I219,"Above Norm","Below Norm"),IF($H219&gt;$I219,"Above Norm","Below Norm"))))</x:f>
        <x:v>Above Norm</x:v>
      </x:c>
      <x:c r="L219" s="12" t="str">
        <x:f>IFERROR(VLOOKUP($D219&amp;"|"&amp;$K219,Recommendation_Lookup!$A$2:$H$19,2,FALSE),"")</x:f>
        <x:v>Maintain acceleration through 10 m</x:v>
      </x:c>
      <x:c r="M219" s="12" t="str">
        <x:f>IFERROR(VLOOKUP($D219&amp;"|"&amp;$K219,Recommendation_Lookup!$A$2:$H$19,3,FALSE),"")</x:f>
        <x:v>Transition mechanics; stride rhythm; stiffness; repeatability</x:v>
      </x:c>
      <x:c r="N219" s="12" t="str">
        <x:f>IFERROR(VLOOKUP($D219&amp;"|"&amp;$K219,Recommendation_Lookup!$A$2:$H$19,4,FALSE),"")</x:f>
        <x:v>Maintain one to two weekly high-quality acceleration exposures. Add varied starts and light resistance while monitoring consistency across trials.</x:v>
      </x:c>
      <x:c r="O219" s="12" t="str">
        <x:f>IFERROR(VLOOKUP($D219&amp;"|"&amp;$K219,Recommendation_Lookup!$A$2:$H$19,5,FALSE),"")</x:f>
        <x:v>RVX Advanced Acceleration</x:v>
      </x:c>
      <x:c r="P219" s="12" t="str">
        <x:f>IFERROR(VLOOKUP($D219&amp;"|"&amp;$K219,Recommendation_Lookup!$A$2:$H$19,6,FALSE),"")</x:f>
        <x:v>RVX Speed Maintenance Microdose</x:v>
      </x:c>
      <x:c r="Q219" s="12" t="str">
        <x:f>IFERROR(VLOOKUP($D219&amp;"|"&amp;$K219,Recommendation_Lookup!$A$2:$H$19,7,FALSE),"")</x:f>
        <x:v>Stay patient through acceleration and keep pushing behind the body.</x:v>
      </x:c>
      <x:c r="R219" s="12" t="str">
        <x:f>IFERROR(VLOOKUP($D219&amp;"|"&amp;$K219,Recommendation_Lookup!$A$2:$H$19,8,FALSE),"")</x:f>
        <x:v>Retest every 6–8 weeks or after a speed block.</x:v>
      </x:c>
      <x:c r="S219" s="12"/>
      <x:c r="T219" s="12"/>
      <x:c r="U219" s="12"/>
      <x:c r="V219" s="12"/>
      <x:c r="W219" s="12" t="str">
        <x:f>IF($S219&lt;&gt;"",$S219,$K219)</x:f>
        <x:v>Above Norm</x:v>
      </x:c>
      <x:c r="X219" s="12" t="str">
        <x:f>IF($T219&lt;&gt;"",$T219,$L219)</x:f>
        <x:v>Maintain acceleration through 10 m</x:v>
      </x:c>
      <x:c r="Y219" s="12" t="str">
        <x:f>IF($U219&lt;&gt;"",$U219,$N219)</x:f>
        <x:v>Maintain one to two weekly high-quality acceleration exposures. Add varied starts and light resistance while monitoring consistency across trials.</x:v>
      </x:c>
      <x:c r="Z219" s="12" t="str">
        <x:f>IF($V219&lt;&gt;"",$V219,$O219)</x:f>
        <x:v>RVX Advanced Acceleration</x:v>
      </x:c>
      <x:c r="AA219" s="12"/>
    </x:row>
    <x:row r="220">
      <x:c r="A220" s="12" t="str">
        <x:v>RVX-00037</x:v>
      </x:c>
      <x:c r="B220" s="12" t="str">
        <x:f>IFERROR(VLOOKUP($A220,Athlete_Profile!$A$2:$L$51,6,FALSE),"")</x:f>
        <x:v>Soccer</x:v>
      </x:c>
      <x:c r="C220" s="12" t="str">
        <x:f>IFERROR(VLOOKUP($A220,Athlete_Profile!$A$2:$L$51,5,FALSE),"")</x:f>
        <x:v>Female</x:v>
      </x:c>
      <x:c r="D220" s="12" t="str">
        <x:v>pro_agility</x:v>
      </x:c>
      <x:c r="E220" s="12" t="str">
        <x:f>IFERROR(VLOOKUP($D220,Dropdown_Lists!$K$2:$N$7,2,FALSE),"")</x:f>
        <x:v>5-10-5 Pro Agility</x:v>
      </x:c>
      <x:c r="F220" s="12" t="str">
        <x:f>IFERROR(VLOOKUP($D220,Dropdown_Lists!$K$2:$N$7,3,FALSE),"")</x:f>
        <x:v>lower</x:v>
      </x:c>
      <x:c r="G220" s="17" t="n">
        <x:f>IFERROR(LOOKUP(2,1/((Performance_Metrics!$A$2:$A$3000=$A220)*(Performance_Metrics!$D$2:$D$3000=$D220)),Performance_Metrics!$C$2:$C$3000),"")</x:f>
        <x:v>46230</x:v>
      </x:c>
      <x:c r="H220" s="12" t="n">
        <x:f>IFERROR(LOOKUP(2,1/((Performance_Metrics!$A$2:$A$3000=$A220)*(Performance_Metrics!$D$2:$D$3000=$D220)),Performance_Metrics!$G$2:$G$3000),"")</x:f>
        <x:v>4.09</x:v>
      </x:c>
      <x:c r="I220" s="12" t="n">
        <x:f>IFERROR(SUMIFS(Normative_Data!$G$2:$G$1000,Normative_Data!$A$2:$A$1000,$B220,Normative_Data!$B$2:$B$1000,$C220,Normative_Data!$E$2:$E$1000,$D220),"")</x:f>
        <x:v>4.89</x:v>
      </x:c>
      <x:c r="J220" s="18" t="n">
        <x:f>IF(OR($H220="",$I220=""),"",($H220-$I220)/$I220)</x:f>
        <x:v>-0.16359918200408996</x:v>
      </x:c>
      <x:c r="K220" s="12" t="str">
        <x:f>IF(OR($H220="",$I220="",$F220=""),"",IF(ABS($J220)&lt;=0.05,"Equal to Norm",IF($F220="lower",IF($H220&lt;$I220,"Above Norm","Below Norm"),IF($H220&gt;$I220,"Above Norm","Below Norm"))))</x:f>
        <x:v>Above Norm</x:v>
      </x:c>
      <x:c r="L220" s="12" t="str">
        <x:f>IFERROR(VLOOKUP($D220&amp;"|"&amp;$K220,Recommendation_Lookup!$A$2:$H$19,2,FALSE),"")</x:f>
        <x:v>Maintain change-of-direction performance</x:v>
      </x:c>
      <x:c r="M220" s="12" t="str">
        <x:f>IFERROR(VLOOKUP($D220&amp;"|"&amp;$K220,Recommendation_Lookup!$A$2:$H$19,3,FALSE),"")</x:f>
        <x:v>Reactive decision-making; braking tolerance; bilateral symmetry; movement variability</x:v>
      </x:c>
      <x:c r="N220" s="12" t="str">
        <x:f>IFERROR(VLOOKUP($D220&amp;"|"&amp;$K220,Recommendation_Lookup!$A$2:$H$19,4,FALSE),"")</x:f>
        <x:v>Maintain planned change-of-direction work and progress toward reactive agility. Use low-volume, high-quality exposures with multiple starting and turning strategies.</x:v>
      </x:c>
      <x:c r="O220" s="12" t="str">
        <x:f>IFERROR(VLOOKUP($D220&amp;"|"&amp;$K220,Recommendation_Lookup!$A$2:$H$19,5,FALSE),"")</x:f>
        <x:v>RVX Advanced Change of Direction</x:v>
      </x:c>
      <x:c r="P220" s="12" t="str">
        <x:f>IFERROR(VLOOKUP($D220&amp;"|"&amp;$K220,Recommendation_Lookup!$A$2:$H$19,6,FALSE),"")</x:f>
        <x:v>RVX Reactive Agility</x:v>
      </x:c>
      <x:c r="Q220" s="12" t="str">
        <x:f>IFERROR(VLOOKUP($D220&amp;"|"&amp;$K220,Recommendation_Lookup!$A$2:$H$19,7,FALSE),"")</x:f>
        <x:v>Brake under control, own the plant and accelerate out immediately.</x:v>
      </x:c>
      <x:c r="R220" s="12" t="str">
        <x:f>IFERROR(VLOOKUP($D220&amp;"|"&amp;$K220,Recommendation_Lookup!$A$2:$H$19,8,FALSE),"")</x:f>
        <x:v>Retest every 6–8 weeks with left and right trial review.</x:v>
      </x:c>
      <x:c r="S220" s="12"/>
      <x:c r="T220" s="12"/>
      <x:c r="U220" s="12"/>
      <x:c r="V220" s="12"/>
      <x:c r="W220" s="12" t="str">
        <x:f>IF($S220&lt;&gt;"",$S220,$K220)</x:f>
        <x:v>Above Norm</x:v>
      </x:c>
      <x:c r="X220" s="12" t="str">
        <x:f>IF($T220&lt;&gt;"",$T220,$L220)</x:f>
        <x:v>Maintain change-of-direction performance</x:v>
      </x:c>
      <x:c r="Y220" s="12" t="str">
        <x:f>IF($U220&lt;&gt;"",$U220,$N220)</x:f>
        <x:v>Maintain planned change-of-direction work and progress toward reactive agility. Use low-volume, high-quality exposures with multiple starting and turning strategies.</x:v>
      </x:c>
      <x:c r="Z220" s="12" t="str">
        <x:f>IF($V220&lt;&gt;"",$V220,$O220)</x:f>
        <x:v>RVX Advanced Change of Direction</x:v>
      </x:c>
      <x:c r="AA220" s="12"/>
    </x:row>
    <x:row r="221">
      <x:c r="A221" s="12" t="str">
        <x:v>RVX-00037</x:v>
      </x:c>
      <x:c r="B221" s="12" t="str">
        <x:f>IFERROR(VLOOKUP($A221,Athlete_Profile!$A$2:$L$51,6,FALSE),"")</x:f>
        <x:v>Soccer</x:v>
      </x:c>
      <x:c r="C221" s="12" t="str">
        <x:f>IFERROR(VLOOKUP($A221,Athlete_Profile!$A$2:$L$51,5,FALSE),"")</x:f>
        <x:v>Female</x:v>
      </x:c>
      <x:c r="D221" s="12" t="str">
        <x:v>cmj_depth</x:v>
      </x:c>
      <x:c r="E221" s="12" t="str">
        <x:f>IFERROR(VLOOKUP($D221,Dropdown_Lists!$K$2:$N$7,2,FALSE),"")</x:f>
        <x:v>Countermovement Depth</x:v>
      </x:c>
      <x:c r="F221" s="12" t="str">
        <x:f>IFERROR(VLOOKUP($D221,Dropdown_Lists!$K$2:$N$7,3,FALSE),"")</x:f>
        <x:v>higher</x:v>
      </x:c>
      <x:c r="G221" s="17" t="n">
        <x:f>IFERROR(LOOKUP(2,1/((Performance_Metrics!$A$2:$A$3000=$A221)*(Performance_Metrics!$D$2:$D$3000=$D221)),Performance_Metrics!$C$2:$C$3000),"")</x:f>
        <x:v>46230</x:v>
      </x:c>
      <x:c r="H221" s="12" t="n">
        <x:f>IFERROR(LOOKUP(2,1/((Performance_Metrics!$A$2:$A$3000=$A221)*(Performance_Metrics!$D$2:$D$3000=$D221)),Performance_Metrics!$G$2:$G$3000),"")</x:f>
        <x:v>33.2</x:v>
      </x:c>
      <x:c r="I221" s="12" t="n">
        <x:f>IFERROR(SUMIFS(Normative_Data!$G$2:$G$1000,Normative_Data!$A$2:$A$1000,$B221,Normative_Data!$B$2:$B$1000,$C221,Normative_Data!$E$2:$E$1000,$D221),"")</x:f>
        <x:v>28.5</x:v>
      </x:c>
      <x:c r="J221" s="18" t="n">
        <x:f>IF(OR($H221="",$I221=""),"",($H221-$I221)/$I221)</x:f>
        <x:v>0.16491228070175448</x:v>
      </x:c>
      <x:c r="K221" s="12" t="str">
        <x:f>IF(OR($H221="",$I221="",$F221=""),"",IF(ABS($J221)&lt;=0.05,"Equal to Norm",IF($F221="lower",IF($H221&lt;$I221,"Above Norm","Below Norm"),IF($H221&gt;$I221,"Above Norm","Below Norm"))))</x:f>
        <x:v>Above Norm</x:v>
      </x:c>
      <x:c r="L221" s="12" t="str">
        <x:f>IFERROR(VLOOKUP($D221&amp;"|"&amp;$K221,Recommendation_Lookup!$A$2:$H$19,2,FALSE),"")</x:f>
        <x:v>Maintain effective countermovement strategy</x:v>
      </x:c>
      <x:c r="M221" s="12" t="str">
        <x:f>IFERROR(VLOOKUP($D221&amp;"|"&amp;$K221,Recommendation_Lookup!$A$2:$H$19,3,FALSE),"")</x:f>
        <x:v>Movement efficiency; eccentric control; jump consistency; depth-to-output relationship</x:v>
      </x:c>
      <x:c r="N221" s="12" t="str">
        <x:f>IFERROR(VLOOKUP($D221&amp;"|"&amp;$K221,Recommendation_Lookup!$A$2:$H$19,4,FALSE),"")</x:f>
        <x:v>Maintain the athlete’s preferred countermovement strategy while ensuring the additional depth contributes to force and impulse rather than excessive movement time.</x:v>
      </x:c>
      <x:c r="O221" s="12" t="str">
        <x:f>IFERROR(VLOOKUP($D221&amp;"|"&amp;$K221,Recommendation_Lookup!$A$2:$H$19,5,FALSE),"")</x:f>
        <x:v>RVX Jump Performance Advanced</x:v>
      </x:c>
      <x:c r="P221" s="12" t="str">
        <x:f>IFERROR(VLOOKUP($D221&amp;"|"&amp;$K221,Recommendation_Lookup!$A$2:$H$19,6,FALSE),"")</x:f>
        <x:v>RVX Eccentric Strength Microdose</x:v>
      </x:c>
      <x:c r="Q221" s="12" t="str">
        <x:f>IFERROR(VLOOKUP($D221&amp;"|"&amp;$K221,Recommendation_Lookup!$A$2:$H$19,7,FALSE),"")</x:f>
        <x:v>Use the depth you can control, then reverse quickly and aggressively.</x:v>
      </x:c>
      <x:c r="R221" s="12" t="str">
        <x:f>IFERROR(VLOOKUP($D221&amp;"|"&amp;$K221,Recommendation_Lookup!$A$2:$H$19,8,FALSE),"")</x:f>
        <x:v>Retest every 6–8 weeks while monitoring jump height and contraction time.</x:v>
      </x:c>
      <x:c r="S221" s="12"/>
      <x:c r="T221" s="12"/>
      <x:c r="U221" s="12"/>
      <x:c r="V221" s="12"/>
      <x:c r="W221" s="12" t="str">
        <x:f>IF($S221&lt;&gt;"",$S221,$K221)</x:f>
        <x:v>Above Norm</x:v>
      </x:c>
      <x:c r="X221" s="12" t="str">
        <x:f>IF($T221&lt;&gt;"",$T221,$L221)</x:f>
        <x:v>Maintain effective countermovement strategy</x:v>
      </x:c>
      <x:c r="Y221" s="12" t="str">
        <x:f>IF($U221&lt;&gt;"",$U221,$N221)</x:f>
        <x:v>Maintain the athlete’s preferred countermovement strategy while ensuring the additional depth contributes to force and impulse rather than excessive movement time.</x:v>
      </x:c>
      <x:c r="Z221" s="12" t="str">
        <x:f>IF($V221&lt;&gt;"",$V221,$O221)</x:f>
        <x:v>RVX Jump Performance Advanced</x:v>
      </x:c>
      <x:c r="AA221" s="12"/>
    </x:row>
    <x:row r="222">
      <x:c r="A222" s="12" t="str">
        <x:v>RVX-00037</x:v>
      </x:c>
      <x:c r="B222" s="12" t="str">
        <x:f>IFERROR(VLOOKUP($A222,Athlete_Profile!$A$2:$L$51,6,FALSE),"")</x:f>
        <x:v>Soccer</x:v>
      </x:c>
      <x:c r="C222" s="12" t="str">
        <x:f>IFERROR(VLOOKUP($A222,Athlete_Profile!$A$2:$L$51,5,FALSE),"")</x:f>
        <x:v>Female</x:v>
      </x:c>
      <x:c r="D222" s="12" t="str">
        <x:v>peak_force</x:v>
      </x:c>
      <x:c r="E222" s="12" t="str">
        <x:f>IFERROR(VLOOKUP($D222,Dropdown_Lists!$K$2:$N$7,2,FALSE),"")</x:f>
        <x:v>Peak Force</x:v>
      </x:c>
      <x:c r="F222" s="12" t="str">
        <x:f>IFERROR(VLOOKUP($D222,Dropdown_Lists!$K$2:$N$7,3,FALSE),"")</x:f>
        <x:v>higher</x:v>
      </x:c>
      <x:c r="G222" s="17" t="n">
        <x:f>IFERROR(LOOKUP(2,1/((Performance_Metrics!$A$2:$A$3000=$A222)*(Performance_Metrics!$D$2:$D$3000=$D222)),Performance_Metrics!$C$2:$C$3000),"")</x:f>
        <x:v>46230</x:v>
      </x:c>
      <x:c r="H222" s="12" t="n">
        <x:f>IFERROR(LOOKUP(2,1/((Performance_Metrics!$A$2:$A$3000=$A222)*(Performance_Metrics!$D$2:$D$3000=$D222)),Performance_Metrics!$G$2:$G$3000),"")</x:f>
        <x:v>1923</x:v>
      </x:c>
      <x:c r="I222" s="12" t="n">
        <x:f>IFERROR(SUMIFS(Normative_Data!$G$2:$G$1000,Normative_Data!$A$2:$A$1000,$B222,Normative_Data!$B$2:$B$1000,$C222,Normative_Data!$E$2:$E$1000,$D222),"")</x:f>
        <x:v>1662.5</x:v>
      </x:c>
      <x:c r="J222" s="18" t="n">
        <x:f>IF(OR($H222="",$I222=""),"",($H222-$I222)/$I222)</x:f>
        <x:v>0.15669172932330827</x:v>
      </x:c>
      <x:c r="K222" s="12" t="str">
        <x:f>IF(OR($H222="",$I222="",$F222=""),"",IF(ABS($J222)&lt;=0.05,"Equal to Norm",IF($F222="lower",IF($H222&lt;$I222,"Above Norm","Below Norm"),IF($H222&gt;$I222,"Above Norm","Below Norm"))))</x:f>
        <x:v>Above Norm</x:v>
      </x:c>
      <x:c r="L222" s="12" t="str">
        <x:f>IFERROR(VLOOKUP($D222&amp;"|"&amp;$K222,Recommendation_Lookup!$A$2:$H$19,2,FALSE),"")</x:f>
        <x:v>Maintain maximal force qualities</x:v>
      </x:c>
      <x:c r="M222" s="12" t="str">
        <x:f>IFERROR(VLOOKUP($D222&amp;"|"&amp;$K222,Recommendation_Lookup!$A$2:$H$19,3,FALSE),"")</x:f>
        <x:v>Force application speed; asymmetry; fatigue management; sport transfer</x:v>
      </x:c>
      <x:c r="N222" s="12" t="str">
        <x:f>IFERROR(VLOOKUP($D222&amp;"|"&amp;$K222,Recommendation_Lookup!$A$2:$H$19,4,FALSE),"")</x:f>
        <x:v>Maintain maximal force with low-volume strength exposure while shifting selected work toward power and sport-specific application. Monitor asymmetry and fatigue.</x:v>
      </x:c>
      <x:c r="O222" s="12" t="str">
        <x:f>IFERROR(VLOOKUP($D222&amp;"|"&amp;$K222,Recommendation_Lookup!$A$2:$H$19,5,FALSE),"")</x:f>
        <x:v>RVX Advanced Strength-Power</x:v>
      </x:c>
      <x:c r="P222" s="12" t="str">
        <x:f>IFERROR(VLOOKUP($D222&amp;"|"&amp;$K222,Recommendation_Lookup!$A$2:$H$19,6,FALSE),"")</x:f>
        <x:v>RVX Force Maintenance Microdose</x:v>
      </x:c>
      <x:c r="Q222" s="12" t="str">
        <x:f>IFERROR(VLOOKUP($D222&amp;"|"&amp;$K222,Recommendation_Lookup!$A$2:$H$19,7,FALSE),"")</x:f>
        <x:v>Produce high force without losing position or movement speed.</x:v>
      </x:c>
      <x:c r="R222" s="12" t="str">
        <x:f>IFERROR(VLOOKUP($D222&amp;"|"&amp;$K222,Recommendation_Lookup!$A$2:$H$19,8,FALSE),"")</x:f>
        <x:v>Retest every 6–8 weeks or following a strength-power phase.</x:v>
      </x:c>
      <x:c r="S222" s="12"/>
      <x:c r="T222" s="12"/>
      <x:c r="U222" s="12"/>
      <x:c r="V222" s="12"/>
      <x:c r="W222" s="12" t="str">
        <x:f>IF($S222&lt;&gt;"",$S222,$K222)</x:f>
        <x:v>Above Norm</x:v>
      </x:c>
      <x:c r="X222" s="12" t="str">
        <x:f>IF($T222&lt;&gt;"",$T222,$L222)</x:f>
        <x:v>Maintain maximal force qualities</x:v>
      </x:c>
      <x:c r="Y222" s="12" t="str">
        <x:f>IF($U222&lt;&gt;"",$U222,$N222)</x:f>
        <x:v>Maintain maximal force with low-volume strength exposure while shifting selected work toward power and sport-specific application. Monitor asymmetry and fatigue.</x:v>
      </x:c>
      <x:c r="Z222" s="12" t="str">
        <x:f>IF($V222&lt;&gt;"",$V222,$O222)</x:f>
        <x:v>RVX Advanced Strength-Power</x:v>
      </x:c>
      <x:c r="AA222" s="12"/>
    </x:row>
    <x:row r="223">
      <x:c r="A223" s="12" t="str">
        <x:v>RVX-00037</x:v>
      </x:c>
      <x:c r="B223" s="12" t="str">
        <x:f>IFERROR(VLOOKUP($A223,Athlete_Profile!$A$2:$L$51,6,FALSE),"")</x:f>
        <x:v>Soccer</x:v>
      </x:c>
      <x:c r="C223" s="12" t="str">
        <x:f>IFERROR(VLOOKUP($A223,Athlete_Profile!$A$2:$L$51,5,FALSE),"")</x:f>
        <x:v>Female</x:v>
      </x:c>
      <x:c r="D223" s="12" t="str">
        <x:v>impulse</x:v>
      </x:c>
      <x:c r="E223" s="12" t="str">
        <x:f>IFERROR(VLOOKUP($D223,Dropdown_Lists!$K$2:$N$7,2,FALSE),"")</x:f>
        <x:v>Impulse-Momentum</x:v>
      </x:c>
      <x:c r="F223" s="12" t="str">
        <x:f>IFERROR(VLOOKUP($D223,Dropdown_Lists!$K$2:$N$7,3,FALSE),"")</x:f>
        <x:v>higher</x:v>
      </x:c>
      <x:c r="G223" s="17" t="n">
        <x:f>IFERROR(LOOKUP(2,1/((Performance_Metrics!$A$2:$A$3000=$A223)*(Performance_Metrics!$D$2:$D$3000=$D223)),Performance_Metrics!$C$2:$C$3000),"")</x:f>
        <x:v>46230</x:v>
      </x:c>
      <x:c r="H223" s="12" t="n">
        <x:f>IFERROR(LOOKUP(2,1/((Performance_Metrics!$A$2:$A$3000=$A223)*(Performance_Metrics!$D$2:$D$3000=$D223)),Performance_Metrics!$G$2:$G$3000),"")</x:f>
        <x:v>237.5</x:v>
      </x:c>
      <x:c r="I223" s="12" t="n">
        <x:f>IFERROR(SUMIFS(Normative_Data!$G$2:$G$1000,Normative_Data!$A$2:$A$1000,$B223,Normative_Data!$B$2:$B$1000,$C223,Normative_Data!$E$2:$E$1000,$D223),"")</x:f>
        <x:v>204.25</x:v>
      </x:c>
      <x:c r="J223" s="18" t="n">
        <x:f>IF(OR($H223="",$I223=""),"",($H223-$I223)/$I223)</x:f>
        <x:v>0.16279069767441862</x:v>
      </x:c>
      <x:c r="K223" s="12" t="str">
        <x:f>IF(OR($H223="",$I223="",$F223=""),"",IF(ABS($J223)&lt;=0.05,"Equal to Norm",IF($F223="lower",IF($H223&lt;$I223,"Above Norm","Below Norm"),IF($H223&gt;$I223,"Above Norm","Below Norm"))))</x:f>
        <x:v>Above Norm</x:v>
      </x:c>
      <x:c r="L223" s="12" t="str">
        <x:f>IFERROR(VLOOKUP($D223&amp;"|"&amp;$K223,Recommendation_Lookup!$A$2:$H$19,2,FALSE),"")</x:f>
        <x:v>Maintain total force-time output</x:v>
      </x:c>
      <x:c r="M223" s="12" t="str">
        <x:f>IFERROR(VLOOKUP($D223&amp;"|"&amp;$K223,Recommendation_Lookup!$A$2:$H$19,3,FALSE),"")</x:f>
        <x:v>Rate of force development; movement time; power transfer; fatigue resistance</x:v>
      </x:c>
      <x:c r="N223" s="12" t="str">
        <x:f>IFERROR(VLOOKUP($D223&amp;"|"&amp;$K223,Recommendation_Lookup!$A$2:$H$19,4,FALSE),"")</x:f>
        <x:v>Maintain impulse with strength-power microdosing and varied jump or sprint exposures. Ensure high impulse is achieved efficiently rather than through excessive movement time.</x:v>
      </x:c>
      <x:c r="O223" s="12" t="str">
        <x:f>IFERROR(VLOOKUP($D223&amp;"|"&amp;$K223,Recommendation_Lookup!$A$2:$H$19,5,FALSE),"")</x:f>
        <x:v>RVX Advanced Power Development</x:v>
      </x:c>
      <x:c r="P223" s="12" t="str">
        <x:f>IFERROR(VLOOKUP($D223&amp;"|"&amp;$K223,Recommendation_Lookup!$A$2:$H$19,6,FALSE),"")</x:f>
        <x:v>RVX Elastic Power Microdose</x:v>
      </x:c>
      <x:c r="Q223" s="12" t="str">
        <x:f>IFERROR(VLOOKUP($D223&amp;"|"&amp;$K223,Recommendation_Lookup!$A$2:$H$19,7,FALSE),"")</x:f>
        <x:v>Build force quickly and keep applying it through the full movement.</x:v>
      </x:c>
      <x:c r="R223" s="12" t="str">
        <x:f>IFERROR(VLOOKUP($D223&amp;"|"&amp;$K223,Recommendation_Lookup!$A$2:$H$19,8,FALSE),"")</x:f>
        <x:v>Retest every 6–8 weeks while reviewing contraction time and jump outcome.</x:v>
      </x:c>
      <x:c r="S223" s="12"/>
      <x:c r="T223" s="12"/>
      <x:c r="U223" s="12"/>
      <x:c r="V223" s="12"/>
      <x:c r="W223" s="12" t="str">
        <x:f>IF($S223&lt;&gt;"",$S223,$K223)</x:f>
        <x:v>Above Norm</x:v>
      </x:c>
      <x:c r="X223" s="12" t="str">
        <x:f>IF($T223&lt;&gt;"",$T223,$L223)</x:f>
        <x:v>Maintain total force-time output</x:v>
      </x:c>
      <x:c r="Y223" s="12" t="str">
        <x:f>IF($U223&lt;&gt;"",$U223,$N223)</x:f>
        <x:v>Maintain impulse with strength-power microdosing and varied jump or sprint exposures. Ensure high impulse is achieved efficiently rather than through excessive movement time.</x:v>
      </x:c>
      <x:c r="Z223" s="12" t="str">
        <x:f>IF($V223&lt;&gt;"",$V223,$O223)</x:f>
        <x:v>RVX Advanced Power Development</x:v>
      </x:c>
      <x:c r="AA223" s="12"/>
    </x:row>
    <x:row r="224">
      <x:c r="A224" s="12" t="str">
        <x:v>RVX-00038</x:v>
      </x:c>
      <x:c r="B224" s="12" t="str">
        <x:f>IFERROR(VLOOKUP($A224,Athlete_Profile!$A$2:$L$51,6,FALSE),"")</x:f>
        <x:v>Soccer</x:v>
      </x:c>
      <x:c r="C224" s="12" t="str">
        <x:f>IFERROR(VLOOKUP($A224,Athlete_Profile!$A$2:$L$51,5,FALSE),"")</x:f>
        <x:v>Male</x:v>
      </x:c>
      <x:c r="D224" s="12" t="str">
        <x:v>sprint_5m</x:v>
      </x:c>
      <x:c r="E224" s="12" t="str">
        <x:f>IFERROR(VLOOKUP($D224,Dropdown_Lists!$K$2:$N$7,2,FALSE),"")</x:f>
        <x:v>5m Sprint</x:v>
      </x:c>
      <x:c r="F224" s="12" t="str">
        <x:f>IFERROR(VLOOKUP($D224,Dropdown_Lists!$K$2:$N$7,3,FALSE),"")</x:f>
        <x:v>lower</x:v>
      </x:c>
      <x:c r="G224" s="17" t="n">
        <x:f>IFERROR(LOOKUP(2,1/((Performance_Metrics!$A$2:$A$3000=$A224)*(Performance_Metrics!$D$2:$D$3000=$D224)),Performance_Metrics!$C$2:$C$3000),"")</x:f>
        <x:v>46230</x:v>
      </x:c>
      <x:c r="H224" s="12" t="n">
        <x:f>IFERROR(LOOKUP(2,1/((Performance_Metrics!$A$2:$A$3000=$A224)*(Performance_Metrics!$D$2:$D$3000=$D224)),Performance_Metrics!$G$2:$G$3000),"")</x:f>
        <x:v>1.05</x:v>
      </x:c>
      <x:c r="I224" s="12" t="n">
        <x:f>IFERROR(SUMIFS(Normative_Data!$G$2:$G$1000,Normative_Data!$A$2:$A$1000,$B224,Normative_Data!$B$2:$B$1000,$C224,Normative_Data!$E$2:$E$1000,$D224),"")</x:f>
        <x:v>1.09</x:v>
      </x:c>
      <x:c r="J224" s="18" t="n">
        <x:f>IF(OR($H224="",$I224=""),"",($H224-$I224)/$I224)</x:f>
        <x:v>-0.03669724770642205</x:v>
      </x:c>
      <x:c r="K224" s="12" t="str">
        <x:f>IF(OR($H224="",$I224="",$F224=""),"",IF(ABS($J224)&lt;=0.05,"Equal to Norm",IF($F224="lower",IF($H224&lt;$I224,"Above Norm","Below Norm"),IF($H224&gt;$I224,"Above Norm","Below Norm"))))</x:f>
        <x:v>Equal to Norm</x:v>
      </x:c>
      <x:c r="L224" s="12" t="str">
        <x:f>IFERROR(VLOOKUP($D224&amp;"|"&amp;$K224,Recommendation_Lookup!$A$2:$H$19,2,FALSE),"")</x:f>
        <x:v>Improve acceleration efficiency</x:v>
      </x:c>
      <x:c r="M224" s="12" t="str">
        <x:f>IFERROR(VLOOKUP($D224&amp;"|"&amp;$K224,Recommendation_Lookup!$A$2:$H$19,3,FALSE),"")</x:f>
        <x:v>Starting posture; shin angle; first-step direction; arm action</x:v>
      </x:c>
      <x:c r="N224" s="12" t="str">
        <x:f>IFERROR(VLOOKUP($D224&amp;"|"&amp;$K224,Recommendation_Lookup!$A$2:$H$19,4,FALSE),"")</x:f>
        <x:v>Use a focused acceleration-development block emphasizing starting position, projection and force application. Keep repetitions short with full recovery.</x:v>
      </x:c>
      <x:c r="O224" s="12" t="str">
        <x:f>IFERROR(VLOOKUP($D224&amp;"|"&amp;$K224,Recommendation_Lookup!$A$2:$H$19,5,FALSE),"")</x:f>
        <x:v>RVX Acceleration Foundations</x:v>
      </x:c>
      <x:c r="P224" s="12" t="str">
        <x:f>IFERROR(VLOOKUP($D224&amp;"|"&amp;$K224,Recommendation_Lookup!$A$2:$H$19,6,FALSE),"")</x:f>
        <x:v>RVX Sprint Mechanics</x:v>
      </x:c>
      <x:c r="Q224" s="12" t="str">
        <x:f>IFERROR(VLOOKUP($D224&amp;"|"&amp;$K224,Recommendation_Lookup!$A$2:$H$19,7,FALSE),"")</x:f>
        <x:v>Push out, not up. Keep the first steps powerful and connected.</x:v>
      </x:c>
      <x:c r="R224" s="12" t="str">
        <x:f>IFERROR(VLOOKUP($D224&amp;"|"&amp;$K224,Recommendation_Lookup!$A$2:$H$19,8,FALSE),"")</x:f>
        <x:v>Retest after 4–6 weeks of focused acceleration work.</x:v>
      </x:c>
      <x:c r="S224" s="12"/>
      <x:c r="T224" s="12"/>
      <x:c r="U224" s="12"/>
      <x:c r="V224" s="12"/>
      <x:c r="W224" s="12" t="str">
        <x:f>IF($S224&lt;&gt;"",$S224,$K224)</x:f>
        <x:v>Equal to Norm</x:v>
      </x:c>
      <x:c r="X224" s="12" t="str">
        <x:f>IF($T224&lt;&gt;"",$T224,$L224)</x:f>
        <x:v>Improve acceleration efficiency</x:v>
      </x:c>
      <x:c r="Y224" s="12" t="str">
        <x:f>IF($U224&lt;&gt;"",$U224,$N224)</x:f>
        <x:v>Use a focused acceleration-development block emphasizing starting position, projection and force application. Keep repetitions short with full recovery.</x:v>
      </x:c>
      <x:c r="Z224" s="12" t="str">
        <x:f>IF($V224&lt;&gt;"",$V224,$O224)</x:f>
        <x:v>RVX Acceleration Foundations</x:v>
      </x:c>
      <x:c r="AA224" s="12"/>
    </x:row>
    <x:row r="225">
      <x:c r="A225" s="12" t="str">
        <x:v>RVX-00038</x:v>
      </x:c>
      <x:c r="B225" s="12" t="str">
        <x:f>IFERROR(VLOOKUP($A225,Athlete_Profile!$A$2:$L$51,6,FALSE),"")</x:f>
        <x:v>Soccer</x:v>
      </x:c>
      <x:c r="C225" s="12" t="str">
        <x:f>IFERROR(VLOOKUP($A225,Athlete_Profile!$A$2:$L$51,5,FALSE),"")</x:f>
        <x:v>Male</x:v>
      </x:c>
      <x:c r="D225" s="12" t="str">
        <x:v>sprint_10m</x:v>
      </x:c>
      <x:c r="E225" s="12" t="str">
        <x:f>IFERROR(VLOOKUP($D225,Dropdown_Lists!$K$2:$N$7,2,FALSE),"")</x:f>
        <x:v>10m Sprint</x:v>
      </x:c>
      <x:c r="F225" s="12" t="str">
        <x:f>IFERROR(VLOOKUP($D225,Dropdown_Lists!$K$2:$N$7,3,FALSE),"")</x:f>
        <x:v>lower</x:v>
      </x:c>
      <x:c r="G225" s="17" t="n">
        <x:f>IFERROR(LOOKUP(2,1/((Performance_Metrics!$A$2:$A$3000=$A225)*(Performance_Metrics!$D$2:$D$3000=$D225)),Performance_Metrics!$C$2:$C$3000),"")</x:f>
        <x:v>46230</x:v>
      </x:c>
      <x:c r="H225" s="12" t="n">
        <x:f>IFERROR(LOOKUP(2,1/((Performance_Metrics!$A$2:$A$3000=$A225)*(Performance_Metrics!$D$2:$D$3000=$D225)),Performance_Metrics!$G$2:$G$3000),"")</x:f>
        <x:v>1.72</x:v>
      </x:c>
      <x:c r="I225" s="12" t="n">
        <x:f>IFERROR(SUMIFS(Normative_Data!$G$2:$G$1000,Normative_Data!$A$2:$A$1000,$B225,Normative_Data!$B$2:$B$1000,$C225,Normative_Data!$E$2:$E$1000,$D225),"")</x:f>
        <x:v>1.83</x:v>
      </x:c>
      <x:c r="J225" s="18" t="n">
        <x:f>IF(OR($H225="",$I225=""),"",($H225-$I225)/$I225)</x:f>
        <x:v>-0.06010928961748639</x:v>
      </x:c>
      <x:c r="K225" s="12" t="str">
        <x:f>IF(OR($H225="",$I225="",$F225=""),"",IF(ABS($J225)&lt;=0.05,"Equal to Norm",IF($F225="lower",IF($H225&lt;$I225,"Above Norm","Below Norm"),IF($H225&gt;$I225,"Above Norm","Below Norm"))))</x:f>
        <x:v>Above Norm</x:v>
      </x:c>
      <x:c r="L225" s="12" t="str">
        <x:f>IFERROR(VLOOKUP($D225&amp;"|"&amp;$K225,Recommendation_Lookup!$A$2:$H$19,2,FALSE),"")</x:f>
        <x:v>Maintain acceleration through 10 m</x:v>
      </x:c>
      <x:c r="M225" s="12" t="str">
        <x:f>IFERROR(VLOOKUP($D225&amp;"|"&amp;$K225,Recommendation_Lookup!$A$2:$H$19,3,FALSE),"")</x:f>
        <x:v>Transition mechanics; stride rhythm; stiffness; repeatability</x:v>
      </x:c>
      <x:c r="N225" s="12" t="str">
        <x:f>IFERROR(VLOOKUP($D225&amp;"|"&amp;$K225,Recommendation_Lookup!$A$2:$H$19,4,FALSE),"")</x:f>
        <x:v>Maintain one to two weekly high-quality acceleration exposures. Add varied starts and light resistance while monitoring consistency across trials.</x:v>
      </x:c>
      <x:c r="O225" s="12" t="str">
        <x:f>IFERROR(VLOOKUP($D225&amp;"|"&amp;$K225,Recommendation_Lookup!$A$2:$H$19,5,FALSE),"")</x:f>
        <x:v>RVX Advanced Acceleration</x:v>
      </x:c>
      <x:c r="P225" s="12" t="str">
        <x:f>IFERROR(VLOOKUP($D225&amp;"|"&amp;$K225,Recommendation_Lookup!$A$2:$H$19,6,FALSE),"")</x:f>
        <x:v>RVX Speed Maintenance Microdose</x:v>
      </x:c>
      <x:c r="Q225" s="12" t="str">
        <x:f>IFERROR(VLOOKUP($D225&amp;"|"&amp;$K225,Recommendation_Lookup!$A$2:$H$19,7,FALSE),"")</x:f>
        <x:v>Stay patient through acceleration and keep pushing behind the body.</x:v>
      </x:c>
      <x:c r="R225" s="12" t="str">
        <x:f>IFERROR(VLOOKUP($D225&amp;"|"&amp;$K225,Recommendation_Lookup!$A$2:$H$19,8,FALSE),"")</x:f>
        <x:v>Retest every 6–8 weeks or after a speed block.</x:v>
      </x:c>
      <x:c r="S225" s="12"/>
      <x:c r="T225" s="12"/>
      <x:c r="U225" s="12"/>
      <x:c r="V225" s="12"/>
      <x:c r="W225" s="12" t="str">
        <x:f>IF($S225&lt;&gt;"",$S225,$K225)</x:f>
        <x:v>Above Norm</x:v>
      </x:c>
      <x:c r="X225" s="12" t="str">
        <x:f>IF($T225&lt;&gt;"",$T225,$L225)</x:f>
        <x:v>Maintain acceleration through 10 m</x:v>
      </x:c>
      <x:c r="Y225" s="12" t="str">
        <x:f>IF($U225&lt;&gt;"",$U225,$N225)</x:f>
        <x:v>Maintain one to two weekly high-quality acceleration exposures. Add varied starts and light resistance while monitoring consistency across trials.</x:v>
      </x:c>
      <x:c r="Z225" s="12" t="str">
        <x:f>IF($V225&lt;&gt;"",$V225,$O225)</x:f>
        <x:v>RVX Advanced Acceleration</x:v>
      </x:c>
      <x:c r="AA225" s="12"/>
    </x:row>
    <x:row r="226">
      <x:c r="A226" s="12" t="str">
        <x:v>RVX-00038</x:v>
      </x:c>
      <x:c r="B226" s="12" t="str">
        <x:f>IFERROR(VLOOKUP($A226,Athlete_Profile!$A$2:$L$51,6,FALSE),"")</x:f>
        <x:v>Soccer</x:v>
      </x:c>
      <x:c r="C226" s="12" t="str">
        <x:f>IFERROR(VLOOKUP($A226,Athlete_Profile!$A$2:$L$51,5,FALSE),"")</x:f>
        <x:v>Male</x:v>
      </x:c>
      <x:c r="D226" s="12" t="str">
        <x:v>pro_agility</x:v>
      </x:c>
      <x:c r="E226" s="12" t="str">
        <x:f>IFERROR(VLOOKUP($D226,Dropdown_Lists!$K$2:$N$7,2,FALSE),"")</x:f>
        <x:v>5-10-5 Pro Agility</x:v>
      </x:c>
      <x:c r="F226" s="12" t="str">
        <x:f>IFERROR(VLOOKUP($D226,Dropdown_Lists!$K$2:$N$7,3,FALSE),"")</x:f>
        <x:v>lower</x:v>
      </x:c>
      <x:c r="G226" s="17" t="n">
        <x:f>IFERROR(LOOKUP(2,1/((Performance_Metrics!$A$2:$A$3000=$A226)*(Performance_Metrics!$D$2:$D$3000=$D226)),Performance_Metrics!$C$2:$C$3000),"")</x:f>
        <x:v>46230</x:v>
      </x:c>
      <x:c r="H226" s="12" t="n">
        <x:f>IFERROR(LOOKUP(2,1/((Performance_Metrics!$A$2:$A$3000=$A226)*(Performance_Metrics!$D$2:$D$3000=$D226)),Performance_Metrics!$G$2:$G$3000),"")</x:f>
        <x:v>4.5</x:v>
      </x:c>
      <x:c r="I226" s="12" t="n">
        <x:f>IFERROR(SUMIFS(Normative_Data!$G$2:$G$1000,Normative_Data!$A$2:$A$1000,$B226,Normative_Data!$B$2:$B$1000,$C226,Normative_Data!$E$2:$E$1000,$D226),"")</x:f>
        <x:v>4.7</x:v>
      </x:c>
      <x:c r="J226" s="18" t="n">
        <x:f>IF(OR($H226="",$I226=""),"",($H226-$I226)/$I226)</x:f>
        <x:v>-0.042553191489361736</x:v>
      </x:c>
      <x:c r="K226" s="12" t="str">
        <x:f>IF(OR($H226="",$I226="",$F226=""),"",IF(ABS($J226)&lt;=0.05,"Equal to Norm",IF($F226="lower",IF($H226&lt;$I226,"Above Norm","Below Norm"),IF($H226&gt;$I226,"Above Norm","Below Norm"))))</x:f>
        <x:v>Equal to Norm</x:v>
      </x:c>
      <x:c r="L226" s="12" t="str">
        <x:f>IFERROR(VLOOKUP($D226&amp;"|"&amp;$K226,Recommendation_Lookup!$A$2:$H$19,2,FALSE),"")</x:f>
        <x:v>Improve braking and re-acceleration</x:v>
      </x:c>
      <x:c r="M226" s="12" t="str">
        <x:f>IFERROR(VLOOKUP($D226&amp;"|"&amp;$K226,Recommendation_Lookup!$A$2:$H$19,3,FALSE),"")</x:f>
        <x:v>Deceleration mechanics; foot placement; hip position; crossover efficiency</x:v>
      </x:c>
      <x:c r="N226" s="12" t="str">
        <x:f>IFERROR(VLOOKUP($D226&amp;"|"&amp;$K226,Recommendation_Lookup!$A$2:$H$19,4,FALSE),"")</x:f>
        <x:v>Use a structured change-of-direction block emphasizing braking positions, plant-foot control and efficient re-acceleration on both sides.</x:v>
      </x:c>
      <x:c r="O226" s="12" t="str">
        <x:f>IFERROR(VLOOKUP($D226&amp;"|"&amp;$K226,Recommendation_Lookup!$A$2:$H$19,5,FALSE),"")</x:f>
        <x:v>RVX Change of Direction Development</x:v>
      </x:c>
      <x:c r="P226" s="12" t="str">
        <x:f>IFERROR(VLOOKUP($D226&amp;"|"&amp;$K226,Recommendation_Lookup!$A$2:$H$19,6,FALSE),"")</x:f>
        <x:v>RVX Deceleration Mechanics</x:v>
      </x:c>
      <x:c r="Q226" s="12" t="str">
        <x:f>IFERROR(VLOOKUP($D226&amp;"|"&amp;$K226,Recommendation_Lookup!$A$2:$H$19,7,FALSE),"")</x:f>
        <x:v>Lower the centre of mass before the turn and push away from the plant.</x:v>
      </x:c>
      <x:c r="R226" s="12" t="str">
        <x:f>IFERROR(VLOOKUP($D226&amp;"|"&amp;$K226,Recommendation_Lookup!$A$2:$H$19,8,FALSE),"")</x:f>
        <x:v>Retest after 4–6 weeks and review directional splits if available.</x:v>
      </x:c>
      <x:c r="S226" s="12"/>
      <x:c r="T226" s="12"/>
      <x:c r="U226" s="12"/>
      <x:c r="V226" s="12"/>
      <x:c r="W226" s="12" t="str">
        <x:f>IF($S226&lt;&gt;"",$S226,$K226)</x:f>
        <x:v>Equal to Norm</x:v>
      </x:c>
      <x:c r="X226" s="12" t="str">
        <x:f>IF($T226&lt;&gt;"",$T226,$L226)</x:f>
        <x:v>Improve braking and re-acceleration</x:v>
      </x:c>
      <x:c r="Y226" s="12" t="str">
        <x:f>IF($U226&lt;&gt;"",$U226,$N226)</x:f>
        <x:v>Use a structured change-of-direction block emphasizing braking positions, plant-foot control and efficient re-acceleration on both sides.</x:v>
      </x:c>
      <x:c r="Z226" s="12" t="str">
        <x:f>IF($V226&lt;&gt;"",$V226,$O226)</x:f>
        <x:v>RVX Change of Direction Development</x:v>
      </x:c>
      <x:c r="AA226" s="12"/>
    </x:row>
    <x:row r="227">
      <x:c r="A227" s="12" t="str">
        <x:v>RVX-00038</x:v>
      </x:c>
      <x:c r="B227" s="12" t="str">
        <x:f>IFERROR(VLOOKUP($A227,Athlete_Profile!$A$2:$L$51,6,FALSE),"")</x:f>
        <x:v>Soccer</x:v>
      </x:c>
      <x:c r="C227" s="12" t="str">
        <x:f>IFERROR(VLOOKUP($A227,Athlete_Profile!$A$2:$L$51,5,FALSE),"")</x:f>
        <x:v>Male</x:v>
      </x:c>
      <x:c r="D227" s="12" t="str">
        <x:v>cmj_depth</x:v>
      </x:c>
      <x:c r="E227" s="12" t="str">
        <x:f>IFERROR(VLOOKUP($D227,Dropdown_Lists!$K$2:$N$7,2,FALSE),"")</x:f>
        <x:v>Countermovement Depth</x:v>
      </x:c>
      <x:c r="F227" s="12" t="str">
        <x:f>IFERROR(VLOOKUP($D227,Dropdown_Lists!$K$2:$N$7,3,FALSE),"")</x:f>
        <x:v>higher</x:v>
      </x:c>
      <x:c r="G227" s="17" t="n">
        <x:f>IFERROR(LOOKUP(2,1/((Performance_Metrics!$A$2:$A$3000=$A227)*(Performance_Metrics!$D$2:$D$3000=$D227)),Performance_Metrics!$C$2:$C$3000),"")</x:f>
        <x:v>46230</x:v>
      </x:c>
      <x:c r="H227" s="12" t="n">
        <x:f>IFERROR(LOOKUP(2,1/((Performance_Metrics!$A$2:$A$3000=$A227)*(Performance_Metrics!$D$2:$D$3000=$D227)),Performance_Metrics!$G$2:$G$3000),"")</x:f>
        <x:v>33.5</x:v>
      </x:c>
      <x:c r="I227" s="12" t="n">
        <x:f>IFERROR(SUMIFS(Normative_Data!$G$2:$G$1000,Normative_Data!$A$2:$A$1000,$B227,Normative_Data!$B$2:$B$1000,$C227,Normative_Data!$E$2:$E$1000,$D227),"")</x:f>
        <x:v>31.35</x:v>
      </x:c>
      <x:c r="J227" s="18" t="n">
        <x:f>IF(OR($H227="",$I227=""),"",($H227-$I227)/$I227)</x:f>
        <x:v>0.06858054226475274</x:v>
      </x:c>
      <x:c r="K227" s="12" t="str">
        <x:f>IF(OR($H227="",$I227="",$F227=""),"",IF(ABS($J227)&lt;=0.05,"Equal to Norm",IF($F227="lower",IF($H227&lt;$I227,"Above Norm","Below Norm"),IF($H227&gt;$I227,"Above Norm","Below Norm"))))</x:f>
        <x:v>Above Norm</x:v>
      </x:c>
      <x:c r="L227" s="12" t="str">
        <x:f>IFERROR(VLOOKUP($D227&amp;"|"&amp;$K227,Recommendation_Lookup!$A$2:$H$19,2,FALSE),"")</x:f>
        <x:v>Maintain effective countermovement strategy</x:v>
      </x:c>
      <x:c r="M227" s="12" t="str">
        <x:f>IFERROR(VLOOKUP($D227&amp;"|"&amp;$K227,Recommendation_Lookup!$A$2:$H$19,3,FALSE),"")</x:f>
        <x:v>Movement efficiency; eccentric control; jump consistency; depth-to-output relationship</x:v>
      </x:c>
      <x:c r="N227" s="12" t="str">
        <x:f>IFERROR(VLOOKUP($D227&amp;"|"&amp;$K227,Recommendation_Lookup!$A$2:$H$19,4,FALSE),"")</x:f>
        <x:v>Maintain the athlete’s preferred countermovement strategy while ensuring the additional depth contributes to force and impulse rather than excessive movement time.</x:v>
      </x:c>
      <x:c r="O227" s="12" t="str">
        <x:f>IFERROR(VLOOKUP($D227&amp;"|"&amp;$K227,Recommendation_Lookup!$A$2:$H$19,5,FALSE),"")</x:f>
        <x:v>RVX Jump Performance Advanced</x:v>
      </x:c>
      <x:c r="P227" s="12" t="str">
        <x:f>IFERROR(VLOOKUP($D227&amp;"|"&amp;$K227,Recommendation_Lookup!$A$2:$H$19,6,FALSE),"")</x:f>
        <x:v>RVX Eccentric Strength Microdose</x:v>
      </x:c>
      <x:c r="Q227" s="12" t="str">
        <x:f>IFERROR(VLOOKUP($D227&amp;"|"&amp;$K227,Recommendation_Lookup!$A$2:$H$19,7,FALSE),"")</x:f>
        <x:v>Use the depth you can control, then reverse quickly and aggressively.</x:v>
      </x:c>
      <x:c r="R227" s="12" t="str">
        <x:f>IFERROR(VLOOKUP($D227&amp;"|"&amp;$K227,Recommendation_Lookup!$A$2:$H$19,8,FALSE),"")</x:f>
        <x:v>Retest every 6–8 weeks while monitoring jump height and contraction time.</x:v>
      </x:c>
      <x:c r="S227" s="12"/>
      <x:c r="T227" s="12"/>
      <x:c r="U227" s="12"/>
      <x:c r="V227" s="12"/>
      <x:c r="W227" s="12" t="str">
        <x:f>IF($S227&lt;&gt;"",$S227,$K227)</x:f>
        <x:v>Above Norm</x:v>
      </x:c>
      <x:c r="X227" s="12" t="str">
        <x:f>IF($T227&lt;&gt;"",$T227,$L227)</x:f>
        <x:v>Maintain effective countermovement strategy</x:v>
      </x:c>
      <x:c r="Y227" s="12" t="str">
        <x:f>IF($U227&lt;&gt;"",$U227,$N227)</x:f>
        <x:v>Maintain the athlete’s preferred countermovement strategy while ensuring the additional depth contributes to force and impulse rather than excessive movement time.</x:v>
      </x:c>
      <x:c r="Z227" s="12" t="str">
        <x:f>IF($V227&lt;&gt;"",$V227,$O227)</x:f>
        <x:v>RVX Jump Performance Advanced</x:v>
      </x:c>
      <x:c r="AA227" s="12"/>
    </x:row>
    <x:row r="228">
      <x:c r="A228" s="12" t="str">
        <x:v>RVX-00038</x:v>
      </x:c>
      <x:c r="B228" s="12" t="str">
        <x:f>IFERROR(VLOOKUP($A228,Athlete_Profile!$A$2:$L$51,6,FALSE),"")</x:f>
        <x:v>Soccer</x:v>
      </x:c>
      <x:c r="C228" s="12" t="str">
        <x:f>IFERROR(VLOOKUP($A228,Athlete_Profile!$A$2:$L$51,5,FALSE),"")</x:f>
        <x:v>Male</x:v>
      </x:c>
      <x:c r="D228" s="12" t="str">
        <x:v>peak_force</x:v>
      </x:c>
      <x:c r="E228" s="12" t="str">
        <x:f>IFERROR(VLOOKUP($D228,Dropdown_Lists!$K$2:$N$7,2,FALSE),"")</x:f>
        <x:v>Peak Force</x:v>
      </x:c>
      <x:c r="F228" s="12" t="str">
        <x:f>IFERROR(VLOOKUP($D228,Dropdown_Lists!$K$2:$N$7,3,FALSE),"")</x:f>
        <x:v>higher</x:v>
      </x:c>
      <x:c r="G228" s="17" t="n">
        <x:f>IFERROR(LOOKUP(2,1/((Performance_Metrics!$A$2:$A$3000=$A228)*(Performance_Metrics!$D$2:$D$3000=$D228)),Performance_Metrics!$C$2:$C$3000),"")</x:f>
        <x:v>46230</x:v>
      </x:c>
      <x:c r="H228" s="12" t="n">
        <x:f>IFERROR(LOOKUP(2,1/((Performance_Metrics!$A$2:$A$3000=$A228)*(Performance_Metrics!$D$2:$D$3000=$D228)),Performance_Metrics!$G$2:$G$3000),"")</x:f>
        <x:v>1904</x:v>
      </x:c>
      <x:c r="I228" s="12" t="n">
        <x:f>IFERROR(SUMIFS(Normative_Data!$G$2:$G$1000,Normative_Data!$A$2:$A$1000,$B228,Normative_Data!$B$2:$B$1000,$C228,Normative_Data!$E$2:$E$1000,$D228),"")</x:f>
        <x:v>1828.75</x:v>
      </x:c>
      <x:c r="J228" s="18" t="n">
        <x:f>IF(OR($H228="",$I228=""),"",($H228-$I228)/$I228)</x:f>
        <x:v>0.04114832535885168</x:v>
      </x:c>
      <x:c r="K228" s="12" t="str">
        <x:f>IF(OR($H228="",$I228="",$F228=""),"",IF(ABS($J228)&lt;=0.05,"Equal to Norm",IF($F228="lower",IF($H228&lt;$I228,"Above Norm","Below Norm"),IF($H228&gt;$I228,"Above Norm","Below Norm"))))</x:f>
        <x:v>Equal to Norm</x:v>
      </x:c>
      <x:c r="L228" s="12" t="str">
        <x:f>IFERROR(VLOOKUP($D228&amp;"|"&amp;$K228,Recommendation_Lookup!$A$2:$H$19,2,FALSE),"")</x:f>
        <x:v>Increase force capacity</x:v>
      </x:c>
      <x:c r="M228" s="12" t="str">
        <x:f>IFERROR(VLOOKUP($D228&amp;"|"&amp;$K228,Recommendation_Lookup!$A$2:$H$19,3,FALSE),"")</x:f>
        <x:v>Relative strength; bracing; lower-body strength; isometric force</x:v>
      </x:c>
      <x:c r="N228" s="12" t="str">
        <x:f>IFERROR(VLOOKUP($D228&amp;"|"&amp;$K228,Recommendation_Lookup!$A$2:$H$19,4,FALSE),"")</x:f>
        <x:v>Use progressive lower-body strength training with compound lifts, isometrics and unilateral work. Maintain technical quality and appropriate loading progression.</x:v>
      </x:c>
      <x:c r="O228" s="12" t="str">
        <x:f>IFERROR(VLOOKUP($D228&amp;"|"&amp;$K228,Recommendation_Lookup!$A$2:$H$19,5,FALSE),"")</x:f>
        <x:v>RVX Strength Development</x:v>
      </x:c>
      <x:c r="P228" s="12" t="str">
        <x:f>IFERROR(VLOOKUP($D228&amp;"|"&amp;$K228,Recommendation_Lookup!$A$2:$H$19,6,FALSE),"")</x:f>
        <x:v>RVX Isometric Force Builder</x:v>
      </x:c>
      <x:c r="Q228" s="12" t="str">
        <x:f>IFERROR(VLOOKUP($D228&amp;"|"&amp;$K228,Recommendation_Lookup!$A$2:$H$19,7,FALSE),"")</x:f>
        <x:v>Create full-body tension and push through the floor with intent.</x:v>
      </x:c>
      <x:c r="R228" s="12" t="str">
        <x:f>IFERROR(VLOOKUP($D228&amp;"|"&amp;$K228,Recommendation_Lookup!$A$2:$H$19,8,FALSE),"")</x:f>
        <x:v>Retest after 4–6 weeks.</x:v>
      </x:c>
      <x:c r="S228" s="12"/>
      <x:c r="T228" s="12"/>
      <x:c r="U228" s="12"/>
      <x:c r="V228" s="12"/>
      <x:c r="W228" s="12" t="str">
        <x:f>IF($S228&lt;&gt;"",$S228,$K228)</x:f>
        <x:v>Equal to Norm</x:v>
      </x:c>
      <x:c r="X228" s="12" t="str">
        <x:f>IF($T228&lt;&gt;"",$T228,$L228)</x:f>
        <x:v>Increase force capacity</x:v>
      </x:c>
      <x:c r="Y228" s="12" t="str">
        <x:f>IF($U228&lt;&gt;"",$U228,$N228)</x:f>
        <x:v>Use progressive lower-body strength training with compound lifts, isometrics and unilateral work. Maintain technical quality and appropriate loading progression.</x:v>
      </x:c>
      <x:c r="Z228" s="12" t="str">
        <x:f>IF($V228&lt;&gt;"",$V228,$O228)</x:f>
        <x:v>RVX Strength Development</x:v>
      </x:c>
      <x:c r="AA228" s="12"/>
    </x:row>
    <x:row r="229">
      <x:c r="A229" s="12" t="str">
        <x:v>RVX-00038</x:v>
      </x:c>
      <x:c r="B229" s="12" t="str">
        <x:f>IFERROR(VLOOKUP($A229,Athlete_Profile!$A$2:$L$51,6,FALSE),"")</x:f>
        <x:v>Soccer</x:v>
      </x:c>
      <x:c r="C229" s="12" t="str">
        <x:f>IFERROR(VLOOKUP($A229,Athlete_Profile!$A$2:$L$51,5,FALSE),"")</x:f>
        <x:v>Male</x:v>
      </x:c>
      <x:c r="D229" s="12" t="str">
        <x:v>impulse</x:v>
      </x:c>
      <x:c r="E229" s="12" t="str">
        <x:f>IFERROR(VLOOKUP($D229,Dropdown_Lists!$K$2:$N$7,2,FALSE),"")</x:f>
        <x:v>Impulse-Momentum</x:v>
      </x:c>
      <x:c r="F229" s="12" t="str">
        <x:f>IFERROR(VLOOKUP($D229,Dropdown_Lists!$K$2:$N$7,3,FALSE),"")</x:f>
        <x:v>higher</x:v>
      </x:c>
      <x:c r="G229" s="17" t="n">
        <x:f>IFERROR(LOOKUP(2,1/((Performance_Metrics!$A$2:$A$3000=$A229)*(Performance_Metrics!$D$2:$D$3000=$D229)),Performance_Metrics!$C$2:$C$3000),"")</x:f>
        <x:v>46230</x:v>
      </x:c>
      <x:c r="H229" s="12" t="n">
        <x:f>IFERROR(LOOKUP(2,1/((Performance_Metrics!$A$2:$A$3000=$A229)*(Performance_Metrics!$D$2:$D$3000=$D229)),Performance_Metrics!$G$2:$G$3000),"")</x:f>
        <x:v>235</x:v>
      </x:c>
      <x:c r="I229" s="12" t="n">
        <x:f>IFERROR(SUMIFS(Normative_Data!$G$2:$G$1000,Normative_Data!$A$2:$A$1000,$B229,Normative_Data!$B$2:$B$1000,$C229,Normative_Data!$E$2:$E$1000,$D229),"")</x:f>
        <x:v>224.68</x:v>
      </x:c>
      <x:c r="J229" s="18" t="n">
        <x:f>IF(OR($H229="",$I229=""),"",($H229-$I229)/$I229)</x:f>
        <x:v>0.045931992166636966</x:v>
      </x:c>
      <x:c r="K229" s="12" t="str">
        <x:f>IF(OR($H229="",$I229="",$F229=""),"",IF(ABS($J229)&lt;=0.05,"Equal to Norm",IF($F229="lower",IF($H229&lt;$I229,"Above Norm","Below Norm"),IF($H229&gt;$I229,"Above Norm","Below Norm"))))</x:f>
        <x:v>Equal to Norm</x:v>
      </x:c>
      <x:c r="L229" s="12" t="str">
        <x:f>IFERROR(VLOOKUP($D229&amp;"|"&amp;$K229,Recommendation_Lookup!$A$2:$H$19,2,FALSE),"")</x:f>
        <x:v>Improve force applied over time</x:v>
      </x:c>
      <x:c r="M229" s="12" t="str">
        <x:f>IFERROR(VLOOKUP($D229&amp;"|"&amp;$K229,Recommendation_Lookup!$A$2:$H$19,3,FALSE),"")</x:f>
        <x:v>Strength; countermovement strategy; intent; coordination; power</x:v>
      </x:c>
      <x:c r="N229" s="12" t="str">
        <x:f>IFERROR(VLOOKUP($D229&amp;"|"&amp;$K229,Recommendation_Lookup!$A$2:$H$19,4,FALSE),"")</x:f>
        <x:v>Use loaded jumps, isometrics and strength-power exercises that improve the athlete’s ability to produce and sustain force through the propulsion phase.</x:v>
      </x:c>
      <x:c r="O229" s="12" t="str">
        <x:f>IFERROR(VLOOKUP($D229&amp;"|"&amp;$K229,Recommendation_Lookup!$A$2:$H$19,5,FALSE),"")</x:f>
        <x:v>RVX Power Development</x:v>
      </x:c>
      <x:c r="P229" s="12" t="str">
        <x:f>IFERROR(VLOOKUP($D229&amp;"|"&amp;$K229,Recommendation_Lookup!$A$2:$H$19,6,FALSE),"")</x:f>
        <x:v>RVX Strength-Speed</x:v>
      </x:c>
      <x:c r="Q229" s="12" t="str">
        <x:f>IFERROR(VLOOKUP($D229&amp;"|"&amp;$K229,Recommendation_Lookup!$A$2:$H$19,7,FALSE),"")</x:f>
        <x:v>Apply force early and continue driving through take-off.</x:v>
      </x:c>
      <x:c r="R229" s="12" t="str">
        <x:f>IFERROR(VLOOKUP($D229&amp;"|"&amp;$K229,Recommendation_Lookup!$A$2:$H$19,8,FALSE),"")</x:f>
        <x:v>Retest after 4–6 weeks.</x:v>
      </x:c>
      <x:c r="S229" s="12"/>
      <x:c r="T229" s="12"/>
      <x:c r="U229" s="12"/>
      <x:c r="V229" s="12"/>
      <x:c r="W229" s="12" t="str">
        <x:f>IF($S229&lt;&gt;"",$S229,$K229)</x:f>
        <x:v>Equal to Norm</x:v>
      </x:c>
      <x:c r="X229" s="12" t="str">
        <x:f>IF($T229&lt;&gt;"",$T229,$L229)</x:f>
        <x:v>Improve force applied over time</x:v>
      </x:c>
      <x:c r="Y229" s="12" t="str">
        <x:f>IF($U229&lt;&gt;"",$U229,$N229)</x:f>
        <x:v>Use loaded jumps, isometrics and strength-power exercises that improve the athlete’s ability to produce and sustain force through the propulsion phase.</x:v>
      </x:c>
      <x:c r="Z229" s="12" t="str">
        <x:f>IF($V229&lt;&gt;"",$V229,$O229)</x:f>
        <x:v>RVX Power Development</x:v>
      </x:c>
      <x:c r="AA229" s="12"/>
    </x:row>
    <x:row r="230">
      <x:c r="A230" s="12" t="str">
        <x:v>RVX-00039</x:v>
      </x:c>
      <x:c r="B230" s="12" t="str">
        <x:f>IFERROR(VLOOKUP($A230,Athlete_Profile!$A$2:$L$51,6,FALSE),"")</x:f>
        <x:v>Soccer</x:v>
      </x:c>
      <x:c r="C230" s="12" t="str">
        <x:f>IFERROR(VLOOKUP($A230,Athlete_Profile!$A$2:$L$51,5,FALSE),"")</x:f>
        <x:v>Female</x:v>
      </x:c>
      <x:c r="D230" s="12" t="str">
        <x:v>sprint_5m</x:v>
      </x:c>
      <x:c r="E230" s="12" t="str">
        <x:f>IFERROR(VLOOKUP($D230,Dropdown_Lists!$K$2:$N$7,2,FALSE),"")</x:f>
        <x:v>5m Sprint</x:v>
      </x:c>
      <x:c r="F230" s="12" t="str">
        <x:f>IFERROR(VLOOKUP($D230,Dropdown_Lists!$K$2:$N$7,3,FALSE),"")</x:f>
        <x:v>lower</x:v>
      </x:c>
      <x:c r="G230" s="17" t="n">
        <x:f>IFERROR(LOOKUP(2,1/((Performance_Metrics!$A$2:$A$3000=$A230)*(Performance_Metrics!$D$2:$D$3000=$D230)),Performance_Metrics!$C$2:$C$3000),"")</x:f>
        <x:v>46230</x:v>
      </x:c>
      <x:c r="H230" s="12" t="n">
        <x:f>IFERROR(LOOKUP(2,1/((Performance_Metrics!$A$2:$A$3000=$A230)*(Performance_Metrics!$D$2:$D$3000=$D230)),Performance_Metrics!$G$2:$G$3000),"")</x:f>
        <x:v>1.2</x:v>
      </x:c>
      <x:c r="I230" s="12" t="n">
        <x:f>IFERROR(SUMIFS(Normative_Data!$G$2:$G$1000,Normative_Data!$A$2:$A$1000,$B230,Normative_Data!$B$2:$B$1000,$C230,Normative_Data!$E$2:$E$1000,$D230),"")</x:f>
        <x:v>1.14</x:v>
      </x:c>
      <x:c r="J230" s="18" t="n">
        <x:f>IF(OR($H230="",$I230=""),"",($H230-$I230)/$I230)</x:f>
        <x:v>0.052631578947368474</x:v>
      </x:c>
      <x:c r="K230" s="12" t="str">
        <x:f>IF(OR($H230="",$I230="",$F230=""),"",IF(ABS($J230)&lt;=0.05,"Equal to Norm",IF($F230="lower",IF($H230&lt;$I230,"Above Norm","Below Norm"),IF($H230&gt;$I230,"Above Norm","Below Norm"))))</x:f>
        <x:v>Below Norm</x:v>
      </x:c>
      <x:c r="L230" s="12" t="str">
        <x:f>IFERROR(VLOOKUP($D230&amp;"|"&amp;$K230,Recommendation_Lookup!$A$2:$H$19,2,FALSE),"")</x:f>
        <x:v>Develop first-step acceleration</x:v>
      </x:c>
      <x:c r="M230" s="12" t="str">
        <x:f>IFERROR(VLOOKUP($D230&amp;"|"&amp;$K230,Recommendation_Lookup!$A$2:$H$19,3,FALSE),"")</x:f>
        <x:v>Relative strength; horizontal force; start mechanics; stiffness; coordination</x:v>
      </x:c>
      <x:c r="N230" s="12" t="str">
        <x:f>IFERROR(VLOOKUP($D230&amp;"|"&amp;$K230,Recommendation_Lookup!$A$2:$H$19,4,FALSE),"")</x:f>
        <x:v>Prioritize acceleration fundamentals and lower-body force capacity. Use resisted marches, wall drills, short sled accelerations and controlled 5 m sprint exposures.</x:v>
      </x:c>
      <x:c r="O230" s="12" t="str">
        <x:f>IFERROR(VLOOKUP($D230&amp;"|"&amp;$K230,Recommendation_Lookup!$A$2:$H$19,5,FALSE),"")</x:f>
        <x:v>RVX Acceleration Foundations</x:v>
      </x:c>
      <x:c r="P230" s="12" t="str">
        <x:f>IFERROR(VLOOKUP($D230&amp;"|"&amp;$K230,Recommendation_Lookup!$A$2:$H$19,6,FALSE),"")</x:f>
        <x:v>RVX Lower-Body Strength Foundations</x:v>
      </x:c>
      <x:c r="Q230" s="12" t="str">
        <x:f>IFERROR(VLOOKUP($D230&amp;"|"&amp;$K230,Recommendation_Lookup!$A$2:$H$19,7,FALSE),"")</x:f>
        <x:v>Create a strong angle, drive through the ground, and accelerate with intent.</x:v>
      </x:c>
      <x:c r="R230" s="12" t="str">
        <x:f>IFERROR(VLOOKUP($D230&amp;"|"&amp;$K230,Recommendation_Lookup!$A$2:$H$19,8,FALSE),"")</x:f>
        <x:v>Retest after 4 weeks; review technique video before increasing sprint volume.</x:v>
      </x:c>
      <x:c r="S230" s="12"/>
      <x:c r="T230" s="12"/>
      <x:c r="U230" s="12"/>
      <x:c r="V230" s="12"/>
      <x:c r="W230" s="12" t="str">
        <x:f>IF($S230&lt;&gt;"",$S230,$K230)</x:f>
        <x:v>Below Norm</x:v>
      </x:c>
      <x:c r="X230" s="12" t="str">
        <x:f>IF($T230&lt;&gt;"",$T230,$L230)</x:f>
        <x:v>Develop first-step acceleration</x:v>
      </x:c>
      <x:c r="Y230" s="12" t="str">
        <x:f>IF($U230&lt;&gt;"",$U230,$N230)</x:f>
        <x:v>Prioritize acceleration fundamentals and lower-body force capacity. Use resisted marches, wall drills, short sled accelerations and controlled 5 m sprint exposures.</x:v>
      </x:c>
      <x:c r="Z230" s="12" t="str">
        <x:f>IF($V230&lt;&gt;"",$V230,$O230)</x:f>
        <x:v>RVX Acceleration Foundations</x:v>
      </x:c>
      <x:c r="AA230" s="12"/>
    </x:row>
    <x:row r="231">
      <x:c r="A231" s="12" t="str">
        <x:v>RVX-00039</x:v>
      </x:c>
      <x:c r="B231" s="12" t="str">
        <x:f>IFERROR(VLOOKUP($A231,Athlete_Profile!$A$2:$L$51,6,FALSE),"")</x:f>
        <x:v>Soccer</x:v>
      </x:c>
      <x:c r="C231" s="12" t="str">
        <x:f>IFERROR(VLOOKUP($A231,Athlete_Profile!$A$2:$L$51,5,FALSE),"")</x:f>
        <x:v>Female</x:v>
      </x:c>
      <x:c r="D231" s="12" t="str">
        <x:v>sprint_10m</x:v>
      </x:c>
      <x:c r="E231" s="12" t="str">
        <x:f>IFERROR(VLOOKUP($D231,Dropdown_Lists!$K$2:$N$7,2,FALSE),"")</x:f>
        <x:v>10m Sprint</x:v>
      </x:c>
      <x:c r="F231" s="12" t="str">
        <x:f>IFERROR(VLOOKUP($D231,Dropdown_Lists!$K$2:$N$7,3,FALSE),"")</x:f>
        <x:v>lower</x:v>
      </x:c>
      <x:c r="G231" s="17" t="n">
        <x:f>IFERROR(LOOKUP(2,1/((Performance_Metrics!$A$2:$A$3000=$A231)*(Performance_Metrics!$D$2:$D$3000=$D231)),Performance_Metrics!$C$2:$C$3000),"")</x:f>
        <x:v>46230</x:v>
      </x:c>
      <x:c r="H231" s="12" t="n">
        <x:f>IFERROR(LOOKUP(2,1/((Performance_Metrics!$A$2:$A$3000=$A231)*(Performance_Metrics!$D$2:$D$3000=$D231)),Performance_Metrics!$G$2:$G$3000),"")</x:f>
        <x:v>2</x:v>
      </x:c>
      <x:c r="I231" s="12" t="n">
        <x:f>IFERROR(SUMIFS(Normative_Data!$G$2:$G$1000,Normative_Data!$A$2:$A$1000,$B231,Normative_Data!$B$2:$B$1000,$C231,Normative_Data!$E$2:$E$1000,$D231),"")</x:f>
        <x:v>1.91</x:v>
      </x:c>
      <x:c r="J231" s="18" t="n">
        <x:f>IF(OR($H231="",$I231=""),"",($H231-$I231)/$I231)</x:f>
        <x:v>0.04712041884816758</x:v>
      </x:c>
      <x:c r="K231" s="12" t="str">
        <x:f>IF(OR($H231="",$I231="",$F231=""),"",IF(ABS($J231)&lt;=0.05,"Equal to Norm",IF($F231="lower",IF($H231&lt;$I231,"Above Norm","Below Norm"),IF($H231&gt;$I231,"Above Norm","Below Norm"))))</x:f>
        <x:v>Equal to Norm</x:v>
      </x:c>
      <x:c r="L231" s="12" t="str">
        <x:f>IFERROR(VLOOKUP($D231&amp;"|"&amp;$K231,Recommendation_Lookup!$A$2:$H$19,2,FALSE),"")</x:f>
        <x:v>Improve acceleration continuation</x:v>
      </x:c>
      <x:c r="M231" s="12" t="str">
        <x:f>IFERROR(VLOOKUP($D231&amp;"|"&amp;$K231,Recommendation_Lookup!$A$2:$H$19,3,FALSE),"")</x:f>
        <x:v>Projection; force orientation; step rhythm; trunk control</x:v>
      </x:c>
      <x:c r="N231" s="12" t="str">
        <x:f>IFERROR(VLOOKUP($D231&amp;"|"&amp;$K231,Recommendation_Lookup!$A$2:$H$19,4,FALSE),"")</x:f>
        <x:v>Build acceleration from 0–10 m using split starts, falling starts and progressive resisted sprints. Emphasize full recovery and technical consistency.</x:v>
      </x:c>
      <x:c r="O231" s="12" t="str">
        <x:f>IFERROR(VLOOKUP($D231&amp;"|"&amp;$K231,Recommendation_Lookup!$A$2:$H$19,5,FALSE),"")</x:f>
        <x:v>RVX Acceleration Development</x:v>
      </x:c>
      <x:c r="P231" s="12" t="str">
        <x:f>IFERROR(VLOOKUP($D231&amp;"|"&amp;$K231,Recommendation_Lookup!$A$2:$H$19,6,FALSE),"")</x:f>
        <x:v>RVX Sprint Mechanics</x:v>
      </x:c>
      <x:c r="Q231" s="12" t="str">
        <x:f>IFERROR(VLOOKUP($D231&amp;"|"&amp;$K231,Recommendation_Lookup!$A$2:$H$19,7,FALSE),"")</x:f>
        <x:v>Keep building speed through the line; do not stand up too early.</x:v>
      </x:c>
      <x:c r="R231" s="12" t="str">
        <x:f>IFERROR(VLOOKUP($D231&amp;"|"&amp;$K231,Recommendation_Lookup!$A$2:$H$19,8,FALSE),"")</x:f>
        <x:v>Retest after 4–6 weeks.</x:v>
      </x:c>
      <x:c r="S231" s="12"/>
      <x:c r="T231" s="12"/>
      <x:c r="U231" s="12"/>
      <x:c r="V231" s="12"/>
      <x:c r="W231" s="12" t="str">
        <x:f>IF($S231&lt;&gt;"",$S231,$K231)</x:f>
        <x:v>Equal to Norm</x:v>
      </x:c>
      <x:c r="X231" s="12" t="str">
        <x:f>IF($T231&lt;&gt;"",$T231,$L231)</x:f>
        <x:v>Improve acceleration continuation</x:v>
      </x:c>
      <x:c r="Y231" s="12" t="str">
        <x:f>IF($U231&lt;&gt;"",$U231,$N231)</x:f>
        <x:v>Build acceleration from 0–10 m using split starts, falling starts and progressive resisted sprints. Emphasize full recovery and technical consistency.</x:v>
      </x:c>
      <x:c r="Z231" s="12" t="str">
        <x:f>IF($V231&lt;&gt;"",$V231,$O231)</x:f>
        <x:v>RVX Acceleration Development</x:v>
      </x:c>
      <x:c r="AA231" s="12"/>
    </x:row>
    <x:row r="232">
      <x:c r="A232" s="12" t="str">
        <x:v>RVX-00039</x:v>
      </x:c>
      <x:c r="B232" s="12" t="str">
        <x:f>IFERROR(VLOOKUP($A232,Athlete_Profile!$A$2:$L$51,6,FALSE),"")</x:f>
        <x:v>Soccer</x:v>
      </x:c>
      <x:c r="C232" s="12" t="str">
        <x:f>IFERROR(VLOOKUP($A232,Athlete_Profile!$A$2:$L$51,5,FALSE),"")</x:f>
        <x:v>Female</x:v>
      </x:c>
      <x:c r="D232" s="12" t="str">
        <x:v>pro_agility</x:v>
      </x:c>
      <x:c r="E232" s="12" t="str">
        <x:f>IFERROR(VLOOKUP($D232,Dropdown_Lists!$K$2:$N$7,2,FALSE),"")</x:f>
        <x:v>5-10-5 Pro Agility</x:v>
      </x:c>
      <x:c r="F232" s="12" t="str">
        <x:f>IFERROR(VLOOKUP($D232,Dropdown_Lists!$K$2:$N$7,3,FALSE),"")</x:f>
        <x:v>lower</x:v>
      </x:c>
      <x:c r="G232" s="17" t="n">
        <x:f>IFERROR(LOOKUP(2,1/((Performance_Metrics!$A$2:$A$3000=$A232)*(Performance_Metrics!$D$2:$D$3000=$D232)),Performance_Metrics!$C$2:$C$3000),"")</x:f>
        <x:v>46230</x:v>
      </x:c>
      <x:c r="H232" s="12" t="n">
        <x:f>IFERROR(LOOKUP(2,1/((Performance_Metrics!$A$2:$A$3000=$A232)*(Performance_Metrics!$D$2:$D$3000=$D232)),Performance_Metrics!$G$2:$G$3000),"")</x:f>
        <x:v>5.15</x:v>
      </x:c>
      <x:c r="I232" s="12" t="n">
        <x:f>IFERROR(SUMIFS(Normative_Data!$G$2:$G$1000,Normative_Data!$A$2:$A$1000,$B232,Normative_Data!$B$2:$B$1000,$C232,Normative_Data!$E$2:$E$1000,$D232),"")</x:f>
        <x:v>4.89</x:v>
      </x:c>
      <x:c r="J232" s="18" t="n">
        <x:f>IF(OR($H232="",$I232=""),"",($H232-$I232)/$I232)</x:f>
        <x:v>0.05316973415132938</x:v>
      </x:c>
      <x:c r="K232" s="12" t="str">
        <x:f>IF(OR($H232="",$I232="",$F232=""),"",IF(ABS($J232)&lt;=0.05,"Equal to Norm",IF($F232="lower",IF($H232&lt;$I232,"Above Norm","Below Norm"),IF($H232&gt;$I232,"Above Norm","Below Norm"))))</x:f>
        <x:v>Below Norm</x:v>
      </x:c>
      <x:c r="L232" s="12" t="str">
        <x:f>IFERROR(VLOOKUP($D232&amp;"|"&amp;$K232,Recommendation_Lookup!$A$2:$H$19,2,FALSE),"")</x:f>
        <x:v>Build foundational change-of-direction skill</x:v>
      </x:c>
      <x:c r="M232" s="12" t="str">
        <x:f>IFERROR(VLOOKUP($D232&amp;"|"&amp;$K232,Recommendation_Lookup!$A$2:$H$19,3,FALSE),"")</x:f>
        <x:v>Eccentric strength; braking confidence; plant mechanics; lateral force; coordination</x:v>
      </x:c>
      <x:c r="N232" s="12" t="str">
        <x:f>IFERROR(VLOOKUP($D232&amp;"|"&amp;$K232,Recommendation_Lookup!$A$2:$H$19,4,FALSE),"")</x:f>
        <x:v>Begin with controlled deceleration and planned directional drills. Pair with unilateral strength and lateral force development before increasing reactive complexity.</x:v>
      </x:c>
      <x:c r="O232" s="12" t="str">
        <x:f>IFERROR(VLOOKUP($D232&amp;"|"&amp;$K232,Recommendation_Lookup!$A$2:$H$19,5,FALSE),"")</x:f>
        <x:v>RVX Change of Direction Foundations</x:v>
      </x:c>
      <x:c r="P232" s="12" t="str">
        <x:f>IFERROR(VLOOKUP($D232&amp;"|"&amp;$K232,Recommendation_Lookup!$A$2:$H$19,6,FALSE),"")</x:f>
        <x:v>RVX Unilateral Strength Foundations</x:v>
      </x:c>
      <x:c r="Q232" s="12" t="str">
        <x:f>IFERROR(VLOOKUP($D232&amp;"|"&amp;$K232,Recommendation_Lookup!$A$2:$H$19,7,FALSE),"")</x:f>
        <x:v>Arrive under control, plant outside the body and re-accelerate with purpose.</x:v>
      </x:c>
      <x:c r="R232" s="12" t="str">
        <x:f>IFERROR(VLOOKUP($D232&amp;"|"&amp;$K232,Recommendation_Lookup!$A$2:$H$19,8,FALSE),"")</x:f>
        <x:v>Retest after 4 weeks; assess both turning directions separately.</x:v>
      </x:c>
      <x:c r="S232" s="12"/>
      <x:c r="T232" s="12"/>
      <x:c r="U232" s="12"/>
      <x:c r="V232" s="12"/>
      <x:c r="W232" s="12" t="str">
        <x:f>IF($S232&lt;&gt;"",$S232,$K232)</x:f>
        <x:v>Below Norm</x:v>
      </x:c>
      <x:c r="X232" s="12" t="str">
        <x:f>IF($T232&lt;&gt;"",$T232,$L232)</x:f>
        <x:v>Build foundational change-of-direction skill</x:v>
      </x:c>
      <x:c r="Y232" s="12" t="str">
        <x:f>IF($U232&lt;&gt;"",$U232,$N232)</x:f>
        <x:v>Begin with controlled deceleration and planned directional drills. Pair with unilateral strength and lateral force development before increasing reactive complexity.</x:v>
      </x:c>
      <x:c r="Z232" s="12" t="str">
        <x:f>IF($V232&lt;&gt;"",$V232,$O232)</x:f>
        <x:v>RVX Change of Direction Foundations</x:v>
      </x:c>
      <x:c r="AA232" s="12"/>
    </x:row>
    <x:row r="233">
      <x:c r="A233" s="12" t="str">
        <x:v>RVX-00039</x:v>
      </x:c>
      <x:c r="B233" s="12" t="str">
        <x:f>IFERROR(VLOOKUP($A233,Athlete_Profile!$A$2:$L$51,6,FALSE),"")</x:f>
        <x:v>Soccer</x:v>
      </x:c>
      <x:c r="C233" s="12" t="str">
        <x:f>IFERROR(VLOOKUP($A233,Athlete_Profile!$A$2:$L$51,5,FALSE),"")</x:f>
        <x:v>Female</x:v>
      </x:c>
      <x:c r="D233" s="12" t="str">
        <x:v>cmj_depth</x:v>
      </x:c>
      <x:c r="E233" s="12" t="str">
        <x:f>IFERROR(VLOOKUP($D233,Dropdown_Lists!$K$2:$N$7,2,FALSE),"")</x:f>
        <x:v>Countermovement Depth</x:v>
      </x:c>
      <x:c r="F233" s="12" t="str">
        <x:f>IFERROR(VLOOKUP($D233,Dropdown_Lists!$K$2:$N$7,3,FALSE),"")</x:f>
        <x:v>higher</x:v>
      </x:c>
      <x:c r="G233" s="17" t="n">
        <x:f>IFERROR(LOOKUP(2,1/((Performance_Metrics!$A$2:$A$3000=$A233)*(Performance_Metrics!$D$2:$D$3000=$D233)),Performance_Metrics!$C$2:$C$3000),"")</x:f>
        <x:v>46230</x:v>
      </x:c>
      <x:c r="H233" s="12" t="n">
        <x:f>IFERROR(LOOKUP(2,1/((Performance_Metrics!$A$2:$A$3000=$A233)*(Performance_Metrics!$D$2:$D$3000=$D233)),Performance_Metrics!$G$2:$G$3000),"")</x:f>
        <x:v>26.9</x:v>
      </x:c>
      <x:c r="I233" s="12" t="n">
        <x:f>IFERROR(SUMIFS(Normative_Data!$G$2:$G$1000,Normative_Data!$A$2:$A$1000,$B233,Normative_Data!$B$2:$B$1000,$C233,Normative_Data!$E$2:$E$1000,$D233),"")</x:f>
        <x:v>28.5</x:v>
      </x:c>
      <x:c r="J233" s="18" t="n">
        <x:f>IF(OR($H233="",$I233=""),"",($H233-$I233)/$I233)</x:f>
        <x:v>-0.05614035087719303</x:v>
      </x:c>
      <x:c r="K233" s="12" t="str">
        <x:f>IF(OR($H233="",$I233="",$F233=""),"",IF(ABS($J233)&lt;=0.05,"Equal to Norm",IF($F233="lower",IF($H233&lt;$I233,"Above Norm","Below Norm"),IF($H233&gt;$I233,"Above Norm","Below Norm"))))</x:f>
        <x:v>Below Norm</x:v>
      </x:c>
      <x:c r="L233" s="12" t="str">
        <x:f>IFERROR(VLOOKUP($D233&amp;"|"&amp;$K233,Recommendation_Lookup!$A$2:$H$19,2,FALSE),"")</x:f>
        <x:v>Develop usable countermovement range</x:v>
      </x:c>
      <x:c r="M233" s="12" t="str">
        <x:f>IFERROR(VLOOKUP($D233&amp;"|"&amp;$K233,Recommendation_Lookup!$A$2:$H$19,3,FALSE),"")</x:f>
        <x:v>Ankle mobility; hip mobility; eccentric strength; confidence; coordination</x:v>
      </x:c>
      <x:c r="N233" s="12" t="str">
        <x:f>IFERROR(VLOOKUP($D233&amp;"|"&amp;$K233,Recommendation_Lookup!$A$2:$H$19,4,FALSE),"")</x:f>
        <x:v>Improve controlled eccentric range and movement confidence. Use tempo squats, snap-downs and progressive countermovement jump practice without forcing artificial depth.</x:v>
      </x:c>
      <x:c r="O233" s="12" t="str">
        <x:f>IFERROR(VLOOKUP($D233&amp;"|"&amp;$K233,Recommendation_Lookup!$A$2:$H$19,5,FALSE),"")</x:f>
        <x:v>RVX Jump Foundations</x:v>
      </x:c>
      <x:c r="P233" s="12" t="str">
        <x:f>IFERROR(VLOOKUP($D233&amp;"|"&amp;$K233,Recommendation_Lookup!$A$2:$H$19,6,FALSE),"")</x:f>
        <x:v>RVX Mobility and Eccentric Control</x:v>
      </x:c>
      <x:c r="Q233" s="12" t="str">
        <x:f>IFERROR(VLOOKUP($D233&amp;"|"&amp;$K233,Recommendation_Lookup!$A$2:$H$19,7,FALSE),"")</x:f>
        <x:v>Create controlled depth first; speed up the reversal only when position is stable.</x:v>
      </x:c>
      <x:c r="R233" s="12" t="str">
        <x:f>IFERROR(VLOOKUP($D233&amp;"|"&amp;$K233,Recommendation_Lookup!$A$2:$H$19,8,FALSE),"")</x:f>
        <x:v>Retest after 4 weeks; confirm low depth is not an athlete-specific efficient strategy.</x:v>
      </x:c>
      <x:c r="S233" s="12"/>
      <x:c r="T233" s="12"/>
      <x:c r="U233" s="12"/>
      <x:c r="V233" s="12"/>
      <x:c r="W233" s="12" t="str">
        <x:f>IF($S233&lt;&gt;"",$S233,$K233)</x:f>
        <x:v>Below Norm</x:v>
      </x:c>
      <x:c r="X233" s="12" t="str">
        <x:f>IF($T233&lt;&gt;"",$T233,$L233)</x:f>
        <x:v>Develop usable countermovement range</x:v>
      </x:c>
      <x:c r="Y233" s="12" t="str">
        <x:f>IF($U233&lt;&gt;"",$U233,$N233)</x:f>
        <x:v>Improve controlled eccentric range and movement confidence. Use tempo squats, snap-downs and progressive countermovement jump practice without forcing artificial depth.</x:v>
      </x:c>
      <x:c r="Z233" s="12" t="str">
        <x:f>IF($V233&lt;&gt;"",$V233,$O233)</x:f>
        <x:v>RVX Jump Foundations</x:v>
      </x:c>
      <x:c r="AA233" s="12"/>
    </x:row>
    <x:row r="234">
      <x:c r="A234" s="12" t="str">
        <x:v>RVX-00039</x:v>
      </x:c>
      <x:c r="B234" s="12" t="str">
        <x:f>IFERROR(VLOOKUP($A234,Athlete_Profile!$A$2:$L$51,6,FALSE),"")</x:f>
        <x:v>Soccer</x:v>
      </x:c>
      <x:c r="C234" s="12" t="str">
        <x:f>IFERROR(VLOOKUP($A234,Athlete_Profile!$A$2:$L$51,5,FALSE),"")</x:f>
        <x:v>Female</x:v>
      </x:c>
      <x:c r="D234" s="12" t="str">
        <x:v>peak_force</x:v>
      </x:c>
      <x:c r="E234" s="12" t="str">
        <x:f>IFERROR(VLOOKUP($D234,Dropdown_Lists!$K$2:$N$7,2,FALSE),"")</x:f>
        <x:v>Peak Force</x:v>
      </x:c>
      <x:c r="F234" s="12" t="str">
        <x:f>IFERROR(VLOOKUP($D234,Dropdown_Lists!$K$2:$N$7,3,FALSE),"")</x:f>
        <x:v>higher</x:v>
      </x:c>
      <x:c r="G234" s="17" t="n">
        <x:f>IFERROR(LOOKUP(2,1/((Performance_Metrics!$A$2:$A$3000=$A234)*(Performance_Metrics!$D$2:$D$3000=$D234)),Performance_Metrics!$C$2:$C$3000),"")</x:f>
        <x:v>46230</x:v>
      </x:c>
      <x:c r="H234" s="12" t="n">
        <x:f>IFERROR(LOOKUP(2,1/((Performance_Metrics!$A$2:$A$3000=$A234)*(Performance_Metrics!$D$2:$D$3000=$D234)),Performance_Metrics!$G$2:$G$3000),"")</x:f>
        <x:v>1552</x:v>
      </x:c>
      <x:c r="I234" s="12" t="n">
        <x:f>IFERROR(SUMIFS(Normative_Data!$G$2:$G$1000,Normative_Data!$A$2:$A$1000,$B234,Normative_Data!$B$2:$B$1000,$C234,Normative_Data!$E$2:$E$1000,$D234),"")</x:f>
        <x:v>1662.5</x:v>
      </x:c>
      <x:c r="J234" s="18" t="n">
        <x:f>IF(OR($H234="",$I234=""),"",($H234-$I234)/$I234)</x:f>
        <x:v>-0.06646616541353384</x:v>
      </x:c>
      <x:c r="K234" s="12" t="str">
        <x:f>IF(OR($H234="",$I234="",$F234=""),"",IF(ABS($J234)&lt;=0.05,"Equal to Norm",IF($F234="lower",IF($H234&lt;$I234,"Above Norm","Below Norm"),IF($H234&gt;$I234,"Above Norm","Below Norm"))))</x:f>
        <x:v>Below Norm</x:v>
      </x:c>
      <x:c r="L234" s="12" t="str">
        <x:f>IFERROR(VLOOKUP($D234&amp;"|"&amp;$K234,Recommendation_Lookup!$A$2:$H$19,2,FALSE),"")</x:f>
        <x:v>Build foundational force production</x:v>
      </x:c>
      <x:c r="M234" s="12" t="str">
        <x:f>IFERROR(VLOOKUP($D234&amp;"|"&amp;$K234,Recommendation_Lookup!$A$2:$H$19,3,FALSE),"")</x:f>
        <x:v>Relative strength; technique; tendon capacity; trunk stability; unilateral strength</x:v>
      </x:c>
      <x:c r="N234" s="12" t="str">
        <x:f>IFERROR(VLOOKUP($D234&amp;"|"&amp;$K234,Recommendation_Lookup!$A$2:$H$19,4,FALSE),"")</x:f>
        <x:v>Prioritize foundational strength and positional competency. Use progressive resistance, isometrics and unilateral patterns before advanced power methods.</x:v>
      </x:c>
      <x:c r="O234" s="12" t="str">
        <x:f>IFERROR(VLOOKUP($D234&amp;"|"&amp;$K234,Recommendation_Lookup!$A$2:$H$19,5,FALSE),"")</x:f>
        <x:v>RVX Strength Foundations</x:v>
      </x:c>
      <x:c r="P234" s="12" t="str">
        <x:f>IFERROR(VLOOKUP($D234&amp;"|"&amp;$K234,Recommendation_Lookup!$A$2:$H$19,6,FALSE),"")</x:f>
        <x:v>RVX Lower-Body Capacity</x:v>
      </x:c>
      <x:c r="Q234" s="12" t="str">
        <x:f>IFERROR(VLOOKUP($D234&amp;"|"&amp;$K234,Recommendation_Lookup!$A$2:$H$19,7,FALSE),"")</x:f>
        <x:v>Own the position first, then increase force with consistent intent.</x:v>
      </x:c>
      <x:c r="R234" s="12" t="str">
        <x:f>IFERROR(VLOOKUP($D234&amp;"|"&amp;$K234,Recommendation_Lookup!$A$2:$H$19,8,FALSE),"")</x:f>
        <x:v>Retest after 4–6 weeks; review body-mass-relative force when possible.</x:v>
      </x:c>
      <x:c r="S234" s="12"/>
      <x:c r="T234" s="12"/>
      <x:c r="U234" s="12"/>
      <x:c r="V234" s="12"/>
      <x:c r="W234" s="12" t="str">
        <x:f>IF($S234&lt;&gt;"",$S234,$K234)</x:f>
        <x:v>Below Norm</x:v>
      </x:c>
      <x:c r="X234" s="12" t="str">
        <x:f>IF($T234&lt;&gt;"",$T234,$L234)</x:f>
        <x:v>Build foundational force production</x:v>
      </x:c>
      <x:c r="Y234" s="12" t="str">
        <x:f>IF($U234&lt;&gt;"",$U234,$N234)</x:f>
        <x:v>Prioritize foundational strength and positional competency. Use progressive resistance, isometrics and unilateral patterns before advanced power methods.</x:v>
      </x:c>
      <x:c r="Z234" s="12" t="str">
        <x:f>IF($V234&lt;&gt;"",$V234,$O234)</x:f>
        <x:v>RVX Strength Foundations</x:v>
      </x:c>
      <x:c r="AA234" s="12"/>
    </x:row>
    <x:row r="235">
      <x:c r="A235" s="12" t="str">
        <x:v>RVX-00039</x:v>
      </x:c>
      <x:c r="B235" s="12" t="str">
        <x:f>IFERROR(VLOOKUP($A235,Athlete_Profile!$A$2:$L$51,6,FALSE),"")</x:f>
        <x:v>Soccer</x:v>
      </x:c>
      <x:c r="C235" s="12" t="str">
        <x:f>IFERROR(VLOOKUP($A235,Athlete_Profile!$A$2:$L$51,5,FALSE),"")</x:f>
        <x:v>Female</x:v>
      </x:c>
      <x:c r="D235" s="12" t="str">
        <x:v>impulse</x:v>
      </x:c>
      <x:c r="E235" s="12" t="str">
        <x:f>IFERROR(VLOOKUP($D235,Dropdown_Lists!$K$2:$N$7,2,FALSE),"")</x:f>
        <x:v>Impulse-Momentum</x:v>
      </x:c>
      <x:c r="F235" s="12" t="str">
        <x:f>IFERROR(VLOOKUP($D235,Dropdown_Lists!$K$2:$N$7,3,FALSE),"")</x:f>
        <x:v>higher</x:v>
      </x:c>
      <x:c r="G235" s="17" t="n">
        <x:f>IFERROR(LOOKUP(2,1/((Performance_Metrics!$A$2:$A$3000=$A235)*(Performance_Metrics!$D$2:$D$3000=$D235)),Performance_Metrics!$C$2:$C$3000),"")</x:f>
        <x:v>46230</x:v>
      </x:c>
      <x:c r="H235" s="12" t="n">
        <x:f>IFERROR(LOOKUP(2,1/((Performance_Metrics!$A$2:$A$3000=$A235)*(Performance_Metrics!$D$2:$D$3000=$D235)),Performance_Metrics!$G$2:$G$3000),"")</x:f>
        <x:v>189.9</x:v>
      </x:c>
      <x:c r="I235" s="12" t="n">
        <x:f>IFERROR(SUMIFS(Normative_Data!$G$2:$G$1000,Normative_Data!$A$2:$A$1000,$B235,Normative_Data!$B$2:$B$1000,$C235,Normative_Data!$E$2:$E$1000,$D235),"")</x:f>
        <x:v>204.25</x:v>
      </x:c>
      <x:c r="J235" s="18" t="n">
        <x:f>IF(OR($H235="",$I235=""),"",($H235-$I235)/$I235)</x:f>
        <x:v>-0.07025703794369642</x:v>
      </x:c>
      <x:c r="K235" s="12" t="str">
        <x:f>IF(OR($H235="",$I235="",$F235=""),"",IF(ABS($J235)&lt;=0.05,"Equal to Norm",IF($F235="lower",IF($H235&lt;$I235,"Above Norm","Below Norm"),IF($H235&gt;$I235,"Above Norm","Below Norm"))))</x:f>
        <x:v>Below Norm</x:v>
      </x:c>
      <x:c r="L235" s="12" t="str">
        <x:f>IFERROR(VLOOKUP($D235&amp;"|"&amp;$K235,Recommendation_Lookup!$A$2:$H$19,2,FALSE),"")</x:f>
        <x:v>Develop force-time capacity</x:v>
      </x:c>
      <x:c r="M235" s="12" t="str">
        <x:f>IFERROR(VLOOKUP($D235&amp;"|"&amp;$K235,Recommendation_Lookup!$A$2:$H$19,3,FALSE),"")</x:f>
        <x:v>Maximal strength; eccentric control; concentric force; movement coordination</x:v>
      </x:c>
      <x:c r="N235" s="12" t="str">
        <x:f>IFERROR(VLOOKUP($D235&amp;"|"&amp;$K235,Recommendation_Lookup!$A$2:$H$19,4,FALSE),"")</x:f>
        <x:v>Build foundational force production before progressing to advanced plyometrics. Pair strength work with controlled jumps and explosive intent at appropriate loads.</x:v>
      </x:c>
      <x:c r="O235" s="12" t="str">
        <x:f>IFERROR(VLOOKUP($D235&amp;"|"&amp;$K235,Recommendation_Lookup!$A$2:$H$19,5,FALSE),"")</x:f>
        <x:v>RVX Power Foundations</x:v>
      </x:c>
      <x:c r="P235" s="12" t="str">
        <x:f>IFERROR(VLOOKUP($D235&amp;"|"&amp;$K235,Recommendation_Lookup!$A$2:$H$19,6,FALSE),"")</x:f>
        <x:v>RVX Strength Foundations</x:v>
      </x:c>
      <x:c r="Q235" s="12" t="str">
        <x:f>IFERROR(VLOOKUP($D235&amp;"|"&amp;$K235,Recommendation_Lookup!$A$2:$H$19,7,FALSE),"")</x:f>
        <x:v>Control the loading phase, then drive through the entire push with intent.</x:v>
      </x:c>
      <x:c r="R235" s="12" t="str">
        <x:f>IFERROR(VLOOKUP($D235&amp;"|"&amp;$K235,Recommendation_Lookup!$A$2:$H$19,8,FALSE),"")</x:f>
        <x:v>Retest after 4 weeks and review peak force, depth and movement time together.</x:v>
      </x:c>
      <x:c r="S235" s="12"/>
      <x:c r="T235" s="12"/>
      <x:c r="U235" s="12"/>
      <x:c r="V235" s="12"/>
      <x:c r="W235" s="12" t="str">
        <x:f>IF($S235&lt;&gt;"",$S235,$K235)</x:f>
        <x:v>Below Norm</x:v>
      </x:c>
      <x:c r="X235" s="12" t="str">
        <x:f>IF($T235&lt;&gt;"",$T235,$L235)</x:f>
        <x:v>Develop force-time capacity</x:v>
      </x:c>
      <x:c r="Y235" s="12" t="str">
        <x:f>IF($U235&lt;&gt;"",$U235,$N235)</x:f>
        <x:v>Build foundational force production before progressing to advanced plyometrics. Pair strength work with controlled jumps and explosive intent at appropriate loads.</x:v>
      </x:c>
      <x:c r="Z235" s="12" t="str">
        <x:f>IF($V235&lt;&gt;"",$V235,$O235)</x:f>
        <x:v>RVX Power Foundations</x:v>
      </x:c>
      <x:c r="AA235" s="12"/>
    </x:row>
    <x:row r="236">
      <x:c r="A236" s="12" t="str">
        <x:v>RVX-00040</x:v>
      </x:c>
      <x:c r="B236" s="12" t="str">
        <x:f>IFERROR(VLOOKUP($A236,Athlete_Profile!$A$2:$L$51,6,FALSE),"")</x:f>
        <x:v>Soccer</x:v>
      </x:c>
      <x:c r="C236" s="12" t="str">
        <x:f>IFERROR(VLOOKUP($A236,Athlete_Profile!$A$2:$L$51,5,FALSE),"")</x:f>
        <x:v>Male</x:v>
      </x:c>
      <x:c r="D236" s="12" t="str">
        <x:v>sprint_5m</x:v>
      </x:c>
      <x:c r="E236" s="12" t="str">
        <x:f>IFERROR(VLOOKUP($D236,Dropdown_Lists!$K$2:$N$7,2,FALSE),"")</x:f>
        <x:v>5m Sprint</x:v>
      </x:c>
      <x:c r="F236" s="12" t="str">
        <x:f>IFERROR(VLOOKUP($D236,Dropdown_Lists!$K$2:$N$7,3,FALSE),"")</x:f>
        <x:v>lower</x:v>
      </x:c>
      <x:c r="G236" s="17" t="n">
        <x:f>IFERROR(LOOKUP(2,1/((Performance_Metrics!$A$2:$A$3000=$A236)*(Performance_Metrics!$D$2:$D$3000=$D236)),Performance_Metrics!$C$2:$C$3000),"")</x:f>
        <x:v>46230</x:v>
      </x:c>
      <x:c r="H236" s="12" t="n">
        <x:f>IFERROR(LOOKUP(2,1/((Performance_Metrics!$A$2:$A$3000=$A236)*(Performance_Metrics!$D$2:$D$3000=$D236)),Performance_Metrics!$G$2:$G$3000),"")</x:f>
        <x:v>0.95</x:v>
      </x:c>
      <x:c r="I236" s="12" t="n">
        <x:f>IFERROR(SUMIFS(Normative_Data!$G$2:$G$1000,Normative_Data!$A$2:$A$1000,$B236,Normative_Data!$B$2:$B$1000,$C236,Normative_Data!$E$2:$E$1000,$D236),"")</x:f>
        <x:v>1.09</x:v>
      </x:c>
      <x:c r="J236" s="18" t="n">
        <x:f>IF(OR($H236="",$I236=""),"",($H236-$I236)/$I236)</x:f>
        <x:v>-0.12844036697247718</x:v>
      </x:c>
      <x:c r="K236" s="12" t="str">
        <x:f>IF(OR($H236="",$I236="",$F236=""),"",IF(ABS($J236)&lt;=0.05,"Equal to Norm",IF($F236="lower",IF($H236&lt;$I236,"Above Norm","Below Norm"),IF($H236&gt;$I236,"Above Norm","Below Norm"))))</x:f>
        <x:v>Above Norm</x:v>
      </x:c>
      <x:c r="L236" s="12" t="str">
        <x:f>IFERROR(VLOOKUP($D236&amp;"|"&amp;$K236,Recommendation_Lookup!$A$2:$H$19,2,FALSE),"")</x:f>
        <x:v>Maintain first-step explosiveness</x:v>
      </x:c>
      <x:c r="M236" s="12" t="str">
        <x:f>IFERROR(VLOOKUP($D236&amp;"|"&amp;$K236,Recommendation_Lookup!$A$2:$H$19,3,FALSE),"")</x:f>
        <x:v>Start consistency; projection angle; horizontal force; reaction quality</x:v>
      </x:c>
      <x:c r="N236" s="12" t="str">
        <x:f>IFERROR(VLOOKUP($D236&amp;"|"&amp;$K236,Recommendation_Lookup!$A$2:$H$19,4,FALSE),"")</x:f>
        <x:v>Maintain speed with low-volume, high-quality acceleration exposures. Avoid unnecessary volume that could reduce sprint quality. Progress through resisted and reactive starts while preserving mechanics.</x:v>
      </x:c>
      <x:c r="O236" s="12" t="str">
        <x:f>IFERROR(VLOOKUP($D236&amp;"|"&amp;$K236,Recommendation_Lookup!$A$2:$H$19,5,FALSE),"")</x:f>
        <x:v>RVX Advanced Acceleration</x:v>
      </x:c>
      <x:c r="P236" s="12" t="str">
        <x:f>IFERROR(VLOOKUP($D236&amp;"|"&amp;$K236,Recommendation_Lookup!$A$2:$H$19,6,FALSE),"")</x:f>
        <x:v>RVX Explosive Starts Microdose</x:v>
      </x:c>
      <x:c r="Q236" s="12" t="str">
        <x:f>IFERROR(VLOOKUP($D236&amp;"|"&amp;$K236,Recommendation_Lookup!$A$2:$H$19,7,FALSE),"")</x:f>
        <x:v>Project forward, push the ground back, and win the first three steps.</x:v>
      </x:c>
      <x:c r="R236" s="12" t="str">
        <x:f>IFERROR(VLOOKUP($D236&amp;"|"&amp;$K236,Recommendation_Lookup!$A$2:$H$19,8,FALSE),"")</x:f>
        <x:v>Retest every 6–8 weeks or after a dedicated acceleration block.</x:v>
      </x:c>
      <x:c r="S236" s="12"/>
      <x:c r="T236" s="12"/>
      <x:c r="U236" s="12"/>
      <x:c r="V236" s="12"/>
      <x:c r="W236" s="12" t="str">
        <x:f>IF($S236&lt;&gt;"",$S236,$K236)</x:f>
        <x:v>Above Norm</x:v>
      </x:c>
      <x:c r="X236" s="12" t="str">
        <x:f>IF($T236&lt;&gt;"",$T236,$L236)</x:f>
        <x:v>Maintain first-step explosiveness</x:v>
      </x:c>
      <x:c r="Y236" s="12" t="str">
        <x:f>IF($U236&lt;&gt;"",$U236,$N236)</x:f>
        <x:v>Maintain speed with low-volume, high-quality acceleration exposures. Avoid unnecessary volume that could reduce sprint quality. Progress through resisted and reactive starts while preserving mechanics.</x:v>
      </x:c>
      <x:c r="Z236" s="12" t="str">
        <x:f>IF($V236&lt;&gt;"",$V236,$O236)</x:f>
        <x:v>RVX Advanced Acceleration</x:v>
      </x:c>
      <x:c r="AA236" s="12"/>
    </x:row>
    <x:row r="237">
      <x:c r="A237" s="12" t="str">
        <x:v>RVX-00040</x:v>
      </x:c>
      <x:c r="B237" s="12" t="str">
        <x:f>IFERROR(VLOOKUP($A237,Athlete_Profile!$A$2:$L$51,6,FALSE),"")</x:f>
        <x:v>Soccer</x:v>
      </x:c>
      <x:c r="C237" s="12" t="str">
        <x:f>IFERROR(VLOOKUP($A237,Athlete_Profile!$A$2:$L$51,5,FALSE),"")</x:f>
        <x:v>Male</x:v>
      </x:c>
      <x:c r="D237" s="12" t="str">
        <x:v>sprint_10m</x:v>
      </x:c>
      <x:c r="E237" s="12" t="str">
        <x:f>IFERROR(VLOOKUP($D237,Dropdown_Lists!$K$2:$N$7,2,FALSE),"")</x:f>
        <x:v>10m Sprint</x:v>
      </x:c>
      <x:c r="F237" s="12" t="str">
        <x:f>IFERROR(VLOOKUP($D237,Dropdown_Lists!$K$2:$N$7,3,FALSE),"")</x:f>
        <x:v>lower</x:v>
      </x:c>
      <x:c r="G237" s="17" t="n">
        <x:f>IFERROR(LOOKUP(2,1/((Performance_Metrics!$A$2:$A$3000=$A237)*(Performance_Metrics!$D$2:$D$3000=$D237)),Performance_Metrics!$C$2:$C$3000),"")</x:f>
        <x:v>46230</x:v>
      </x:c>
      <x:c r="H237" s="12" t="n">
        <x:f>IFERROR(LOOKUP(2,1/((Performance_Metrics!$A$2:$A$3000=$A237)*(Performance_Metrics!$D$2:$D$3000=$D237)),Performance_Metrics!$G$2:$G$3000),"")</x:f>
        <x:v>1.57</x:v>
      </x:c>
      <x:c r="I237" s="12" t="n">
        <x:f>IFERROR(SUMIFS(Normative_Data!$G$2:$G$1000,Normative_Data!$A$2:$A$1000,$B237,Normative_Data!$B$2:$B$1000,$C237,Normative_Data!$E$2:$E$1000,$D237),"")</x:f>
        <x:v>1.83</x:v>
      </x:c>
      <x:c r="J237" s="18" t="n">
        <x:f>IF(OR($H237="",$I237=""),"",($H237-$I237)/$I237)</x:f>
        <x:v>-0.14207650273224043</x:v>
      </x:c>
      <x:c r="K237" s="12" t="str">
        <x:f>IF(OR($H237="",$I237="",$F237=""),"",IF(ABS($J237)&lt;=0.05,"Equal to Norm",IF($F237="lower",IF($H237&lt;$I237,"Above Norm","Below Norm"),IF($H237&gt;$I237,"Above Norm","Below Norm"))))</x:f>
        <x:v>Above Norm</x:v>
      </x:c>
      <x:c r="L237" s="12" t="str">
        <x:f>IFERROR(VLOOKUP($D237&amp;"|"&amp;$K237,Recommendation_Lookup!$A$2:$H$19,2,FALSE),"")</x:f>
        <x:v>Maintain acceleration through 10 m</x:v>
      </x:c>
      <x:c r="M237" s="12" t="str">
        <x:f>IFERROR(VLOOKUP($D237&amp;"|"&amp;$K237,Recommendation_Lookup!$A$2:$H$19,3,FALSE),"")</x:f>
        <x:v>Transition mechanics; stride rhythm; stiffness; repeatability</x:v>
      </x:c>
      <x:c r="N237" s="12" t="str">
        <x:f>IFERROR(VLOOKUP($D237&amp;"|"&amp;$K237,Recommendation_Lookup!$A$2:$H$19,4,FALSE),"")</x:f>
        <x:v>Maintain one to two weekly high-quality acceleration exposures. Add varied starts and light resistance while monitoring consistency across trials.</x:v>
      </x:c>
      <x:c r="O237" s="12" t="str">
        <x:f>IFERROR(VLOOKUP($D237&amp;"|"&amp;$K237,Recommendation_Lookup!$A$2:$H$19,5,FALSE),"")</x:f>
        <x:v>RVX Advanced Acceleration</x:v>
      </x:c>
      <x:c r="P237" s="12" t="str">
        <x:f>IFERROR(VLOOKUP($D237&amp;"|"&amp;$K237,Recommendation_Lookup!$A$2:$H$19,6,FALSE),"")</x:f>
        <x:v>RVX Speed Maintenance Microdose</x:v>
      </x:c>
      <x:c r="Q237" s="12" t="str">
        <x:f>IFERROR(VLOOKUP($D237&amp;"|"&amp;$K237,Recommendation_Lookup!$A$2:$H$19,7,FALSE),"")</x:f>
        <x:v>Stay patient through acceleration and keep pushing behind the body.</x:v>
      </x:c>
      <x:c r="R237" s="12" t="str">
        <x:f>IFERROR(VLOOKUP($D237&amp;"|"&amp;$K237,Recommendation_Lookup!$A$2:$H$19,8,FALSE),"")</x:f>
        <x:v>Retest every 6–8 weeks or after a speed block.</x:v>
      </x:c>
      <x:c r="S237" s="12"/>
      <x:c r="T237" s="12"/>
      <x:c r="U237" s="12"/>
      <x:c r="V237" s="12"/>
      <x:c r="W237" s="12" t="str">
        <x:f>IF($S237&lt;&gt;"",$S237,$K237)</x:f>
        <x:v>Above Norm</x:v>
      </x:c>
      <x:c r="X237" s="12" t="str">
        <x:f>IF($T237&lt;&gt;"",$T237,$L237)</x:f>
        <x:v>Maintain acceleration through 10 m</x:v>
      </x:c>
      <x:c r="Y237" s="12" t="str">
        <x:f>IF($U237&lt;&gt;"",$U237,$N237)</x:f>
        <x:v>Maintain one to two weekly high-quality acceleration exposures. Add varied starts and light resistance while monitoring consistency across trials.</x:v>
      </x:c>
      <x:c r="Z237" s="12" t="str">
        <x:f>IF($V237&lt;&gt;"",$V237,$O237)</x:f>
        <x:v>RVX Advanced Acceleration</x:v>
      </x:c>
      <x:c r="AA237" s="12"/>
    </x:row>
    <x:row r="238">
      <x:c r="A238" s="12" t="str">
        <x:v>RVX-00040</x:v>
      </x:c>
      <x:c r="B238" s="12" t="str">
        <x:f>IFERROR(VLOOKUP($A238,Athlete_Profile!$A$2:$L$51,6,FALSE),"")</x:f>
        <x:v>Soccer</x:v>
      </x:c>
      <x:c r="C238" s="12" t="str">
        <x:f>IFERROR(VLOOKUP($A238,Athlete_Profile!$A$2:$L$51,5,FALSE),"")</x:f>
        <x:v>Male</x:v>
      </x:c>
      <x:c r="D238" s="12" t="str">
        <x:v>pro_agility</x:v>
      </x:c>
      <x:c r="E238" s="12" t="str">
        <x:f>IFERROR(VLOOKUP($D238,Dropdown_Lists!$K$2:$N$7,2,FALSE),"")</x:f>
        <x:v>5-10-5 Pro Agility</x:v>
      </x:c>
      <x:c r="F238" s="12" t="str">
        <x:f>IFERROR(VLOOKUP($D238,Dropdown_Lists!$K$2:$N$7,3,FALSE),"")</x:f>
        <x:v>lower</x:v>
      </x:c>
      <x:c r="G238" s="17" t="n">
        <x:f>IFERROR(LOOKUP(2,1/((Performance_Metrics!$A$2:$A$3000=$A238)*(Performance_Metrics!$D$2:$D$3000=$D238)),Performance_Metrics!$C$2:$C$3000),"")</x:f>
        <x:v>46230</x:v>
      </x:c>
      <x:c r="H238" s="12" t="n">
        <x:f>IFERROR(LOOKUP(2,1/((Performance_Metrics!$A$2:$A$3000=$A238)*(Performance_Metrics!$D$2:$D$3000=$D238)),Performance_Metrics!$G$2:$G$3000),"")</x:f>
        <x:v>3.89</x:v>
      </x:c>
      <x:c r="I238" s="12" t="n">
        <x:f>IFERROR(SUMIFS(Normative_Data!$G$2:$G$1000,Normative_Data!$A$2:$A$1000,$B238,Normative_Data!$B$2:$B$1000,$C238,Normative_Data!$E$2:$E$1000,$D238),"")</x:f>
        <x:v>4.7</x:v>
      </x:c>
      <x:c r="J238" s="18" t="n">
        <x:f>IF(OR($H238="",$I238=""),"",($H238-$I238)/$I238)</x:f>
        <x:v>-0.1723404255319149</x:v>
      </x:c>
      <x:c r="K238" s="12" t="str">
        <x:f>IF(OR($H238="",$I238="",$F238=""),"",IF(ABS($J238)&lt;=0.05,"Equal to Norm",IF($F238="lower",IF($H238&lt;$I238,"Above Norm","Below Norm"),IF($H238&gt;$I238,"Above Norm","Below Norm"))))</x:f>
        <x:v>Above Norm</x:v>
      </x:c>
      <x:c r="L238" s="12" t="str">
        <x:f>IFERROR(VLOOKUP($D238&amp;"|"&amp;$K238,Recommendation_Lookup!$A$2:$H$19,2,FALSE),"")</x:f>
        <x:v>Maintain change-of-direction performance</x:v>
      </x:c>
      <x:c r="M238" s="12" t="str">
        <x:f>IFERROR(VLOOKUP($D238&amp;"|"&amp;$K238,Recommendation_Lookup!$A$2:$H$19,3,FALSE),"")</x:f>
        <x:v>Reactive decision-making; braking tolerance; bilateral symmetry; movement variability</x:v>
      </x:c>
      <x:c r="N238" s="12" t="str">
        <x:f>IFERROR(VLOOKUP($D238&amp;"|"&amp;$K238,Recommendation_Lookup!$A$2:$H$19,4,FALSE),"")</x:f>
        <x:v>Maintain planned change-of-direction work and progress toward reactive agility. Use low-volume, high-quality exposures with multiple starting and turning strategies.</x:v>
      </x:c>
      <x:c r="O238" s="12" t="str">
        <x:f>IFERROR(VLOOKUP($D238&amp;"|"&amp;$K238,Recommendation_Lookup!$A$2:$H$19,5,FALSE),"")</x:f>
        <x:v>RVX Advanced Change of Direction</x:v>
      </x:c>
      <x:c r="P238" s="12" t="str">
        <x:f>IFERROR(VLOOKUP($D238&amp;"|"&amp;$K238,Recommendation_Lookup!$A$2:$H$19,6,FALSE),"")</x:f>
        <x:v>RVX Reactive Agility</x:v>
      </x:c>
      <x:c r="Q238" s="12" t="str">
        <x:f>IFERROR(VLOOKUP($D238&amp;"|"&amp;$K238,Recommendation_Lookup!$A$2:$H$19,7,FALSE),"")</x:f>
        <x:v>Brake under control, own the plant and accelerate out immediately.</x:v>
      </x:c>
      <x:c r="R238" s="12" t="str">
        <x:f>IFERROR(VLOOKUP($D238&amp;"|"&amp;$K238,Recommendation_Lookup!$A$2:$H$19,8,FALSE),"")</x:f>
        <x:v>Retest every 6–8 weeks with left and right trial review.</x:v>
      </x:c>
      <x:c r="S238" s="12"/>
      <x:c r="T238" s="12"/>
      <x:c r="U238" s="12"/>
      <x:c r="V238" s="12"/>
      <x:c r="W238" s="12" t="str">
        <x:f>IF($S238&lt;&gt;"",$S238,$K238)</x:f>
        <x:v>Above Norm</x:v>
      </x:c>
      <x:c r="X238" s="12" t="str">
        <x:f>IF($T238&lt;&gt;"",$T238,$L238)</x:f>
        <x:v>Maintain change-of-direction performance</x:v>
      </x:c>
      <x:c r="Y238" s="12" t="str">
        <x:f>IF($U238&lt;&gt;"",$U238,$N238)</x:f>
        <x:v>Maintain planned change-of-direction work and progress toward reactive agility. Use low-volume, high-quality exposures with multiple starting and turning strategies.</x:v>
      </x:c>
      <x:c r="Z238" s="12" t="str">
        <x:f>IF($V238&lt;&gt;"",$V238,$O238)</x:f>
        <x:v>RVX Advanced Change of Direction</x:v>
      </x:c>
      <x:c r="AA238" s="12"/>
    </x:row>
    <x:row r="239">
      <x:c r="A239" s="12" t="str">
        <x:v>RVX-00040</x:v>
      </x:c>
      <x:c r="B239" s="12" t="str">
        <x:f>IFERROR(VLOOKUP($A239,Athlete_Profile!$A$2:$L$51,6,FALSE),"")</x:f>
        <x:v>Soccer</x:v>
      </x:c>
      <x:c r="C239" s="12" t="str">
        <x:f>IFERROR(VLOOKUP($A239,Athlete_Profile!$A$2:$L$51,5,FALSE),"")</x:f>
        <x:v>Male</x:v>
      </x:c>
      <x:c r="D239" s="12" t="str">
        <x:v>cmj_depth</x:v>
      </x:c>
      <x:c r="E239" s="12" t="str">
        <x:f>IFERROR(VLOOKUP($D239,Dropdown_Lists!$K$2:$N$7,2,FALSE),"")</x:f>
        <x:v>Countermovement Depth</x:v>
      </x:c>
      <x:c r="F239" s="12" t="str">
        <x:f>IFERROR(VLOOKUP($D239,Dropdown_Lists!$K$2:$N$7,3,FALSE),"")</x:f>
        <x:v>higher</x:v>
      </x:c>
      <x:c r="G239" s="17" t="n">
        <x:f>IFERROR(LOOKUP(2,1/((Performance_Metrics!$A$2:$A$3000=$A239)*(Performance_Metrics!$D$2:$D$3000=$D239)),Performance_Metrics!$C$2:$C$3000),"")</x:f>
        <x:v>46230</x:v>
      </x:c>
      <x:c r="H239" s="12" t="n">
        <x:f>IFERROR(LOOKUP(2,1/((Performance_Metrics!$A$2:$A$3000=$A239)*(Performance_Metrics!$D$2:$D$3000=$D239)),Performance_Metrics!$G$2:$G$3000),"")</x:f>
        <x:v>37</x:v>
      </x:c>
      <x:c r="I239" s="12" t="n">
        <x:f>IFERROR(SUMIFS(Normative_Data!$G$2:$G$1000,Normative_Data!$A$2:$A$1000,$B239,Normative_Data!$B$2:$B$1000,$C239,Normative_Data!$E$2:$E$1000,$D239),"")</x:f>
        <x:v>31.35</x:v>
      </x:c>
      <x:c r="J239" s="18" t="n">
        <x:f>IF(OR($H239="",$I239=""),"",($H239-$I239)/$I239)</x:f>
        <x:v>0.18022328548644334</x:v>
      </x:c>
      <x:c r="K239" s="12" t="str">
        <x:f>IF(OR($H239="",$I239="",$F239=""),"",IF(ABS($J239)&lt;=0.05,"Equal to Norm",IF($F239="lower",IF($H239&lt;$I239,"Above Norm","Below Norm"),IF($H239&gt;$I239,"Above Norm","Below Norm"))))</x:f>
        <x:v>Above Norm</x:v>
      </x:c>
      <x:c r="L239" s="12" t="str">
        <x:f>IFERROR(VLOOKUP($D239&amp;"|"&amp;$K239,Recommendation_Lookup!$A$2:$H$19,2,FALSE),"")</x:f>
        <x:v>Maintain effective countermovement strategy</x:v>
      </x:c>
      <x:c r="M239" s="12" t="str">
        <x:f>IFERROR(VLOOKUP($D239&amp;"|"&amp;$K239,Recommendation_Lookup!$A$2:$H$19,3,FALSE),"")</x:f>
        <x:v>Movement efficiency; eccentric control; jump consistency; depth-to-output relationship</x:v>
      </x:c>
      <x:c r="N239" s="12" t="str">
        <x:f>IFERROR(VLOOKUP($D239&amp;"|"&amp;$K239,Recommendation_Lookup!$A$2:$H$19,4,FALSE),"")</x:f>
        <x:v>Maintain the athlete’s preferred countermovement strategy while ensuring the additional depth contributes to force and impulse rather than excessive movement time.</x:v>
      </x:c>
      <x:c r="O239" s="12" t="str">
        <x:f>IFERROR(VLOOKUP($D239&amp;"|"&amp;$K239,Recommendation_Lookup!$A$2:$H$19,5,FALSE),"")</x:f>
        <x:v>RVX Jump Performance Advanced</x:v>
      </x:c>
      <x:c r="P239" s="12" t="str">
        <x:f>IFERROR(VLOOKUP($D239&amp;"|"&amp;$K239,Recommendation_Lookup!$A$2:$H$19,6,FALSE),"")</x:f>
        <x:v>RVX Eccentric Strength Microdose</x:v>
      </x:c>
      <x:c r="Q239" s="12" t="str">
        <x:f>IFERROR(VLOOKUP($D239&amp;"|"&amp;$K239,Recommendation_Lookup!$A$2:$H$19,7,FALSE),"")</x:f>
        <x:v>Use the depth you can control, then reverse quickly and aggressively.</x:v>
      </x:c>
      <x:c r="R239" s="12" t="str">
        <x:f>IFERROR(VLOOKUP($D239&amp;"|"&amp;$K239,Recommendation_Lookup!$A$2:$H$19,8,FALSE),"")</x:f>
        <x:v>Retest every 6–8 weeks while monitoring jump height and contraction time.</x:v>
      </x:c>
      <x:c r="S239" s="12"/>
      <x:c r="T239" s="12"/>
      <x:c r="U239" s="12"/>
      <x:c r="V239" s="12"/>
      <x:c r="W239" s="12" t="str">
        <x:f>IF($S239&lt;&gt;"",$S239,$K239)</x:f>
        <x:v>Above Norm</x:v>
      </x:c>
      <x:c r="X239" s="12" t="str">
        <x:f>IF($T239&lt;&gt;"",$T239,$L239)</x:f>
        <x:v>Maintain effective countermovement strategy</x:v>
      </x:c>
      <x:c r="Y239" s="12" t="str">
        <x:f>IF($U239&lt;&gt;"",$U239,$N239)</x:f>
        <x:v>Maintain the athlete’s preferred countermovement strategy while ensuring the additional depth contributes to force and impulse rather than excessive movement time.</x:v>
      </x:c>
      <x:c r="Z239" s="12" t="str">
        <x:f>IF($V239&lt;&gt;"",$V239,$O239)</x:f>
        <x:v>RVX Jump Performance Advanced</x:v>
      </x:c>
      <x:c r="AA239" s="12"/>
    </x:row>
    <x:row r="240">
      <x:c r="A240" s="12" t="str">
        <x:v>RVX-00040</x:v>
      </x:c>
      <x:c r="B240" s="12" t="str">
        <x:f>IFERROR(VLOOKUP($A240,Athlete_Profile!$A$2:$L$51,6,FALSE),"")</x:f>
        <x:v>Soccer</x:v>
      </x:c>
      <x:c r="C240" s="12" t="str">
        <x:f>IFERROR(VLOOKUP($A240,Athlete_Profile!$A$2:$L$51,5,FALSE),"")</x:f>
        <x:v>Male</x:v>
      </x:c>
      <x:c r="D240" s="12" t="str">
        <x:v>peak_force</x:v>
      </x:c>
      <x:c r="E240" s="12" t="str">
        <x:f>IFERROR(VLOOKUP($D240,Dropdown_Lists!$K$2:$N$7,2,FALSE),"")</x:f>
        <x:v>Peak Force</x:v>
      </x:c>
      <x:c r="F240" s="12" t="str">
        <x:f>IFERROR(VLOOKUP($D240,Dropdown_Lists!$K$2:$N$7,3,FALSE),"")</x:f>
        <x:v>higher</x:v>
      </x:c>
      <x:c r="G240" s="17" t="n">
        <x:f>IFERROR(LOOKUP(2,1/((Performance_Metrics!$A$2:$A$3000=$A240)*(Performance_Metrics!$D$2:$D$3000=$D240)),Performance_Metrics!$C$2:$C$3000),"")</x:f>
        <x:v>46230</x:v>
      </x:c>
      <x:c r="H240" s="12" t="n">
        <x:f>IFERROR(LOOKUP(2,1/((Performance_Metrics!$A$2:$A$3000=$A240)*(Performance_Metrics!$D$2:$D$3000=$D240)),Performance_Metrics!$G$2:$G$3000),"")</x:f>
        <x:v>2113</x:v>
      </x:c>
      <x:c r="I240" s="12" t="n">
        <x:f>IFERROR(SUMIFS(Normative_Data!$G$2:$G$1000,Normative_Data!$A$2:$A$1000,$B240,Normative_Data!$B$2:$B$1000,$C240,Normative_Data!$E$2:$E$1000,$D240),"")</x:f>
        <x:v>1828.75</x:v>
      </x:c>
      <x:c r="J240" s="18" t="n">
        <x:f>IF(OR($H240="",$I240=""),"",($H240-$I240)/$I240)</x:f>
        <x:v>0.15543403964456595</x:v>
      </x:c>
      <x:c r="K240" s="12" t="str">
        <x:f>IF(OR($H240="",$I240="",$F240=""),"",IF(ABS($J240)&lt;=0.05,"Equal to Norm",IF($F240="lower",IF($H240&lt;$I240,"Above Norm","Below Norm"),IF($H240&gt;$I240,"Above Norm","Below Norm"))))</x:f>
        <x:v>Above Norm</x:v>
      </x:c>
      <x:c r="L240" s="12" t="str">
        <x:f>IFERROR(VLOOKUP($D240&amp;"|"&amp;$K240,Recommendation_Lookup!$A$2:$H$19,2,FALSE),"")</x:f>
        <x:v>Maintain maximal force qualities</x:v>
      </x:c>
      <x:c r="M240" s="12" t="str">
        <x:f>IFERROR(VLOOKUP($D240&amp;"|"&amp;$K240,Recommendation_Lookup!$A$2:$H$19,3,FALSE),"")</x:f>
        <x:v>Force application speed; asymmetry; fatigue management; sport transfer</x:v>
      </x:c>
      <x:c r="N240" s="12" t="str">
        <x:f>IFERROR(VLOOKUP($D240&amp;"|"&amp;$K240,Recommendation_Lookup!$A$2:$H$19,4,FALSE),"")</x:f>
        <x:v>Maintain maximal force with low-volume strength exposure while shifting selected work toward power and sport-specific application. Monitor asymmetry and fatigue.</x:v>
      </x:c>
      <x:c r="O240" s="12" t="str">
        <x:f>IFERROR(VLOOKUP($D240&amp;"|"&amp;$K240,Recommendation_Lookup!$A$2:$H$19,5,FALSE),"")</x:f>
        <x:v>RVX Advanced Strength-Power</x:v>
      </x:c>
      <x:c r="P240" s="12" t="str">
        <x:f>IFERROR(VLOOKUP($D240&amp;"|"&amp;$K240,Recommendation_Lookup!$A$2:$H$19,6,FALSE),"")</x:f>
        <x:v>RVX Force Maintenance Microdose</x:v>
      </x:c>
      <x:c r="Q240" s="12" t="str">
        <x:f>IFERROR(VLOOKUP($D240&amp;"|"&amp;$K240,Recommendation_Lookup!$A$2:$H$19,7,FALSE),"")</x:f>
        <x:v>Produce high force without losing position or movement speed.</x:v>
      </x:c>
      <x:c r="R240" s="12" t="str">
        <x:f>IFERROR(VLOOKUP($D240&amp;"|"&amp;$K240,Recommendation_Lookup!$A$2:$H$19,8,FALSE),"")</x:f>
        <x:v>Retest every 6–8 weeks or following a strength-power phase.</x:v>
      </x:c>
      <x:c r="S240" s="12"/>
      <x:c r="T240" s="12"/>
      <x:c r="U240" s="12"/>
      <x:c r="V240" s="12"/>
      <x:c r="W240" s="12" t="str">
        <x:f>IF($S240&lt;&gt;"",$S240,$K240)</x:f>
        <x:v>Above Norm</x:v>
      </x:c>
      <x:c r="X240" s="12" t="str">
        <x:f>IF($T240&lt;&gt;"",$T240,$L240)</x:f>
        <x:v>Maintain maximal force qualities</x:v>
      </x:c>
      <x:c r="Y240" s="12" t="str">
        <x:f>IF($U240&lt;&gt;"",$U240,$N240)</x:f>
        <x:v>Maintain maximal force with low-volume strength exposure while shifting selected work toward power and sport-specific application. Monitor asymmetry and fatigue.</x:v>
      </x:c>
      <x:c r="Z240" s="12" t="str">
        <x:f>IF($V240&lt;&gt;"",$V240,$O240)</x:f>
        <x:v>RVX Advanced Strength-Power</x:v>
      </x:c>
      <x:c r="AA240" s="12"/>
    </x:row>
    <x:row r="241">
      <x:c r="A241" s="12" t="str">
        <x:v>RVX-00040</x:v>
      </x:c>
      <x:c r="B241" s="12" t="str">
        <x:f>IFERROR(VLOOKUP($A241,Athlete_Profile!$A$2:$L$51,6,FALSE),"")</x:f>
        <x:v>Soccer</x:v>
      </x:c>
      <x:c r="C241" s="12" t="str">
        <x:f>IFERROR(VLOOKUP($A241,Athlete_Profile!$A$2:$L$51,5,FALSE),"")</x:f>
        <x:v>Male</x:v>
      </x:c>
      <x:c r="D241" s="12" t="str">
        <x:v>impulse</x:v>
      </x:c>
      <x:c r="E241" s="12" t="str">
        <x:f>IFERROR(VLOOKUP($D241,Dropdown_Lists!$K$2:$N$7,2,FALSE),"")</x:f>
        <x:v>Impulse-Momentum</x:v>
      </x:c>
      <x:c r="F241" s="12" t="str">
        <x:f>IFERROR(VLOOKUP($D241,Dropdown_Lists!$K$2:$N$7,3,FALSE),"")</x:f>
        <x:v>higher</x:v>
      </x:c>
      <x:c r="G241" s="17" t="n">
        <x:f>IFERROR(LOOKUP(2,1/((Performance_Metrics!$A$2:$A$3000=$A241)*(Performance_Metrics!$D$2:$D$3000=$D241)),Performance_Metrics!$C$2:$C$3000),"")</x:f>
        <x:v>46230</x:v>
      </x:c>
      <x:c r="H241" s="12" t="n">
        <x:f>IFERROR(LOOKUP(2,1/((Performance_Metrics!$A$2:$A$3000=$A241)*(Performance_Metrics!$D$2:$D$3000=$D241)),Performance_Metrics!$G$2:$G$3000),"")</x:f>
        <x:v>256.3</x:v>
      </x:c>
      <x:c r="I241" s="12" t="n">
        <x:f>IFERROR(SUMIFS(Normative_Data!$G$2:$G$1000,Normative_Data!$A$2:$A$1000,$B241,Normative_Data!$B$2:$B$1000,$C241,Normative_Data!$E$2:$E$1000,$D241),"")</x:f>
        <x:v>224.68</x:v>
      </x:c>
      <x:c r="J241" s="18" t="n">
        <x:f>IF(OR($H241="",$I241=""),"",($H241-$I241)/$I241)</x:f>
        <x:v>0.1407334876268471</x:v>
      </x:c>
      <x:c r="K241" s="12" t="str">
        <x:f>IF(OR($H241="",$I241="",$F241=""),"",IF(ABS($J241)&lt;=0.05,"Equal to Norm",IF($F241="lower",IF($H241&lt;$I241,"Above Norm","Below Norm"),IF($H241&gt;$I241,"Above Norm","Below Norm"))))</x:f>
        <x:v>Above Norm</x:v>
      </x:c>
      <x:c r="L241" s="12" t="str">
        <x:f>IFERROR(VLOOKUP($D241&amp;"|"&amp;$K241,Recommendation_Lookup!$A$2:$H$19,2,FALSE),"")</x:f>
        <x:v>Maintain total force-time output</x:v>
      </x:c>
      <x:c r="M241" s="12" t="str">
        <x:f>IFERROR(VLOOKUP($D241&amp;"|"&amp;$K241,Recommendation_Lookup!$A$2:$H$19,3,FALSE),"")</x:f>
        <x:v>Rate of force development; movement time; power transfer; fatigue resistance</x:v>
      </x:c>
      <x:c r="N241" s="12" t="str">
        <x:f>IFERROR(VLOOKUP($D241&amp;"|"&amp;$K241,Recommendation_Lookup!$A$2:$H$19,4,FALSE),"")</x:f>
        <x:v>Maintain impulse with strength-power microdosing and varied jump or sprint exposures. Ensure high impulse is achieved efficiently rather than through excessive movement time.</x:v>
      </x:c>
      <x:c r="O241" s="12" t="str">
        <x:f>IFERROR(VLOOKUP($D241&amp;"|"&amp;$K241,Recommendation_Lookup!$A$2:$H$19,5,FALSE),"")</x:f>
        <x:v>RVX Advanced Power Development</x:v>
      </x:c>
      <x:c r="P241" s="12" t="str">
        <x:f>IFERROR(VLOOKUP($D241&amp;"|"&amp;$K241,Recommendation_Lookup!$A$2:$H$19,6,FALSE),"")</x:f>
        <x:v>RVX Elastic Power Microdose</x:v>
      </x:c>
      <x:c r="Q241" s="12" t="str">
        <x:f>IFERROR(VLOOKUP($D241&amp;"|"&amp;$K241,Recommendation_Lookup!$A$2:$H$19,7,FALSE),"")</x:f>
        <x:v>Build force quickly and keep applying it through the full movement.</x:v>
      </x:c>
      <x:c r="R241" s="12" t="str">
        <x:f>IFERROR(VLOOKUP($D241&amp;"|"&amp;$K241,Recommendation_Lookup!$A$2:$H$19,8,FALSE),"")</x:f>
        <x:v>Retest every 6–8 weeks while reviewing contraction time and jump outcome.</x:v>
      </x:c>
      <x:c r="S241" s="12"/>
      <x:c r="T241" s="12"/>
      <x:c r="U241" s="12"/>
      <x:c r="V241" s="12"/>
      <x:c r="W241" s="12" t="str">
        <x:f>IF($S241&lt;&gt;"",$S241,$K241)</x:f>
        <x:v>Above Norm</x:v>
      </x:c>
      <x:c r="X241" s="12" t="str">
        <x:f>IF($T241&lt;&gt;"",$T241,$L241)</x:f>
        <x:v>Maintain total force-time output</x:v>
      </x:c>
      <x:c r="Y241" s="12" t="str">
        <x:f>IF($U241&lt;&gt;"",$U241,$N241)</x:f>
        <x:v>Maintain impulse with strength-power microdosing and varied jump or sprint exposures. Ensure high impulse is achieved efficiently rather than through excessive movement time.</x:v>
      </x:c>
      <x:c r="Z241" s="12" t="str">
        <x:f>IF($V241&lt;&gt;"",$V241,$O241)</x:f>
        <x:v>RVX Advanced Power Development</x:v>
      </x:c>
      <x:c r="AA241" s="12"/>
    </x:row>
    <x:row r="242">
      <x:c r="A242" s="12" t="str">
        <x:v>RVX-00041</x:v>
      </x:c>
      <x:c r="B242" s="12" t="str">
        <x:f>IFERROR(VLOOKUP($A242,Athlete_Profile!$A$2:$L$51,6,FALSE),"")</x:f>
        <x:v>Soccer</x:v>
      </x:c>
      <x:c r="C242" s="12" t="str">
        <x:f>IFERROR(VLOOKUP($A242,Athlete_Profile!$A$2:$L$51,5,FALSE),"")</x:f>
        <x:v>Female</x:v>
      </x:c>
      <x:c r="D242" s="12" t="str">
        <x:v>sprint_5m</x:v>
      </x:c>
      <x:c r="E242" s="12" t="str">
        <x:f>IFERROR(VLOOKUP($D242,Dropdown_Lists!$K$2:$N$7,2,FALSE),"")</x:f>
        <x:v>5m Sprint</x:v>
      </x:c>
      <x:c r="F242" s="12" t="str">
        <x:f>IFERROR(VLOOKUP($D242,Dropdown_Lists!$K$2:$N$7,3,FALSE),"")</x:f>
        <x:v>lower</x:v>
      </x:c>
      <x:c r="G242" s="17" t="n">
        <x:f>IFERROR(LOOKUP(2,1/((Performance_Metrics!$A$2:$A$3000=$A242)*(Performance_Metrics!$D$2:$D$3000=$D242)),Performance_Metrics!$C$2:$C$3000),"")</x:f>
        <x:v>46230</x:v>
      </x:c>
      <x:c r="H242" s="12" t="n">
        <x:f>IFERROR(LOOKUP(2,1/((Performance_Metrics!$A$2:$A$3000=$A242)*(Performance_Metrics!$D$2:$D$3000=$D242)),Performance_Metrics!$G$2:$G$3000),"")</x:f>
        <x:v>1.06</x:v>
      </x:c>
      <x:c r="I242" s="12" t="n">
        <x:f>IFERROR(SUMIFS(Normative_Data!$G$2:$G$1000,Normative_Data!$A$2:$A$1000,$B242,Normative_Data!$B$2:$B$1000,$C242,Normative_Data!$E$2:$E$1000,$D242),"")</x:f>
        <x:v>1.14</x:v>
      </x:c>
      <x:c r="J242" s="18" t="n">
        <x:f>IF(OR($H242="",$I242=""),"",($H242-$I242)/$I242)</x:f>
        <x:v>-0.0701754385964911</x:v>
      </x:c>
      <x:c r="K242" s="12" t="str">
        <x:f>IF(OR($H242="",$I242="",$F242=""),"",IF(ABS($J242)&lt;=0.05,"Equal to Norm",IF($F242="lower",IF($H242&lt;$I242,"Above Norm","Below Norm"),IF($H242&gt;$I242,"Above Norm","Below Norm"))))</x:f>
        <x:v>Above Norm</x:v>
      </x:c>
      <x:c r="L242" s="12" t="str">
        <x:f>IFERROR(VLOOKUP($D242&amp;"|"&amp;$K242,Recommendation_Lookup!$A$2:$H$19,2,FALSE),"")</x:f>
        <x:v>Maintain first-step explosiveness</x:v>
      </x:c>
      <x:c r="M242" s="12" t="str">
        <x:f>IFERROR(VLOOKUP($D242&amp;"|"&amp;$K242,Recommendation_Lookup!$A$2:$H$19,3,FALSE),"")</x:f>
        <x:v>Start consistency; projection angle; horizontal force; reaction quality</x:v>
      </x:c>
      <x:c r="N242" s="12" t="str">
        <x:f>IFERROR(VLOOKUP($D242&amp;"|"&amp;$K242,Recommendation_Lookup!$A$2:$H$19,4,FALSE),"")</x:f>
        <x:v>Maintain speed with low-volume, high-quality acceleration exposures. Avoid unnecessary volume that could reduce sprint quality. Progress through resisted and reactive starts while preserving mechanics.</x:v>
      </x:c>
      <x:c r="O242" s="12" t="str">
        <x:f>IFERROR(VLOOKUP($D242&amp;"|"&amp;$K242,Recommendation_Lookup!$A$2:$H$19,5,FALSE),"")</x:f>
        <x:v>RVX Advanced Acceleration</x:v>
      </x:c>
      <x:c r="P242" s="12" t="str">
        <x:f>IFERROR(VLOOKUP($D242&amp;"|"&amp;$K242,Recommendation_Lookup!$A$2:$H$19,6,FALSE),"")</x:f>
        <x:v>RVX Explosive Starts Microdose</x:v>
      </x:c>
      <x:c r="Q242" s="12" t="str">
        <x:f>IFERROR(VLOOKUP($D242&amp;"|"&amp;$K242,Recommendation_Lookup!$A$2:$H$19,7,FALSE),"")</x:f>
        <x:v>Project forward, push the ground back, and win the first three steps.</x:v>
      </x:c>
      <x:c r="R242" s="12" t="str">
        <x:f>IFERROR(VLOOKUP($D242&amp;"|"&amp;$K242,Recommendation_Lookup!$A$2:$H$19,8,FALSE),"")</x:f>
        <x:v>Retest every 6–8 weeks or after a dedicated acceleration block.</x:v>
      </x:c>
      <x:c r="S242" s="12"/>
      <x:c r="T242" s="12"/>
      <x:c r="U242" s="12"/>
      <x:c r="V242" s="12"/>
      <x:c r="W242" s="12" t="str">
        <x:f>IF($S242&lt;&gt;"",$S242,$K242)</x:f>
        <x:v>Above Norm</x:v>
      </x:c>
      <x:c r="X242" s="12" t="str">
        <x:f>IF($T242&lt;&gt;"",$T242,$L242)</x:f>
        <x:v>Maintain first-step explosiveness</x:v>
      </x:c>
      <x:c r="Y242" s="12" t="str">
        <x:f>IF($U242&lt;&gt;"",$U242,$N242)</x:f>
        <x:v>Maintain speed with low-volume, high-quality acceleration exposures. Avoid unnecessary volume that could reduce sprint quality. Progress through resisted and reactive starts while preserving mechanics.</x:v>
      </x:c>
      <x:c r="Z242" s="12" t="str">
        <x:f>IF($V242&lt;&gt;"",$V242,$O242)</x:f>
        <x:v>RVX Advanced Acceleration</x:v>
      </x:c>
      <x:c r="AA242" s="12"/>
    </x:row>
    <x:row r="243">
      <x:c r="A243" s="12" t="str">
        <x:v>RVX-00041</x:v>
      </x:c>
      <x:c r="B243" s="12" t="str">
        <x:f>IFERROR(VLOOKUP($A243,Athlete_Profile!$A$2:$L$51,6,FALSE),"")</x:f>
        <x:v>Soccer</x:v>
      </x:c>
      <x:c r="C243" s="12" t="str">
        <x:f>IFERROR(VLOOKUP($A243,Athlete_Profile!$A$2:$L$51,5,FALSE),"")</x:f>
        <x:v>Female</x:v>
      </x:c>
      <x:c r="D243" s="12" t="str">
        <x:v>sprint_10m</x:v>
      </x:c>
      <x:c r="E243" s="12" t="str">
        <x:f>IFERROR(VLOOKUP($D243,Dropdown_Lists!$K$2:$N$7,2,FALSE),"")</x:f>
        <x:v>10m Sprint</x:v>
      </x:c>
      <x:c r="F243" s="12" t="str">
        <x:f>IFERROR(VLOOKUP($D243,Dropdown_Lists!$K$2:$N$7,3,FALSE),"")</x:f>
        <x:v>lower</x:v>
      </x:c>
      <x:c r="G243" s="17" t="n">
        <x:f>IFERROR(LOOKUP(2,1/((Performance_Metrics!$A$2:$A$3000=$A243)*(Performance_Metrics!$D$2:$D$3000=$D243)),Performance_Metrics!$C$2:$C$3000),"")</x:f>
        <x:v>46230</x:v>
      </x:c>
      <x:c r="H243" s="12" t="n">
        <x:f>IFERROR(LOOKUP(2,1/((Performance_Metrics!$A$2:$A$3000=$A243)*(Performance_Metrics!$D$2:$D$3000=$D243)),Performance_Metrics!$G$2:$G$3000),"")</x:f>
        <x:v>1.84</x:v>
      </x:c>
      <x:c r="I243" s="12" t="n">
        <x:f>IFERROR(SUMIFS(Normative_Data!$G$2:$G$1000,Normative_Data!$A$2:$A$1000,$B243,Normative_Data!$B$2:$B$1000,$C243,Normative_Data!$E$2:$E$1000,$D243),"")</x:f>
        <x:v>1.91</x:v>
      </x:c>
      <x:c r="J243" s="18" t="n">
        <x:f>IF(OR($H243="",$I243=""),"",($H243-$I243)/$I243)</x:f>
        <x:v>-0.036649214659685785</x:v>
      </x:c>
      <x:c r="K243" s="12" t="str">
        <x:f>IF(OR($H243="",$I243="",$F243=""),"",IF(ABS($J243)&lt;=0.05,"Equal to Norm",IF($F243="lower",IF($H243&lt;$I243,"Above Norm","Below Norm"),IF($H243&gt;$I243,"Above Norm","Below Norm"))))</x:f>
        <x:v>Equal to Norm</x:v>
      </x:c>
      <x:c r="L243" s="12" t="str">
        <x:f>IFERROR(VLOOKUP($D243&amp;"|"&amp;$K243,Recommendation_Lookup!$A$2:$H$19,2,FALSE),"")</x:f>
        <x:v>Improve acceleration continuation</x:v>
      </x:c>
      <x:c r="M243" s="12" t="str">
        <x:f>IFERROR(VLOOKUP($D243&amp;"|"&amp;$K243,Recommendation_Lookup!$A$2:$H$19,3,FALSE),"")</x:f>
        <x:v>Projection; force orientation; step rhythm; trunk control</x:v>
      </x:c>
      <x:c r="N243" s="12" t="str">
        <x:f>IFERROR(VLOOKUP($D243&amp;"|"&amp;$K243,Recommendation_Lookup!$A$2:$H$19,4,FALSE),"")</x:f>
        <x:v>Build acceleration from 0–10 m using split starts, falling starts and progressive resisted sprints. Emphasize full recovery and technical consistency.</x:v>
      </x:c>
      <x:c r="O243" s="12" t="str">
        <x:f>IFERROR(VLOOKUP($D243&amp;"|"&amp;$K243,Recommendation_Lookup!$A$2:$H$19,5,FALSE),"")</x:f>
        <x:v>RVX Acceleration Development</x:v>
      </x:c>
      <x:c r="P243" s="12" t="str">
        <x:f>IFERROR(VLOOKUP($D243&amp;"|"&amp;$K243,Recommendation_Lookup!$A$2:$H$19,6,FALSE),"")</x:f>
        <x:v>RVX Sprint Mechanics</x:v>
      </x:c>
      <x:c r="Q243" s="12" t="str">
        <x:f>IFERROR(VLOOKUP($D243&amp;"|"&amp;$K243,Recommendation_Lookup!$A$2:$H$19,7,FALSE),"")</x:f>
        <x:v>Keep building speed through the line; do not stand up too early.</x:v>
      </x:c>
      <x:c r="R243" s="12" t="str">
        <x:f>IFERROR(VLOOKUP($D243&amp;"|"&amp;$K243,Recommendation_Lookup!$A$2:$H$19,8,FALSE),"")</x:f>
        <x:v>Retest after 4–6 weeks.</x:v>
      </x:c>
      <x:c r="S243" s="12"/>
      <x:c r="T243" s="12"/>
      <x:c r="U243" s="12"/>
      <x:c r="V243" s="12"/>
      <x:c r="W243" s="12" t="str">
        <x:f>IF($S243&lt;&gt;"",$S243,$K243)</x:f>
        <x:v>Equal to Norm</x:v>
      </x:c>
      <x:c r="X243" s="12" t="str">
        <x:f>IF($T243&lt;&gt;"",$T243,$L243)</x:f>
        <x:v>Improve acceleration continuation</x:v>
      </x:c>
      <x:c r="Y243" s="12" t="str">
        <x:f>IF($U243&lt;&gt;"",$U243,$N243)</x:f>
        <x:v>Build acceleration from 0–10 m using split starts, falling starts and progressive resisted sprints. Emphasize full recovery and technical consistency.</x:v>
      </x:c>
      <x:c r="Z243" s="12" t="str">
        <x:f>IF($V243&lt;&gt;"",$V243,$O243)</x:f>
        <x:v>RVX Acceleration Development</x:v>
      </x:c>
      <x:c r="AA243" s="12"/>
    </x:row>
    <x:row r="244">
      <x:c r="A244" s="12" t="str">
        <x:v>RVX-00041</x:v>
      </x:c>
      <x:c r="B244" s="12" t="str">
        <x:f>IFERROR(VLOOKUP($A244,Athlete_Profile!$A$2:$L$51,6,FALSE),"")</x:f>
        <x:v>Soccer</x:v>
      </x:c>
      <x:c r="C244" s="12" t="str">
        <x:f>IFERROR(VLOOKUP($A244,Athlete_Profile!$A$2:$L$51,5,FALSE),"")</x:f>
        <x:v>Female</x:v>
      </x:c>
      <x:c r="D244" s="12" t="str">
        <x:v>pro_agility</x:v>
      </x:c>
      <x:c r="E244" s="12" t="str">
        <x:f>IFERROR(VLOOKUP($D244,Dropdown_Lists!$K$2:$N$7,2,FALSE),"")</x:f>
        <x:v>5-10-5 Pro Agility</x:v>
      </x:c>
      <x:c r="F244" s="12" t="str">
        <x:f>IFERROR(VLOOKUP($D244,Dropdown_Lists!$K$2:$N$7,3,FALSE),"")</x:f>
        <x:v>lower</x:v>
      </x:c>
      <x:c r="G244" s="17" t="n">
        <x:f>IFERROR(LOOKUP(2,1/((Performance_Metrics!$A$2:$A$3000=$A244)*(Performance_Metrics!$D$2:$D$3000=$D244)),Performance_Metrics!$C$2:$C$3000),"")</x:f>
        <x:v>46230</x:v>
      </x:c>
      <x:c r="H244" s="12" t="n">
        <x:f>IFERROR(LOOKUP(2,1/((Performance_Metrics!$A$2:$A$3000=$A244)*(Performance_Metrics!$D$2:$D$3000=$D244)),Performance_Metrics!$G$2:$G$3000),"")</x:f>
        <x:v>4.55</x:v>
      </x:c>
      <x:c r="I244" s="12" t="n">
        <x:f>IFERROR(SUMIFS(Normative_Data!$G$2:$G$1000,Normative_Data!$A$2:$A$1000,$B244,Normative_Data!$B$2:$B$1000,$C244,Normative_Data!$E$2:$E$1000,$D244),"")</x:f>
        <x:v>4.89</x:v>
      </x:c>
      <x:c r="J244" s="18" t="n">
        <x:f>IF(OR($H244="",$I244=""),"",($H244-$I244)/$I244)</x:f>
        <x:v>-0.06952965235173822</x:v>
      </x:c>
      <x:c r="K244" s="12" t="str">
        <x:f>IF(OR($H244="",$I244="",$F244=""),"",IF(ABS($J244)&lt;=0.05,"Equal to Norm",IF($F244="lower",IF($H244&lt;$I244,"Above Norm","Below Norm"),IF($H244&gt;$I244,"Above Norm","Below Norm"))))</x:f>
        <x:v>Above Norm</x:v>
      </x:c>
      <x:c r="L244" s="12" t="str">
        <x:f>IFERROR(VLOOKUP($D244&amp;"|"&amp;$K244,Recommendation_Lookup!$A$2:$H$19,2,FALSE),"")</x:f>
        <x:v>Maintain change-of-direction performance</x:v>
      </x:c>
      <x:c r="M244" s="12" t="str">
        <x:f>IFERROR(VLOOKUP($D244&amp;"|"&amp;$K244,Recommendation_Lookup!$A$2:$H$19,3,FALSE),"")</x:f>
        <x:v>Reactive decision-making; braking tolerance; bilateral symmetry; movement variability</x:v>
      </x:c>
      <x:c r="N244" s="12" t="str">
        <x:f>IFERROR(VLOOKUP($D244&amp;"|"&amp;$K244,Recommendation_Lookup!$A$2:$H$19,4,FALSE),"")</x:f>
        <x:v>Maintain planned change-of-direction work and progress toward reactive agility. Use low-volume, high-quality exposures with multiple starting and turning strategies.</x:v>
      </x:c>
      <x:c r="O244" s="12" t="str">
        <x:f>IFERROR(VLOOKUP($D244&amp;"|"&amp;$K244,Recommendation_Lookup!$A$2:$H$19,5,FALSE),"")</x:f>
        <x:v>RVX Advanced Change of Direction</x:v>
      </x:c>
      <x:c r="P244" s="12" t="str">
        <x:f>IFERROR(VLOOKUP($D244&amp;"|"&amp;$K244,Recommendation_Lookup!$A$2:$H$19,6,FALSE),"")</x:f>
        <x:v>RVX Reactive Agility</x:v>
      </x:c>
      <x:c r="Q244" s="12" t="str">
        <x:f>IFERROR(VLOOKUP($D244&amp;"|"&amp;$K244,Recommendation_Lookup!$A$2:$H$19,7,FALSE),"")</x:f>
        <x:v>Brake under control, own the plant and accelerate out immediately.</x:v>
      </x:c>
      <x:c r="R244" s="12" t="str">
        <x:f>IFERROR(VLOOKUP($D244&amp;"|"&amp;$K244,Recommendation_Lookup!$A$2:$H$19,8,FALSE),"")</x:f>
        <x:v>Retest every 6–8 weeks with left and right trial review.</x:v>
      </x:c>
      <x:c r="S244" s="12"/>
      <x:c r="T244" s="12"/>
      <x:c r="U244" s="12"/>
      <x:c r="V244" s="12"/>
      <x:c r="W244" s="12" t="str">
        <x:f>IF($S244&lt;&gt;"",$S244,$K244)</x:f>
        <x:v>Above Norm</x:v>
      </x:c>
      <x:c r="X244" s="12" t="str">
        <x:f>IF($T244&lt;&gt;"",$T244,$L244)</x:f>
        <x:v>Maintain change-of-direction performance</x:v>
      </x:c>
      <x:c r="Y244" s="12" t="str">
        <x:f>IF($U244&lt;&gt;"",$U244,$N244)</x:f>
        <x:v>Maintain planned change-of-direction work and progress toward reactive agility. Use low-volume, high-quality exposures with multiple starting and turning strategies.</x:v>
      </x:c>
      <x:c r="Z244" s="12" t="str">
        <x:f>IF($V244&lt;&gt;"",$V244,$O244)</x:f>
        <x:v>RVX Advanced Change of Direction</x:v>
      </x:c>
      <x:c r="AA244" s="12"/>
    </x:row>
    <x:row r="245">
      <x:c r="A245" s="12" t="str">
        <x:v>RVX-00041</x:v>
      </x:c>
      <x:c r="B245" s="12" t="str">
        <x:f>IFERROR(VLOOKUP($A245,Athlete_Profile!$A$2:$L$51,6,FALSE),"")</x:f>
        <x:v>Soccer</x:v>
      </x:c>
      <x:c r="C245" s="12" t="str">
        <x:f>IFERROR(VLOOKUP($A245,Athlete_Profile!$A$2:$L$51,5,FALSE),"")</x:f>
        <x:v>Female</x:v>
      </x:c>
      <x:c r="D245" s="12" t="str">
        <x:v>cmj_depth</x:v>
      </x:c>
      <x:c r="E245" s="12" t="str">
        <x:f>IFERROR(VLOOKUP($D245,Dropdown_Lists!$K$2:$N$7,2,FALSE),"")</x:f>
        <x:v>Countermovement Depth</x:v>
      </x:c>
      <x:c r="F245" s="12" t="str">
        <x:f>IFERROR(VLOOKUP($D245,Dropdown_Lists!$K$2:$N$7,3,FALSE),"")</x:f>
        <x:v>higher</x:v>
      </x:c>
      <x:c r="G245" s="17" t="n">
        <x:f>IFERROR(LOOKUP(2,1/((Performance_Metrics!$A$2:$A$3000=$A245)*(Performance_Metrics!$D$2:$D$3000=$D245)),Performance_Metrics!$C$2:$C$3000),"")</x:f>
        <x:v>46230</x:v>
      </x:c>
      <x:c r="H245" s="12" t="n">
        <x:f>IFERROR(LOOKUP(2,1/((Performance_Metrics!$A$2:$A$3000=$A245)*(Performance_Metrics!$D$2:$D$3000=$D245)),Performance_Metrics!$G$2:$G$3000),"")</x:f>
        <x:v>30.2</x:v>
      </x:c>
      <x:c r="I245" s="12" t="n">
        <x:f>IFERROR(SUMIFS(Normative_Data!$G$2:$G$1000,Normative_Data!$A$2:$A$1000,$B245,Normative_Data!$B$2:$B$1000,$C245,Normative_Data!$E$2:$E$1000,$D245),"")</x:f>
        <x:v>28.5</x:v>
      </x:c>
      <x:c r="J245" s="18" t="n">
        <x:f>IF(OR($H245="",$I245=""),"",($H245-$I245)/$I245)</x:f>
        <x:v>0.05964912280701752</x:v>
      </x:c>
      <x:c r="K245" s="12" t="str">
        <x:f>IF(OR($H245="",$I245="",$F245=""),"",IF(ABS($J245)&lt;=0.05,"Equal to Norm",IF($F245="lower",IF($H245&lt;$I245,"Above Norm","Below Norm"),IF($H245&gt;$I245,"Above Norm","Below Norm"))))</x:f>
        <x:v>Above Norm</x:v>
      </x:c>
      <x:c r="L245" s="12" t="str">
        <x:f>IFERROR(VLOOKUP($D245&amp;"|"&amp;$K245,Recommendation_Lookup!$A$2:$H$19,2,FALSE),"")</x:f>
        <x:v>Maintain effective countermovement strategy</x:v>
      </x:c>
      <x:c r="M245" s="12" t="str">
        <x:f>IFERROR(VLOOKUP($D245&amp;"|"&amp;$K245,Recommendation_Lookup!$A$2:$H$19,3,FALSE),"")</x:f>
        <x:v>Movement efficiency; eccentric control; jump consistency; depth-to-output relationship</x:v>
      </x:c>
      <x:c r="N245" s="12" t="str">
        <x:f>IFERROR(VLOOKUP($D245&amp;"|"&amp;$K245,Recommendation_Lookup!$A$2:$H$19,4,FALSE),"")</x:f>
        <x:v>Maintain the athlete’s preferred countermovement strategy while ensuring the additional depth contributes to force and impulse rather than excessive movement time.</x:v>
      </x:c>
      <x:c r="O245" s="12" t="str">
        <x:f>IFERROR(VLOOKUP($D245&amp;"|"&amp;$K245,Recommendation_Lookup!$A$2:$H$19,5,FALSE),"")</x:f>
        <x:v>RVX Jump Performance Advanced</x:v>
      </x:c>
      <x:c r="P245" s="12" t="str">
        <x:f>IFERROR(VLOOKUP($D245&amp;"|"&amp;$K245,Recommendation_Lookup!$A$2:$H$19,6,FALSE),"")</x:f>
        <x:v>RVX Eccentric Strength Microdose</x:v>
      </x:c>
      <x:c r="Q245" s="12" t="str">
        <x:f>IFERROR(VLOOKUP($D245&amp;"|"&amp;$K245,Recommendation_Lookup!$A$2:$H$19,7,FALSE),"")</x:f>
        <x:v>Use the depth you can control, then reverse quickly and aggressively.</x:v>
      </x:c>
      <x:c r="R245" s="12" t="str">
        <x:f>IFERROR(VLOOKUP($D245&amp;"|"&amp;$K245,Recommendation_Lookup!$A$2:$H$19,8,FALSE),"")</x:f>
        <x:v>Retest every 6–8 weeks while monitoring jump height and contraction time.</x:v>
      </x:c>
      <x:c r="S245" s="12"/>
      <x:c r="T245" s="12"/>
      <x:c r="U245" s="12"/>
      <x:c r="V245" s="12"/>
      <x:c r="W245" s="12" t="str">
        <x:f>IF($S245&lt;&gt;"",$S245,$K245)</x:f>
        <x:v>Above Norm</x:v>
      </x:c>
      <x:c r="X245" s="12" t="str">
        <x:f>IF($T245&lt;&gt;"",$T245,$L245)</x:f>
        <x:v>Maintain effective countermovement strategy</x:v>
      </x:c>
      <x:c r="Y245" s="12" t="str">
        <x:f>IF($U245&lt;&gt;"",$U245,$N245)</x:f>
        <x:v>Maintain the athlete’s preferred countermovement strategy while ensuring the additional depth contributes to force and impulse rather than excessive movement time.</x:v>
      </x:c>
      <x:c r="Z245" s="12" t="str">
        <x:f>IF($V245&lt;&gt;"",$V245,$O245)</x:f>
        <x:v>RVX Jump Performance Advanced</x:v>
      </x:c>
      <x:c r="AA245" s="12"/>
    </x:row>
    <x:row r="246">
      <x:c r="A246" s="12" t="str">
        <x:v>RVX-00041</x:v>
      </x:c>
      <x:c r="B246" s="12" t="str">
        <x:f>IFERROR(VLOOKUP($A246,Athlete_Profile!$A$2:$L$51,6,FALSE),"")</x:f>
        <x:v>Soccer</x:v>
      </x:c>
      <x:c r="C246" s="12" t="str">
        <x:f>IFERROR(VLOOKUP($A246,Athlete_Profile!$A$2:$L$51,5,FALSE),"")</x:f>
        <x:v>Female</x:v>
      </x:c>
      <x:c r="D246" s="12" t="str">
        <x:v>peak_force</x:v>
      </x:c>
      <x:c r="E246" s="12" t="str">
        <x:f>IFERROR(VLOOKUP($D246,Dropdown_Lists!$K$2:$N$7,2,FALSE),"")</x:f>
        <x:v>Peak Force</x:v>
      </x:c>
      <x:c r="F246" s="12" t="str">
        <x:f>IFERROR(VLOOKUP($D246,Dropdown_Lists!$K$2:$N$7,3,FALSE),"")</x:f>
        <x:v>higher</x:v>
      </x:c>
      <x:c r="G246" s="17" t="n">
        <x:f>IFERROR(LOOKUP(2,1/((Performance_Metrics!$A$2:$A$3000=$A246)*(Performance_Metrics!$D$2:$D$3000=$D246)),Performance_Metrics!$C$2:$C$3000),"")</x:f>
        <x:v>46230</x:v>
      </x:c>
      <x:c r="H246" s="12" t="n">
        <x:f>IFERROR(LOOKUP(2,1/((Performance_Metrics!$A$2:$A$3000=$A246)*(Performance_Metrics!$D$2:$D$3000=$D246)),Performance_Metrics!$G$2:$G$3000),"")</x:f>
        <x:v>1713</x:v>
      </x:c>
      <x:c r="I246" s="12" t="n">
        <x:f>IFERROR(SUMIFS(Normative_Data!$G$2:$G$1000,Normative_Data!$A$2:$A$1000,$B246,Normative_Data!$B$2:$B$1000,$C246,Normative_Data!$E$2:$E$1000,$D246),"")</x:f>
        <x:v>1662.5</x:v>
      </x:c>
      <x:c r="J246" s="18" t="n">
        <x:f>IF(OR($H246="",$I246=""),"",($H246-$I246)/$I246)</x:f>
        <x:v>0.03037593984962406</x:v>
      </x:c>
      <x:c r="K246" s="12" t="str">
        <x:f>IF(OR($H246="",$I246="",$F246=""),"",IF(ABS($J246)&lt;=0.05,"Equal to Norm",IF($F246="lower",IF($H246&lt;$I246,"Above Norm","Below Norm"),IF($H246&gt;$I246,"Above Norm","Below Norm"))))</x:f>
        <x:v>Equal to Norm</x:v>
      </x:c>
      <x:c r="L246" s="12" t="str">
        <x:f>IFERROR(VLOOKUP($D246&amp;"|"&amp;$K246,Recommendation_Lookup!$A$2:$H$19,2,FALSE),"")</x:f>
        <x:v>Increase force capacity</x:v>
      </x:c>
      <x:c r="M246" s="12" t="str">
        <x:f>IFERROR(VLOOKUP($D246&amp;"|"&amp;$K246,Recommendation_Lookup!$A$2:$H$19,3,FALSE),"")</x:f>
        <x:v>Relative strength; bracing; lower-body strength; isometric force</x:v>
      </x:c>
      <x:c r="N246" s="12" t="str">
        <x:f>IFERROR(VLOOKUP($D246&amp;"|"&amp;$K246,Recommendation_Lookup!$A$2:$H$19,4,FALSE),"")</x:f>
        <x:v>Use progressive lower-body strength training with compound lifts, isometrics and unilateral work. Maintain technical quality and appropriate loading progression.</x:v>
      </x:c>
      <x:c r="O246" s="12" t="str">
        <x:f>IFERROR(VLOOKUP($D246&amp;"|"&amp;$K246,Recommendation_Lookup!$A$2:$H$19,5,FALSE),"")</x:f>
        <x:v>RVX Strength Development</x:v>
      </x:c>
      <x:c r="P246" s="12" t="str">
        <x:f>IFERROR(VLOOKUP($D246&amp;"|"&amp;$K246,Recommendation_Lookup!$A$2:$H$19,6,FALSE),"")</x:f>
        <x:v>RVX Isometric Force Builder</x:v>
      </x:c>
      <x:c r="Q246" s="12" t="str">
        <x:f>IFERROR(VLOOKUP($D246&amp;"|"&amp;$K246,Recommendation_Lookup!$A$2:$H$19,7,FALSE),"")</x:f>
        <x:v>Create full-body tension and push through the floor with intent.</x:v>
      </x:c>
      <x:c r="R246" s="12" t="str">
        <x:f>IFERROR(VLOOKUP($D246&amp;"|"&amp;$K246,Recommendation_Lookup!$A$2:$H$19,8,FALSE),"")</x:f>
        <x:v>Retest after 4–6 weeks.</x:v>
      </x:c>
      <x:c r="S246" s="12"/>
      <x:c r="T246" s="12"/>
      <x:c r="U246" s="12"/>
      <x:c r="V246" s="12"/>
      <x:c r="W246" s="12" t="str">
        <x:f>IF($S246&lt;&gt;"",$S246,$K246)</x:f>
        <x:v>Equal to Norm</x:v>
      </x:c>
      <x:c r="X246" s="12" t="str">
        <x:f>IF($T246&lt;&gt;"",$T246,$L246)</x:f>
        <x:v>Increase force capacity</x:v>
      </x:c>
      <x:c r="Y246" s="12" t="str">
        <x:f>IF($U246&lt;&gt;"",$U246,$N246)</x:f>
        <x:v>Use progressive lower-body strength training with compound lifts, isometrics and unilateral work. Maintain technical quality and appropriate loading progression.</x:v>
      </x:c>
      <x:c r="Z246" s="12" t="str">
        <x:f>IF($V246&lt;&gt;"",$V246,$O246)</x:f>
        <x:v>RVX Strength Development</x:v>
      </x:c>
      <x:c r="AA246" s="12"/>
    </x:row>
    <x:row r="247">
      <x:c r="A247" s="12" t="str">
        <x:v>RVX-00041</x:v>
      </x:c>
      <x:c r="B247" s="12" t="str">
        <x:f>IFERROR(VLOOKUP($A247,Athlete_Profile!$A$2:$L$51,6,FALSE),"")</x:f>
        <x:v>Soccer</x:v>
      </x:c>
      <x:c r="C247" s="12" t="str">
        <x:f>IFERROR(VLOOKUP($A247,Athlete_Profile!$A$2:$L$51,5,FALSE),"")</x:f>
        <x:v>Female</x:v>
      </x:c>
      <x:c r="D247" s="12" t="str">
        <x:v>impulse</x:v>
      </x:c>
      <x:c r="E247" s="12" t="str">
        <x:f>IFERROR(VLOOKUP($D247,Dropdown_Lists!$K$2:$N$7,2,FALSE),"")</x:f>
        <x:v>Impulse-Momentum</x:v>
      </x:c>
      <x:c r="F247" s="12" t="str">
        <x:f>IFERROR(VLOOKUP($D247,Dropdown_Lists!$K$2:$N$7,3,FALSE),"")</x:f>
        <x:v>higher</x:v>
      </x:c>
      <x:c r="G247" s="17" t="n">
        <x:f>IFERROR(LOOKUP(2,1/((Performance_Metrics!$A$2:$A$3000=$A247)*(Performance_Metrics!$D$2:$D$3000=$D247)),Performance_Metrics!$C$2:$C$3000),"")</x:f>
        <x:v>46230</x:v>
      </x:c>
      <x:c r="H247" s="12" t="n">
        <x:f>IFERROR(LOOKUP(2,1/((Performance_Metrics!$A$2:$A$3000=$A247)*(Performance_Metrics!$D$2:$D$3000=$D247)),Performance_Metrics!$G$2:$G$3000),"")</x:f>
        <x:v>211.9</x:v>
      </x:c>
      <x:c r="I247" s="12" t="n">
        <x:f>IFERROR(SUMIFS(Normative_Data!$G$2:$G$1000,Normative_Data!$A$2:$A$1000,$B247,Normative_Data!$B$2:$B$1000,$C247,Normative_Data!$E$2:$E$1000,$D247),"")</x:f>
        <x:v>204.25</x:v>
      </x:c>
      <x:c r="J247" s="18" t="n">
        <x:f>IF(OR($H247="",$I247=""),"",($H247-$I247)/$I247)</x:f>
        <x:v>0.03745410036719709</x:v>
      </x:c>
      <x:c r="K247" s="12" t="str">
        <x:f>IF(OR($H247="",$I247="",$F247=""),"",IF(ABS($J247)&lt;=0.05,"Equal to Norm",IF($F247="lower",IF($H247&lt;$I247,"Above Norm","Below Norm"),IF($H247&gt;$I247,"Above Norm","Below Norm"))))</x:f>
        <x:v>Equal to Norm</x:v>
      </x:c>
      <x:c r="L247" s="12" t="str">
        <x:f>IFERROR(VLOOKUP($D247&amp;"|"&amp;$K247,Recommendation_Lookup!$A$2:$H$19,2,FALSE),"")</x:f>
        <x:v>Improve force applied over time</x:v>
      </x:c>
      <x:c r="M247" s="12" t="str">
        <x:f>IFERROR(VLOOKUP($D247&amp;"|"&amp;$K247,Recommendation_Lookup!$A$2:$H$19,3,FALSE),"")</x:f>
        <x:v>Strength; countermovement strategy; intent; coordination; power</x:v>
      </x:c>
      <x:c r="N247" s="12" t="str">
        <x:f>IFERROR(VLOOKUP($D247&amp;"|"&amp;$K247,Recommendation_Lookup!$A$2:$H$19,4,FALSE),"")</x:f>
        <x:v>Use loaded jumps, isometrics and strength-power exercises that improve the athlete’s ability to produce and sustain force through the propulsion phase.</x:v>
      </x:c>
      <x:c r="O247" s="12" t="str">
        <x:f>IFERROR(VLOOKUP($D247&amp;"|"&amp;$K247,Recommendation_Lookup!$A$2:$H$19,5,FALSE),"")</x:f>
        <x:v>RVX Power Development</x:v>
      </x:c>
      <x:c r="P247" s="12" t="str">
        <x:f>IFERROR(VLOOKUP($D247&amp;"|"&amp;$K247,Recommendation_Lookup!$A$2:$H$19,6,FALSE),"")</x:f>
        <x:v>RVX Strength-Speed</x:v>
      </x:c>
      <x:c r="Q247" s="12" t="str">
        <x:f>IFERROR(VLOOKUP($D247&amp;"|"&amp;$K247,Recommendation_Lookup!$A$2:$H$19,7,FALSE),"")</x:f>
        <x:v>Apply force early and continue driving through take-off.</x:v>
      </x:c>
      <x:c r="R247" s="12" t="str">
        <x:f>IFERROR(VLOOKUP($D247&amp;"|"&amp;$K247,Recommendation_Lookup!$A$2:$H$19,8,FALSE),"")</x:f>
        <x:v>Retest after 4–6 weeks.</x:v>
      </x:c>
      <x:c r="S247" s="12"/>
      <x:c r="T247" s="12"/>
      <x:c r="U247" s="12"/>
      <x:c r="V247" s="12"/>
      <x:c r="W247" s="12" t="str">
        <x:f>IF($S247&lt;&gt;"",$S247,$K247)</x:f>
        <x:v>Equal to Norm</x:v>
      </x:c>
      <x:c r="X247" s="12" t="str">
        <x:f>IF($T247&lt;&gt;"",$T247,$L247)</x:f>
        <x:v>Improve force applied over time</x:v>
      </x:c>
      <x:c r="Y247" s="12" t="str">
        <x:f>IF($U247&lt;&gt;"",$U247,$N247)</x:f>
        <x:v>Use loaded jumps, isometrics and strength-power exercises that improve the athlete’s ability to produce and sustain force through the propulsion phase.</x:v>
      </x:c>
      <x:c r="Z247" s="12" t="str">
        <x:f>IF($V247&lt;&gt;"",$V247,$O247)</x:f>
        <x:v>RVX Power Development</x:v>
      </x:c>
      <x:c r="AA247" s="12"/>
    </x:row>
    <x:row r="248">
      <x:c r="A248" s="12" t="str">
        <x:v>RVX-00042</x:v>
      </x:c>
      <x:c r="B248" s="12" t="str">
        <x:f>IFERROR(VLOOKUP($A248,Athlete_Profile!$A$2:$L$51,6,FALSE),"")</x:f>
        <x:v>Soccer</x:v>
      </x:c>
      <x:c r="C248" s="12" t="str">
        <x:f>IFERROR(VLOOKUP($A248,Athlete_Profile!$A$2:$L$51,5,FALSE),"")</x:f>
        <x:v>Male</x:v>
      </x:c>
      <x:c r="D248" s="12" t="str">
        <x:v>sprint_5m</x:v>
      </x:c>
      <x:c r="E248" s="12" t="str">
        <x:f>IFERROR(VLOOKUP($D248,Dropdown_Lists!$K$2:$N$7,2,FALSE),"")</x:f>
        <x:v>5m Sprint</x:v>
      </x:c>
      <x:c r="F248" s="12" t="str">
        <x:f>IFERROR(VLOOKUP($D248,Dropdown_Lists!$K$2:$N$7,3,FALSE),"")</x:f>
        <x:v>lower</x:v>
      </x:c>
      <x:c r="G248" s="17" t="n">
        <x:f>IFERROR(LOOKUP(2,1/((Performance_Metrics!$A$2:$A$3000=$A248)*(Performance_Metrics!$D$2:$D$3000=$D248)),Performance_Metrics!$C$2:$C$3000),"")</x:f>
        <x:v>46230</x:v>
      </x:c>
      <x:c r="H248" s="12" t="n">
        <x:f>IFERROR(LOOKUP(2,1/((Performance_Metrics!$A$2:$A$3000=$A248)*(Performance_Metrics!$D$2:$D$3000=$D248)),Performance_Metrics!$G$2:$G$3000),"")</x:f>
        <x:v>1.16</x:v>
      </x:c>
      <x:c r="I248" s="12" t="n">
        <x:f>IFERROR(SUMIFS(Normative_Data!$G$2:$G$1000,Normative_Data!$A$2:$A$1000,$B248,Normative_Data!$B$2:$B$1000,$C248,Normative_Data!$E$2:$E$1000,$D248),"")</x:f>
        <x:v>1.09</x:v>
      </x:c>
      <x:c r="J248" s="18" t="n">
        <x:f>IF(OR($H248="",$I248=""),"",($H248-$I248)/$I248)</x:f>
        <x:v>0.06422018348623838</x:v>
      </x:c>
      <x:c r="K248" s="12" t="str">
        <x:f>IF(OR($H248="",$I248="",$F248=""),"",IF(ABS($J248)&lt;=0.05,"Equal to Norm",IF($F248="lower",IF($H248&lt;$I248,"Above Norm","Below Norm"),IF($H248&gt;$I248,"Above Norm","Below Norm"))))</x:f>
        <x:v>Below Norm</x:v>
      </x:c>
      <x:c r="L248" s="12" t="str">
        <x:f>IFERROR(VLOOKUP($D248&amp;"|"&amp;$K248,Recommendation_Lookup!$A$2:$H$19,2,FALSE),"")</x:f>
        <x:v>Develop first-step acceleration</x:v>
      </x:c>
      <x:c r="M248" s="12" t="str">
        <x:f>IFERROR(VLOOKUP($D248&amp;"|"&amp;$K248,Recommendation_Lookup!$A$2:$H$19,3,FALSE),"")</x:f>
        <x:v>Relative strength; horizontal force; start mechanics; stiffness; coordination</x:v>
      </x:c>
      <x:c r="N248" s="12" t="str">
        <x:f>IFERROR(VLOOKUP($D248&amp;"|"&amp;$K248,Recommendation_Lookup!$A$2:$H$19,4,FALSE),"")</x:f>
        <x:v>Prioritize acceleration fundamentals and lower-body force capacity. Use resisted marches, wall drills, short sled accelerations and controlled 5 m sprint exposures.</x:v>
      </x:c>
      <x:c r="O248" s="12" t="str">
        <x:f>IFERROR(VLOOKUP($D248&amp;"|"&amp;$K248,Recommendation_Lookup!$A$2:$H$19,5,FALSE),"")</x:f>
        <x:v>RVX Acceleration Foundations</x:v>
      </x:c>
      <x:c r="P248" s="12" t="str">
        <x:f>IFERROR(VLOOKUP($D248&amp;"|"&amp;$K248,Recommendation_Lookup!$A$2:$H$19,6,FALSE),"")</x:f>
        <x:v>RVX Lower-Body Strength Foundations</x:v>
      </x:c>
      <x:c r="Q248" s="12" t="str">
        <x:f>IFERROR(VLOOKUP($D248&amp;"|"&amp;$K248,Recommendation_Lookup!$A$2:$H$19,7,FALSE),"")</x:f>
        <x:v>Create a strong angle, drive through the ground, and accelerate with intent.</x:v>
      </x:c>
      <x:c r="R248" s="12" t="str">
        <x:f>IFERROR(VLOOKUP($D248&amp;"|"&amp;$K248,Recommendation_Lookup!$A$2:$H$19,8,FALSE),"")</x:f>
        <x:v>Retest after 4 weeks; review technique video before increasing sprint volume.</x:v>
      </x:c>
      <x:c r="S248" s="12"/>
      <x:c r="T248" s="12"/>
      <x:c r="U248" s="12"/>
      <x:c r="V248" s="12"/>
      <x:c r="W248" s="12" t="str">
        <x:f>IF($S248&lt;&gt;"",$S248,$K248)</x:f>
        <x:v>Below Norm</x:v>
      </x:c>
      <x:c r="X248" s="12" t="str">
        <x:f>IF($T248&lt;&gt;"",$T248,$L248)</x:f>
        <x:v>Develop first-step acceleration</x:v>
      </x:c>
      <x:c r="Y248" s="12" t="str">
        <x:f>IF($U248&lt;&gt;"",$U248,$N248)</x:f>
        <x:v>Prioritize acceleration fundamentals and lower-body force capacity. Use resisted marches, wall drills, short sled accelerations and controlled 5 m sprint exposures.</x:v>
      </x:c>
      <x:c r="Z248" s="12" t="str">
        <x:f>IF($V248&lt;&gt;"",$V248,$O248)</x:f>
        <x:v>RVX Acceleration Foundations</x:v>
      </x:c>
      <x:c r="AA248" s="12"/>
    </x:row>
    <x:row r="249">
      <x:c r="A249" s="12" t="str">
        <x:v>RVX-00042</x:v>
      </x:c>
      <x:c r="B249" s="12" t="str">
        <x:f>IFERROR(VLOOKUP($A249,Athlete_Profile!$A$2:$L$51,6,FALSE),"")</x:f>
        <x:v>Soccer</x:v>
      </x:c>
      <x:c r="C249" s="12" t="str">
        <x:f>IFERROR(VLOOKUP($A249,Athlete_Profile!$A$2:$L$51,5,FALSE),"")</x:f>
        <x:v>Male</x:v>
      </x:c>
      <x:c r="D249" s="12" t="str">
        <x:v>sprint_10m</x:v>
      </x:c>
      <x:c r="E249" s="12" t="str">
        <x:f>IFERROR(VLOOKUP($D249,Dropdown_Lists!$K$2:$N$7,2,FALSE),"")</x:f>
        <x:v>10m Sprint</x:v>
      </x:c>
      <x:c r="F249" s="12" t="str">
        <x:f>IFERROR(VLOOKUP($D249,Dropdown_Lists!$K$2:$N$7,3,FALSE),"")</x:f>
        <x:v>lower</x:v>
      </x:c>
      <x:c r="G249" s="17" t="n">
        <x:f>IFERROR(LOOKUP(2,1/((Performance_Metrics!$A$2:$A$3000=$A249)*(Performance_Metrics!$D$2:$D$3000=$D249)),Performance_Metrics!$C$2:$C$3000),"")</x:f>
        <x:v>46230</x:v>
      </x:c>
      <x:c r="H249" s="12" t="n">
        <x:f>IFERROR(LOOKUP(2,1/((Performance_Metrics!$A$2:$A$3000=$A249)*(Performance_Metrics!$D$2:$D$3000=$D249)),Performance_Metrics!$G$2:$G$3000),"")</x:f>
        <x:v>1.89</x:v>
      </x:c>
      <x:c r="I249" s="12" t="n">
        <x:f>IFERROR(SUMIFS(Normative_Data!$G$2:$G$1000,Normative_Data!$A$2:$A$1000,$B249,Normative_Data!$B$2:$B$1000,$C249,Normative_Data!$E$2:$E$1000,$D249),"")</x:f>
        <x:v>1.83</x:v>
      </x:c>
      <x:c r="J249" s="18" t="n">
        <x:f>IF(OR($H249="",$I249=""),"",($H249-$I249)/$I249)</x:f>
        <x:v>0.032786885245901544</x:v>
      </x:c>
      <x:c r="K249" s="12" t="str">
        <x:f>IF(OR($H249="",$I249="",$F249=""),"",IF(ABS($J249)&lt;=0.05,"Equal to Norm",IF($F249="lower",IF($H249&lt;$I249,"Above Norm","Below Norm"),IF($H249&gt;$I249,"Above Norm","Below Norm"))))</x:f>
        <x:v>Equal to Norm</x:v>
      </x:c>
      <x:c r="L249" s="12" t="str">
        <x:f>IFERROR(VLOOKUP($D249&amp;"|"&amp;$K249,Recommendation_Lookup!$A$2:$H$19,2,FALSE),"")</x:f>
        <x:v>Improve acceleration continuation</x:v>
      </x:c>
      <x:c r="M249" s="12" t="str">
        <x:f>IFERROR(VLOOKUP($D249&amp;"|"&amp;$K249,Recommendation_Lookup!$A$2:$H$19,3,FALSE),"")</x:f>
        <x:v>Projection; force orientation; step rhythm; trunk control</x:v>
      </x:c>
      <x:c r="N249" s="12" t="str">
        <x:f>IFERROR(VLOOKUP($D249&amp;"|"&amp;$K249,Recommendation_Lookup!$A$2:$H$19,4,FALSE),"")</x:f>
        <x:v>Build acceleration from 0–10 m using split starts, falling starts and progressive resisted sprints. Emphasize full recovery and technical consistency.</x:v>
      </x:c>
      <x:c r="O249" s="12" t="str">
        <x:f>IFERROR(VLOOKUP($D249&amp;"|"&amp;$K249,Recommendation_Lookup!$A$2:$H$19,5,FALSE),"")</x:f>
        <x:v>RVX Acceleration Development</x:v>
      </x:c>
      <x:c r="P249" s="12" t="str">
        <x:f>IFERROR(VLOOKUP($D249&amp;"|"&amp;$K249,Recommendation_Lookup!$A$2:$H$19,6,FALSE),"")</x:f>
        <x:v>RVX Sprint Mechanics</x:v>
      </x:c>
      <x:c r="Q249" s="12" t="str">
        <x:f>IFERROR(VLOOKUP($D249&amp;"|"&amp;$K249,Recommendation_Lookup!$A$2:$H$19,7,FALSE),"")</x:f>
        <x:v>Keep building speed through the line; do not stand up too early.</x:v>
      </x:c>
      <x:c r="R249" s="12" t="str">
        <x:f>IFERROR(VLOOKUP($D249&amp;"|"&amp;$K249,Recommendation_Lookup!$A$2:$H$19,8,FALSE),"")</x:f>
        <x:v>Retest after 4–6 weeks.</x:v>
      </x:c>
      <x:c r="S249" s="12"/>
      <x:c r="T249" s="12"/>
      <x:c r="U249" s="12"/>
      <x:c r="V249" s="12"/>
      <x:c r="W249" s="12" t="str">
        <x:f>IF($S249&lt;&gt;"",$S249,$K249)</x:f>
        <x:v>Equal to Norm</x:v>
      </x:c>
      <x:c r="X249" s="12" t="str">
        <x:f>IF($T249&lt;&gt;"",$T249,$L249)</x:f>
        <x:v>Improve acceleration continuation</x:v>
      </x:c>
      <x:c r="Y249" s="12" t="str">
        <x:f>IF($U249&lt;&gt;"",$U249,$N249)</x:f>
        <x:v>Build acceleration from 0–10 m using split starts, falling starts and progressive resisted sprints. Emphasize full recovery and technical consistency.</x:v>
      </x:c>
      <x:c r="Z249" s="12" t="str">
        <x:f>IF($V249&lt;&gt;"",$V249,$O249)</x:f>
        <x:v>RVX Acceleration Development</x:v>
      </x:c>
      <x:c r="AA249" s="12"/>
    </x:row>
    <x:row r="250">
      <x:c r="A250" s="12" t="str">
        <x:v>RVX-00042</x:v>
      </x:c>
      <x:c r="B250" s="12" t="str">
        <x:f>IFERROR(VLOOKUP($A250,Athlete_Profile!$A$2:$L$51,6,FALSE),"")</x:f>
        <x:v>Soccer</x:v>
      </x:c>
      <x:c r="C250" s="12" t="str">
        <x:f>IFERROR(VLOOKUP($A250,Athlete_Profile!$A$2:$L$51,5,FALSE),"")</x:f>
        <x:v>Male</x:v>
      </x:c>
      <x:c r="D250" s="12" t="str">
        <x:v>pro_agility</x:v>
      </x:c>
      <x:c r="E250" s="12" t="str">
        <x:f>IFERROR(VLOOKUP($D250,Dropdown_Lists!$K$2:$N$7,2,FALSE),"")</x:f>
        <x:v>5-10-5 Pro Agility</x:v>
      </x:c>
      <x:c r="F250" s="12" t="str">
        <x:f>IFERROR(VLOOKUP($D250,Dropdown_Lists!$K$2:$N$7,3,FALSE),"")</x:f>
        <x:v>lower</x:v>
      </x:c>
      <x:c r="G250" s="17" t="n">
        <x:f>IFERROR(LOOKUP(2,1/((Performance_Metrics!$A$2:$A$3000=$A250)*(Performance_Metrics!$D$2:$D$3000=$D250)),Performance_Metrics!$C$2:$C$3000),"")</x:f>
        <x:v>46230</x:v>
      </x:c>
      <x:c r="H250" s="12" t="n">
        <x:f>IFERROR(LOOKUP(2,1/((Performance_Metrics!$A$2:$A$3000=$A250)*(Performance_Metrics!$D$2:$D$3000=$D250)),Performance_Metrics!$G$2:$G$3000),"")</x:f>
        <x:v>4.93</x:v>
      </x:c>
      <x:c r="I250" s="12" t="n">
        <x:f>IFERROR(SUMIFS(Normative_Data!$G$2:$G$1000,Normative_Data!$A$2:$A$1000,$B250,Normative_Data!$B$2:$B$1000,$C250,Normative_Data!$E$2:$E$1000,$D250),"")</x:f>
        <x:v>4.7</x:v>
      </x:c>
      <x:c r="J250" s="18" t="n">
        <x:f>IF(OR($H250="",$I250=""),"",($H250-$I250)/$I250)</x:f>
        <x:v>0.048936170212765855</x:v>
      </x:c>
      <x:c r="K250" s="12" t="str">
        <x:f>IF(OR($H250="",$I250="",$F250=""),"",IF(ABS($J250)&lt;=0.05,"Equal to Norm",IF($F250="lower",IF($H250&lt;$I250,"Above Norm","Below Norm"),IF($H250&gt;$I250,"Above Norm","Below Norm"))))</x:f>
        <x:v>Equal to Norm</x:v>
      </x:c>
      <x:c r="L250" s="12" t="str">
        <x:f>IFERROR(VLOOKUP($D250&amp;"|"&amp;$K250,Recommendation_Lookup!$A$2:$H$19,2,FALSE),"")</x:f>
        <x:v>Improve braking and re-acceleration</x:v>
      </x:c>
      <x:c r="M250" s="12" t="str">
        <x:f>IFERROR(VLOOKUP($D250&amp;"|"&amp;$K250,Recommendation_Lookup!$A$2:$H$19,3,FALSE),"")</x:f>
        <x:v>Deceleration mechanics; foot placement; hip position; crossover efficiency</x:v>
      </x:c>
      <x:c r="N250" s="12" t="str">
        <x:f>IFERROR(VLOOKUP($D250&amp;"|"&amp;$K250,Recommendation_Lookup!$A$2:$H$19,4,FALSE),"")</x:f>
        <x:v>Use a structured change-of-direction block emphasizing braking positions, plant-foot control and efficient re-acceleration on both sides.</x:v>
      </x:c>
      <x:c r="O250" s="12" t="str">
        <x:f>IFERROR(VLOOKUP($D250&amp;"|"&amp;$K250,Recommendation_Lookup!$A$2:$H$19,5,FALSE),"")</x:f>
        <x:v>RVX Change of Direction Development</x:v>
      </x:c>
      <x:c r="P250" s="12" t="str">
        <x:f>IFERROR(VLOOKUP($D250&amp;"|"&amp;$K250,Recommendation_Lookup!$A$2:$H$19,6,FALSE),"")</x:f>
        <x:v>RVX Deceleration Mechanics</x:v>
      </x:c>
      <x:c r="Q250" s="12" t="str">
        <x:f>IFERROR(VLOOKUP($D250&amp;"|"&amp;$K250,Recommendation_Lookup!$A$2:$H$19,7,FALSE),"")</x:f>
        <x:v>Lower the centre of mass before the turn and push away from the plant.</x:v>
      </x:c>
      <x:c r="R250" s="12" t="str">
        <x:f>IFERROR(VLOOKUP($D250&amp;"|"&amp;$K250,Recommendation_Lookup!$A$2:$H$19,8,FALSE),"")</x:f>
        <x:v>Retest after 4–6 weeks and review directional splits if available.</x:v>
      </x:c>
      <x:c r="S250" s="12"/>
      <x:c r="T250" s="12"/>
      <x:c r="U250" s="12"/>
      <x:c r="V250" s="12"/>
      <x:c r="W250" s="12" t="str">
        <x:f>IF($S250&lt;&gt;"",$S250,$K250)</x:f>
        <x:v>Equal to Norm</x:v>
      </x:c>
      <x:c r="X250" s="12" t="str">
        <x:f>IF($T250&lt;&gt;"",$T250,$L250)</x:f>
        <x:v>Improve braking and re-acceleration</x:v>
      </x:c>
      <x:c r="Y250" s="12" t="str">
        <x:f>IF($U250&lt;&gt;"",$U250,$N250)</x:f>
        <x:v>Use a structured change-of-direction block emphasizing braking positions, plant-foot control and efficient re-acceleration on both sides.</x:v>
      </x:c>
      <x:c r="Z250" s="12" t="str">
        <x:f>IF($V250&lt;&gt;"",$V250,$O250)</x:f>
        <x:v>RVX Change of Direction Development</x:v>
      </x:c>
      <x:c r="AA250" s="12"/>
    </x:row>
    <x:row r="251">
      <x:c r="A251" s="12" t="str">
        <x:v>RVX-00042</x:v>
      </x:c>
      <x:c r="B251" s="12" t="str">
        <x:f>IFERROR(VLOOKUP($A251,Athlete_Profile!$A$2:$L$51,6,FALSE),"")</x:f>
        <x:v>Soccer</x:v>
      </x:c>
      <x:c r="C251" s="12" t="str">
        <x:f>IFERROR(VLOOKUP($A251,Athlete_Profile!$A$2:$L$51,5,FALSE),"")</x:f>
        <x:v>Male</x:v>
      </x:c>
      <x:c r="D251" s="12" t="str">
        <x:v>cmj_depth</x:v>
      </x:c>
      <x:c r="E251" s="12" t="str">
        <x:f>IFERROR(VLOOKUP($D251,Dropdown_Lists!$K$2:$N$7,2,FALSE),"")</x:f>
        <x:v>Countermovement Depth</x:v>
      </x:c>
      <x:c r="F251" s="12" t="str">
        <x:f>IFERROR(VLOOKUP($D251,Dropdown_Lists!$K$2:$N$7,3,FALSE),"")</x:f>
        <x:v>higher</x:v>
      </x:c>
      <x:c r="G251" s="17" t="n">
        <x:f>IFERROR(LOOKUP(2,1/((Performance_Metrics!$A$2:$A$3000=$A251)*(Performance_Metrics!$D$2:$D$3000=$D251)),Performance_Metrics!$C$2:$C$3000),"")</x:f>
        <x:v>46230</x:v>
      </x:c>
      <x:c r="H251" s="12" t="n">
        <x:f>IFERROR(LOOKUP(2,1/((Performance_Metrics!$A$2:$A$3000=$A251)*(Performance_Metrics!$D$2:$D$3000=$D251)),Performance_Metrics!$G$2:$G$3000),"")</x:f>
        <x:v>30.6</x:v>
      </x:c>
      <x:c r="I251" s="12" t="n">
        <x:f>IFERROR(SUMIFS(Normative_Data!$G$2:$G$1000,Normative_Data!$A$2:$A$1000,$B251,Normative_Data!$B$2:$B$1000,$C251,Normative_Data!$E$2:$E$1000,$D251),"")</x:f>
        <x:v>31.35</x:v>
      </x:c>
      <x:c r="J251" s="18" t="n">
        <x:f>IF(OR($H251="",$I251=""),"",($H251-$I251)/$I251)</x:f>
        <x:v>-0.023923444976076555</x:v>
      </x:c>
      <x:c r="K251" s="12" t="str">
        <x:f>IF(OR($H251="",$I251="",$F251=""),"",IF(ABS($J251)&lt;=0.05,"Equal to Norm",IF($F251="lower",IF($H251&lt;$I251,"Above Norm","Below Norm"),IF($H251&gt;$I251,"Above Norm","Below Norm"))))</x:f>
        <x:v>Equal to Norm</x:v>
      </x:c>
      <x:c r="L251" s="12" t="str">
        <x:f>IFERROR(VLOOKUP($D251&amp;"|"&amp;$K251,Recommendation_Lookup!$A$2:$H$19,2,FALSE),"")</x:f>
        <x:v>Optimize countermovement strategy</x:v>
      </x:c>
      <x:c r="M251" s="12" t="str">
        <x:f>IFERROR(VLOOKUP($D251&amp;"|"&amp;$K251,Recommendation_Lookup!$A$2:$H$19,3,FALSE),"")</x:f>
        <x:v>Eccentric control; trunk position; reversal timing; mobility</x:v>
      </x:c>
      <x:c r="N251" s="12" t="str">
        <x:f>IFERROR(VLOOKUP($D251&amp;"|"&amp;$K251,Recommendation_Lookup!$A$2:$H$19,4,FALSE),"")</x:f>
        <x:v>Use controlled countermovement drills and landing-to-jump progressions. Determine whether additional or reduced depth improves the athlete’s overall jump output.</x:v>
      </x:c>
      <x:c r="O251" s="12" t="str">
        <x:f>IFERROR(VLOOKUP($D251&amp;"|"&amp;$K251,Recommendation_Lookup!$A$2:$H$19,5,FALSE),"")</x:f>
        <x:v>RVX Jump Mechanics</x:v>
      </x:c>
      <x:c r="P251" s="12" t="str">
        <x:f>IFERROR(VLOOKUP($D251&amp;"|"&amp;$K251,Recommendation_Lookup!$A$2:$H$19,6,FALSE),"")</x:f>
        <x:v>RVX Eccentric Control</x:v>
      </x:c>
      <x:c r="Q251" s="12" t="str">
        <x:f>IFERROR(VLOOKUP($D251&amp;"|"&amp;$K251,Recommendation_Lookup!$A$2:$H$19,7,FALSE),"")</x:f>
        <x:v>Sit into the movement under control and reverse without losing posture.</x:v>
      </x:c>
      <x:c r="R251" s="12" t="str">
        <x:f>IFERROR(VLOOKUP($D251&amp;"|"&amp;$K251,Recommendation_Lookup!$A$2:$H$19,8,FALSE),"")</x:f>
        <x:v>Retest after 4–6 weeks with jump height and impulse reviewed together.</x:v>
      </x:c>
      <x:c r="S251" s="12"/>
      <x:c r="T251" s="12"/>
      <x:c r="U251" s="12"/>
      <x:c r="V251" s="12"/>
      <x:c r="W251" s="12" t="str">
        <x:f>IF($S251&lt;&gt;"",$S251,$K251)</x:f>
        <x:v>Equal to Norm</x:v>
      </x:c>
      <x:c r="X251" s="12" t="str">
        <x:f>IF($T251&lt;&gt;"",$T251,$L251)</x:f>
        <x:v>Optimize countermovement strategy</x:v>
      </x:c>
      <x:c r="Y251" s="12" t="str">
        <x:f>IF($U251&lt;&gt;"",$U251,$N251)</x:f>
        <x:v>Use controlled countermovement drills and landing-to-jump progressions. Determine whether additional or reduced depth improves the athlete’s overall jump output.</x:v>
      </x:c>
      <x:c r="Z251" s="12" t="str">
        <x:f>IF($V251&lt;&gt;"",$V251,$O251)</x:f>
        <x:v>RVX Jump Mechanics</x:v>
      </x:c>
      <x:c r="AA251" s="12"/>
    </x:row>
    <x:row r="252">
      <x:c r="A252" s="12" t="str">
        <x:v>RVX-00042</x:v>
      </x:c>
      <x:c r="B252" s="12" t="str">
        <x:f>IFERROR(VLOOKUP($A252,Athlete_Profile!$A$2:$L$51,6,FALSE),"")</x:f>
        <x:v>Soccer</x:v>
      </x:c>
      <x:c r="C252" s="12" t="str">
        <x:f>IFERROR(VLOOKUP($A252,Athlete_Profile!$A$2:$L$51,5,FALSE),"")</x:f>
        <x:v>Male</x:v>
      </x:c>
      <x:c r="D252" s="12" t="str">
        <x:v>peak_force</x:v>
      </x:c>
      <x:c r="E252" s="12" t="str">
        <x:f>IFERROR(VLOOKUP($D252,Dropdown_Lists!$K$2:$N$7,2,FALSE),"")</x:f>
        <x:v>Peak Force</x:v>
      </x:c>
      <x:c r="F252" s="12" t="str">
        <x:f>IFERROR(VLOOKUP($D252,Dropdown_Lists!$K$2:$N$7,3,FALSE),"")</x:f>
        <x:v>higher</x:v>
      </x:c>
      <x:c r="G252" s="17" t="n">
        <x:f>IFERROR(LOOKUP(2,1/((Performance_Metrics!$A$2:$A$3000=$A252)*(Performance_Metrics!$D$2:$D$3000=$D252)),Performance_Metrics!$C$2:$C$3000),"")</x:f>
        <x:v>46230</x:v>
      </x:c>
      <x:c r="H252" s="12" t="n">
        <x:f>IFERROR(LOOKUP(2,1/((Performance_Metrics!$A$2:$A$3000=$A252)*(Performance_Metrics!$D$2:$D$3000=$D252)),Performance_Metrics!$G$2:$G$3000),"")</x:f>
        <x:v>1715</x:v>
      </x:c>
      <x:c r="I252" s="12" t="n">
        <x:f>IFERROR(SUMIFS(Normative_Data!$G$2:$G$1000,Normative_Data!$A$2:$A$1000,$B252,Normative_Data!$B$2:$B$1000,$C252,Normative_Data!$E$2:$E$1000,$D252),"")</x:f>
        <x:v>1828.75</x:v>
      </x:c>
      <x:c r="J252" s="18" t="n">
        <x:f>IF(OR($H252="",$I252=""),"",($H252-$I252)/$I252)</x:f>
        <x:v>-0.06220095693779904</x:v>
      </x:c>
      <x:c r="K252" s="12" t="str">
        <x:f>IF(OR($H252="",$I252="",$F252=""),"",IF(ABS($J252)&lt;=0.05,"Equal to Norm",IF($F252="lower",IF($H252&lt;$I252,"Above Norm","Below Norm"),IF($H252&gt;$I252,"Above Norm","Below Norm"))))</x:f>
        <x:v>Below Norm</x:v>
      </x:c>
      <x:c r="L252" s="12" t="str">
        <x:f>IFERROR(VLOOKUP($D252&amp;"|"&amp;$K252,Recommendation_Lookup!$A$2:$H$19,2,FALSE),"")</x:f>
        <x:v>Build foundational force production</x:v>
      </x:c>
      <x:c r="M252" s="12" t="str">
        <x:f>IFERROR(VLOOKUP($D252&amp;"|"&amp;$K252,Recommendation_Lookup!$A$2:$H$19,3,FALSE),"")</x:f>
        <x:v>Relative strength; technique; tendon capacity; trunk stability; unilateral strength</x:v>
      </x:c>
      <x:c r="N252" s="12" t="str">
        <x:f>IFERROR(VLOOKUP($D252&amp;"|"&amp;$K252,Recommendation_Lookup!$A$2:$H$19,4,FALSE),"")</x:f>
        <x:v>Prioritize foundational strength and positional competency. Use progressive resistance, isometrics and unilateral patterns before advanced power methods.</x:v>
      </x:c>
      <x:c r="O252" s="12" t="str">
        <x:f>IFERROR(VLOOKUP($D252&amp;"|"&amp;$K252,Recommendation_Lookup!$A$2:$H$19,5,FALSE),"")</x:f>
        <x:v>RVX Strength Foundations</x:v>
      </x:c>
      <x:c r="P252" s="12" t="str">
        <x:f>IFERROR(VLOOKUP($D252&amp;"|"&amp;$K252,Recommendation_Lookup!$A$2:$H$19,6,FALSE),"")</x:f>
        <x:v>RVX Lower-Body Capacity</x:v>
      </x:c>
      <x:c r="Q252" s="12" t="str">
        <x:f>IFERROR(VLOOKUP($D252&amp;"|"&amp;$K252,Recommendation_Lookup!$A$2:$H$19,7,FALSE),"")</x:f>
        <x:v>Own the position first, then increase force with consistent intent.</x:v>
      </x:c>
      <x:c r="R252" s="12" t="str">
        <x:f>IFERROR(VLOOKUP($D252&amp;"|"&amp;$K252,Recommendation_Lookup!$A$2:$H$19,8,FALSE),"")</x:f>
        <x:v>Retest after 4–6 weeks; review body-mass-relative force when possible.</x:v>
      </x:c>
      <x:c r="S252" s="12"/>
      <x:c r="T252" s="12"/>
      <x:c r="U252" s="12"/>
      <x:c r="V252" s="12"/>
      <x:c r="W252" s="12" t="str">
        <x:f>IF($S252&lt;&gt;"",$S252,$K252)</x:f>
        <x:v>Below Norm</x:v>
      </x:c>
      <x:c r="X252" s="12" t="str">
        <x:f>IF($T252&lt;&gt;"",$T252,$L252)</x:f>
        <x:v>Build foundational force production</x:v>
      </x:c>
      <x:c r="Y252" s="12" t="str">
        <x:f>IF($U252&lt;&gt;"",$U252,$N252)</x:f>
        <x:v>Prioritize foundational strength and positional competency. Use progressive resistance, isometrics and unilateral patterns before advanced power methods.</x:v>
      </x:c>
      <x:c r="Z252" s="12" t="str">
        <x:f>IF($V252&lt;&gt;"",$V252,$O252)</x:f>
        <x:v>RVX Strength Foundations</x:v>
      </x:c>
      <x:c r="AA252" s="12"/>
    </x:row>
    <x:row r="253">
      <x:c r="A253" s="12" t="str">
        <x:v>RVX-00042</x:v>
      </x:c>
      <x:c r="B253" s="12" t="str">
        <x:f>IFERROR(VLOOKUP($A253,Athlete_Profile!$A$2:$L$51,6,FALSE),"")</x:f>
        <x:v>Soccer</x:v>
      </x:c>
      <x:c r="C253" s="12" t="str">
        <x:f>IFERROR(VLOOKUP($A253,Athlete_Profile!$A$2:$L$51,5,FALSE),"")</x:f>
        <x:v>Male</x:v>
      </x:c>
      <x:c r="D253" s="12" t="str">
        <x:v>impulse</x:v>
      </x:c>
      <x:c r="E253" s="12" t="str">
        <x:f>IFERROR(VLOOKUP($D253,Dropdown_Lists!$K$2:$N$7,2,FALSE),"")</x:f>
        <x:v>Impulse-Momentum</x:v>
      </x:c>
      <x:c r="F253" s="12" t="str">
        <x:f>IFERROR(VLOOKUP($D253,Dropdown_Lists!$K$2:$N$7,3,FALSE),"")</x:f>
        <x:v>higher</x:v>
      </x:c>
      <x:c r="G253" s="17" t="n">
        <x:f>IFERROR(LOOKUP(2,1/((Performance_Metrics!$A$2:$A$3000=$A253)*(Performance_Metrics!$D$2:$D$3000=$D253)),Performance_Metrics!$C$2:$C$3000),"")</x:f>
        <x:v>46230</x:v>
      </x:c>
      <x:c r="H253" s="12" t="n">
        <x:f>IFERROR(LOOKUP(2,1/((Performance_Metrics!$A$2:$A$3000=$A253)*(Performance_Metrics!$D$2:$D$3000=$D253)),Performance_Metrics!$G$2:$G$3000),"")</x:f>
        <x:v>209.8</x:v>
      </x:c>
      <x:c r="I253" s="12" t="n">
        <x:f>IFERROR(SUMIFS(Normative_Data!$G$2:$G$1000,Normative_Data!$A$2:$A$1000,$B253,Normative_Data!$B$2:$B$1000,$C253,Normative_Data!$E$2:$E$1000,$D253),"")</x:f>
        <x:v>224.68</x:v>
      </x:c>
      <x:c r="J253" s="18" t="n">
        <x:f>IF(OR($H253="",$I253=""),"",($H253-$I253)/$I253)</x:f>
        <x:v>-0.06622752358910448</x:v>
      </x:c>
      <x:c r="K253" s="12" t="str">
        <x:f>IF(OR($H253="",$I253="",$F253=""),"",IF(ABS($J253)&lt;=0.05,"Equal to Norm",IF($F253="lower",IF($H253&lt;$I253,"Above Norm","Below Norm"),IF($H253&gt;$I253,"Above Norm","Below Norm"))))</x:f>
        <x:v>Below Norm</x:v>
      </x:c>
      <x:c r="L253" s="12" t="str">
        <x:f>IFERROR(VLOOKUP($D253&amp;"|"&amp;$K253,Recommendation_Lookup!$A$2:$H$19,2,FALSE),"")</x:f>
        <x:v>Develop force-time capacity</x:v>
      </x:c>
      <x:c r="M253" s="12" t="str">
        <x:f>IFERROR(VLOOKUP($D253&amp;"|"&amp;$K253,Recommendation_Lookup!$A$2:$H$19,3,FALSE),"")</x:f>
        <x:v>Maximal strength; eccentric control; concentric force; movement coordination</x:v>
      </x:c>
      <x:c r="N253" s="12" t="str">
        <x:f>IFERROR(VLOOKUP($D253&amp;"|"&amp;$K253,Recommendation_Lookup!$A$2:$H$19,4,FALSE),"")</x:f>
        <x:v>Build foundational force production before progressing to advanced plyometrics. Pair strength work with controlled jumps and explosive intent at appropriate loads.</x:v>
      </x:c>
      <x:c r="O253" s="12" t="str">
        <x:f>IFERROR(VLOOKUP($D253&amp;"|"&amp;$K253,Recommendation_Lookup!$A$2:$H$19,5,FALSE),"")</x:f>
        <x:v>RVX Power Foundations</x:v>
      </x:c>
      <x:c r="P253" s="12" t="str">
        <x:f>IFERROR(VLOOKUP($D253&amp;"|"&amp;$K253,Recommendation_Lookup!$A$2:$H$19,6,FALSE),"")</x:f>
        <x:v>RVX Strength Foundations</x:v>
      </x:c>
      <x:c r="Q253" s="12" t="str">
        <x:f>IFERROR(VLOOKUP($D253&amp;"|"&amp;$K253,Recommendation_Lookup!$A$2:$H$19,7,FALSE),"")</x:f>
        <x:v>Control the loading phase, then drive through the entire push with intent.</x:v>
      </x:c>
      <x:c r="R253" s="12" t="str">
        <x:f>IFERROR(VLOOKUP($D253&amp;"|"&amp;$K253,Recommendation_Lookup!$A$2:$H$19,8,FALSE),"")</x:f>
        <x:v>Retest after 4 weeks and review peak force, depth and movement time together.</x:v>
      </x:c>
      <x:c r="S253" s="12"/>
      <x:c r="T253" s="12"/>
      <x:c r="U253" s="12"/>
      <x:c r="V253" s="12"/>
      <x:c r="W253" s="12" t="str">
        <x:f>IF($S253&lt;&gt;"",$S253,$K253)</x:f>
        <x:v>Below Norm</x:v>
      </x:c>
      <x:c r="X253" s="12" t="str">
        <x:f>IF($T253&lt;&gt;"",$T253,$L253)</x:f>
        <x:v>Develop force-time capacity</x:v>
      </x:c>
      <x:c r="Y253" s="12" t="str">
        <x:f>IF($U253&lt;&gt;"",$U253,$N253)</x:f>
        <x:v>Build foundational force production before progressing to advanced plyometrics. Pair strength work with controlled jumps and explosive intent at appropriate loads.</x:v>
      </x:c>
      <x:c r="Z253" s="12" t="str">
        <x:f>IF($V253&lt;&gt;"",$V253,$O253)</x:f>
        <x:v>RVX Power Foundations</x:v>
      </x:c>
      <x:c r="AA253" s="12"/>
    </x:row>
    <x:row r="254">
      <x:c r="A254" s="12" t="str">
        <x:v>RVX-00043</x:v>
      </x:c>
      <x:c r="B254" s="12" t="str">
        <x:f>IFERROR(VLOOKUP($A254,Athlete_Profile!$A$2:$L$51,6,FALSE),"")</x:f>
        <x:v>Soccer</x:v>
      </x:c>
      <x:c r="C254" s="12" t="str">
        <x:f>IFERROR(VLOOKUP($A254,Athlete_Profile!$A$2:$L$51,5,FALSE),"")</x:f>
        <x:v>Female</x:v>
      </x:c>
      <x:c r="D254" s="12" t="str">
        <x:v>sprint_5m</x:v>
      </x:c>
      <x:c r="E254" s="12" t="str">
        <x:f>IFERROR(VLOOKUP($D254,Dropdown_Lists!$K$2:$N$7,2,FALSE),"")</x:f>
        <x:v>5m Sprint</x:v>
      </x:c>
      <x:c r="F254" s="12" t="str">
        <x:f>IFERROR(VLOOKUP($D254,Dropdown_Lists!$K$2:$N$7,3,FALSE),"")</x:f>
        <x:v>lower</x:v>
      </x:c>
      <x:c r="G254" s="17" t="n">
        <x:f>IFERROR(LOOKUP(2,1/((Performance_Metrics!$A$2:$A$3000=$A254)*(Performance_Metrics!$D$2:$D$3000=$D254)),Performance_Metrics!$C$2:$C$3000),"")</x:f>
        <x:v>46230</x:v>
      </x:c>
      <x:c r="H254" s="12" t="n">
        <x:f>IFERROR(LOOKUP(2,1/((Performance_Metrics!$A$2:$A$3000=$A254)*(Performance_Metrics!$D$2:$D$3000=$D254)),Performance_Metrics!$G$2:$G$3000),"")</x:f>
        <x:v>0.97</x:v>
      </x:c>
      <x:c r="I254" s="12" t="n">
        <x:f>IFERROR(SUMIFS(Normative_Data!$G$2:$G$1000,Normative_Data!$A$2:$A$1000,$B254,Normative_Data!$B$2:$B$1000,$C254,Normative_Data!$E$2:$E$1000,$D254),"")</x:f>
        <x:v>1.14</x:v>
      </x:c>
      <x:c r="J254" s="18" t="n">
        <x:f>IF(OR($H254="",$I254=""),"",($H254-$I254)/$I254)</x:f>
        <x:v>-0.14912280701754382</x:v>
      </x:c>
      <x:c r="K254" s="12" t="str">
        <x:f>IF(OR($H254="",$I254="",$F254=""),"",IF(ABS($J254)&lt;=0.05,"Equal to Norm",IF($F254="lower",IF($H254&lt;$I254,"Above Norm","Below Norm"),IF($H254&gt;$I254,"Above Norm","Below Norm"))))</x:f>
        <x:v>Above Norm</x:v>
      </x:c>
      <x:c r="L254" s="12" t="str">
        <x:f>IFERROR(VLOOKUP($D254&amp;"|"&amp;$K254,Recommendation_Lookup!$A$2:$H$19,2,FALSE),"")</x:f>
        <x:v>Maintain first-step explosiveness</x:v>
      </x:c>
      <x:c r="M254" s="12" t="str">
        <x:f>IFERROR(VLOOKUP($D254&amp;"|"&amp;$K254,Recommendation_Lookup!$A$2:$H$19,3,FALSE),"")</x:f>
        <x:v>Start consistency; projection angle; horizontal force; reaction quality</x:v>
      </x:c>
      <x:c r="N254" s="12" t="str">
        <x:f>IFERROR(VLOOKUP($D254&amp;"|"&amp;$K254,Recommendation_Lookup!$A$2:$H$19,4,FALSE),"")</x:f>
        <x:v>Maintain speed with low-volume, high-quality acceleration exposures. Avoid unnecessary volume that could reduce sprint quality. Progress through resisted and reactive starts while preserving mechanics.</x:v>
      </x:c>
      <x:c r="O254" s="12" t="str">
        <x:f>IFERROR(VLOOKUP($D254&amp;"|"&amp;$K254,Recommendation_Lookup!$A$2:$H$19,5,FALSE),"")</x:f>
        <x:v>RVX Advanced Acceleration</x:v>
      </x:c>
      <x:c r="P254" s="12" t="str">
        <x:f>IFERROR(VLOOKUP($D254&amp;"|"&amp;$K254,Recommendation_Lookup!$A$2:$H$19,6,FALSE),"")</x:f>
        <x:v>RVX Explosive Starts Microdose</x:v>
      </x:c>
      <x:c r="Q254" s="12" t="str">
        <x:f>IFERROR(VLOOKUP($D254&amp;"|"&amp;$K254,Recommendation_Lookup!$A$2:$H$19,7,FALSE),"")</x:f>
        <x:v>Project forward, push the ground back, and win the first three steps.</x:v>
      </x:c>
      <x:c r="R254" s="12" t="str">
        <x:f>IFERROR(VLOOKUP($D254&amp;"|"&amp;$K254,Recommendation_Lookup!$A$2:$H$19,8,FALSE),"")</x:f>
        <x:v>Retest every 6–8 weeks or after a dedicated acceleration block.</x:v>
      </x:c>
      <x:c r="S254" s="12"/>
      <x:c r="T254" s="12"/>
      <x:c r="U254" s="12"/>
      <x:c r="V254" s="12"/>
      <x:c r="W254" s="12" t="str">
        <x:f>IF($S254&lt;&gt;"",$S254,$K254)</x:f>
        <x:v>Above Norm</x:v>
      </x:c>
      <x:c r="X254" s="12" t="str">
        <x:f>IF($T254&lt;&gt;"",$T254,$L254)</x:f>
        <x:v>Maintain first-step explosiveness</x:v>
      </x:c>
      <x:c r="Y254" s="12" t="str">
        <x:f>IF($U254&lt;&gt;"",$U254,$N254)</x:f>
        <x:v>Maintain speed with low-volume, high-quality acceleration exposures. Avoid unnecessary volume that could reduce sprint quality. Progress through resisted and reactive starts while preserving mechanics.</x:v>
      </x:c>
      <x:c r="Z254" s="12" t="str">
        <x:f>IF($V254&lt;&gt;"",$V254,$O254)</x:f>
        <x:v>RVX Advanced Acceleration</x:v>
      </x:c>
      <x:c r="AA254" s="12"/>
    </x:row>
    <x:row r="255">
      <x:c r="A255" s="12" t="str">
        <x:v>RVX-00043</x:v>
      </x:c>
      <x:c r="B255" s="12" t="str">
        <x:f>IFERROR(VLOOKUP($A255,Athlete_Profile!$A$2:$L$51,6,FALSE),"")</x:f>
        <x:v>Soccer</x:v>
      </x:c>
      <x:c r="C255" s="12" t="str">
        <x:f>IFERROR(VLOOKUP($A255,Athlete_Profile!$A$2:$L$51,5,FALSE),"")</x:f>
        <x:v>Female</x:v>
      </x:c>
      <x:c r="D255" s="12" t="str">
        <x:v>sprint_10m</x:v>
      </x:c>
      <x:c r="E255" s="12" t="str">
        <x:f>IFERROR(VLOOKUP($D255,Dropdown_Lists!$K$2:$N$7,2,FALSE),"")</x:f>
        <x:v>10m Sprint</x:v>
      </x:c>
      <x:c r="F255" s="12" t="str">
        <x:f>IFERROR(VLOOKUP($D255,Dropdown_Lists!$K$2:$N$7,3,FALSE),"")</x:f>
        <x:v>lower</x:v>
      </x:c>
      <x:c r="G255" s="17" t="n">
        <x:f>IFERROR(LOOKUP(2,1/((Performance_Metrics!$A$2:$A$3000=$A255)*(Performance_Metrics!$D$2:$D$3000=$D255)),Performance_Metrics!$C$2:$C$3000),"")</x:f>
        <x:v>46230</x:v>
      </x:c>
      <x:c r="H255" s="12" t="n">
        <x:f>IFERROR(LOOKUP(2,1/((Performance_Metrics!$A$2:$A$3000=$A255)*(Performance_Metrics!$D$2:$D$3000=$D255)),Performance_Metrics!$G$2:$G$3000),"")</x:f>
        <x:v>1.61</x:v>
      </x:c>
      <x:c r="I255" s="12" t="n">
        <x:f>IFERROR(SUMIFS(Normative_Data!$G$2:$G$1000,Normative_Data!$A$2:$A$1000,$B255,Normative_Data!$B$2:$B$1000,$C255,Normative_Data!$E$2:$E$1000,$D255),"")</x:f>
        <x:v>1.91</x:v>
      </x:c>
      <x:c r="J255" s="18" t="n">
        <x:f>IF(OR($H255="",$I255=""),"",($H255-$I255)/$I255)</x:f>
        <x:v>-0.15706806282722505</x:v>
      </x:c>
      <x:c r="K255" s="12" t="str">
        <x:f>IF(OR($H255="",$I255="",$F255=""),"",IF(ABS($J255)&lt;=0.05,"Equal to Norm",IF($F255="lower",IF($H255&lt;$I255,"Above Norm","Below Norm"),IF($H255&gt;$I255,"Above Norm","Below Norm"))))</x:f>
        <x:v>Above Norm</x:v>
      </x:c>
      <x:c r="L255" s="12" t="str">
        <x:f>IFERROR(VLOOKUP($D255&amp;"|"&amp;$K255,Recommendation_Lookup!$A$2:$H$19,2,FALSE),"")</x:f>
        <x:v>Maintain acceleration through 10 m</x:v>
      </x:c>
      <x:c r="M255" s="12" t="str">
        <x:f>IFERROR(VLOOKUP($D255&amp;"|"&amp;$K255,Recommendation_Lookup!$A$2:$H$19,3,FALSE),"")</x:f>
        <x:v>Transition mechanics; stride rhythm; stiffness; repeatability</x:v>
      </x:c>
      <x:c r="N255" s="12" t="str">
        <x:f>IFERROR(VLOOKUP($D255&amp;"|"&amp;$K255,Recommendation_Lookup!$A$2:$H$19,4,FALSE),"")</x:f>
        <x:v>Maintain one to two weekly high-quality acceleration exposures. Add varied starts and light resistance while monitoring consistency across trials.</x:v>
      </x:c>
      <x:c r="O255" s="12" t="str">
        <x:f>IFERROR(VLOOKUP($D255&amp;"|"&amp;$K255,Recommendation_Lookup!$A$2:$H$19,5,FALSE),"")</x:f>
        <x:v>RVX Advanced Acceleration</x:v>
      </x:c>
      <x:c r="P255" s="12" t="str">
        <x:f>IFERROR(VLOOKUP($D255&amp;"|"&amp;$K255,Recommendation_Lookup!$A$2:$H$19,6,FALSE),"")</x:f>
        <x:v>RVX Speed Maintenance Microdose</x:v>
      </x:c>
      <x:c r="Q255" s="12" t="str">
        <x:f>IFERROR(VLOOKUP($D255&amp;"|"&amp;$K255,Recommendation_Lookup!$A$2:$H$19,7,FALSE),"")</x:f>
        <x:v>Stay patient through acceleration and keep pushing behind the body.</x:v>
      </x:c>
      <x:c r="R255" s="12" t="str">
        <x:f>IFERROR(VLOOKUP($D255&amp;"|"&amp;$K255,Recommendation_Lookup!$A$2:$H$19,8,FALSE),"")</x:f>
        <x:v>Retest every 6–8 weeks or after a speed block.</x:v>
      </x:c>
      <x:c r="S255" s="12"/>
      <x:c r="T255" s="12"/>
      <x:c r="U255" s="12"/>
      <x:c r="V255" s="12"/>
      <x:c r="W255" s="12" t="str">
        <x:f>IF($S255&lt;&gt;"",$S255,$K255)</x:f>
        <x:v>Above Norm</x:v>
      </x:c>
      <x:c r="X255" s="12" t="str">
        <x:f>IF($T255&lt;&gt;"",$T255,$L255)</x:f>
        <x:v>Maintain acceleration through 10 m</x:v>
      </x:c>
      <x:c r="Y255" s="12" t="str">
        <x:f>IF($U255&lt;&gt;"",$U255,$N255)</x:f>
        <x:v>Maintain one to two weekly high-quality acceleration exposures. Add varied starts and light resistance while monitoring consistency across trials.</x:v>
      </x:c>
      <x:c r="Z255" s="12" t="str">
        <x:f>IF($V255&lt;&gt;"",$V255,$O255)</x:f>
        <x:v>RVX Advanced Acceleration</x:v>
      </x:c>
      <x:c r="AA255" s="12"/>
    </x:row>
    <x:row r="256">
      <x:c r="A256" s="12" t="str">
        <x:v>RVX-00043</x:v>
      </x:c>
      <x:c r="B256" s="12" t="str">
        <x:f>IFERROR(VLOOKUP($A256,Athlete_Profile!$A$2:$L$51,6,FALSE),"")</x:f>
        <x:v>Soccer</x:v>
      </x:c>
      <x:c r="C256" s="12" t="str">
        <x:f>IFERROR(VLOOKUP($A256,Athlete_Profile!$A$2:$L$51,5,FALSE),"")</x:f>
        <x:v>Female</x:v>
      </x:c>
      <x:c r="D256" s="12" t="str">
        <x:v>pro_agility</x:v>
      </x:c>
      <x:c r="E256" s="12" t="str">
        <x:f>IFERROR(VLOOKUP($D256,Dropdown_Lists!$K$2:$N$7,2,FALSE),"")</x:f>
        <x:v>5-10-5 Pro Agility</x:v>
      </x:c>
      <x:c r="F256" s="12" t="str">
        <x:f>IFERROR(VLOOKUP($D256,Dropdown_Lists!$K$2:$N$7,3,FALSE),"")</x:f>
        <x:v>lower</x:v>
      </x:c>
      <x:c r="G256" s="17" t="n">
        <x:f>IFERROR(LOOKUP(2,1/((Performance_Metrics!$A$2:$A$3000=$A256)*(Performance_Metrics!$D$2:$D$3000=$D256)),Performance_Metrics!$C$2:$C$3000),"")</x:f>
        <x:v>46230</x:v>
      </x:c>
      <x:c r="H256" s="12" t="n">
        <x:f>IFERROR(LOOKUP(2,1/((Performance_Metrics!$A$2:$A$3000=$A256)*(Performance_Metrics!$D$2:$D$3000=$D256)),Performance_Metrics!$G$2:$G$3000),"")</x:f>
        <x:v>4.02</x:v>
      </x:c>
      <x:c r="I256" s="12" t="n">
        <x:f>IFERROR(SUMIFS(Normative_Data!$G$2:$G$1000,Normative_Data!$A$2:$A$1000,$B256,Normative_Data!$B$2:$B$1000,$C256,Normative_Data!$E$2:$E$1000,$D256),"")</x:f>
        <x:v>4.89</x:v>
      </x:c>
      <x:c r="J256" s="18" t="n">
        <x:f>IF(OR($H256="",$I256=""),"",($H256-$I256)/$I256)</x:f>
        <x:v>-0.17791411042944788</x:v>
      </x:c>
      <x:c r="K256" s="12" t="str">
        <x:f>IF(OR($H256="",$I256="",$F256=""),"",IF(ABS($J256)&lt;=0.05,"Equal to Norm",IF($F256="lower",IF($H256&lt;$I256,"Above Norm","Below Norm"),IF($H256&gt;$I256,"Above Norm","Below Norm"))))</x:f>
        <x:v>Above Norm</x:v>
      </x:c>
      <x:c r="L256" s="12" t="str">
        <x:f>IFERROR(VLOOKUP($D256&amp;"|"&amp;$K256,Recommendation_Lookup!$A$2:$H$19,2,FALSE),"")</x:f>
        <x:v>Maintain change-of-direction performance</x:v>
      </x:c>
      <x:c r="M256" s="12" t="str">
        <x:f>IFERROR(VLOOKUP($D256&amp;"|"&amp;$K256,Recommendation_Lookup!$A$2:$H$19,3,FALSE),"")</x:f>
        <x:v>Reactive decision-making; braking tolerance; bilateral symmetry; movement variability</x:v>
      </x:c>
      <x:c r="N256" s="12" t="str">
        <x:f>IFERROR(VLOOKUP($D256&amp;"|"&amp;$K256,Recommendation_Lookup!$A$2:$H$19,4,FALSE),"")</x:f>
        <x:v>Maintain planned change-of-direction work and progress toward reactive agility. Use low-volume, high-quality exposures with multiple starting and turning strategies.</x:v>
      </x:c>
      <x:c r="O256" s="12" t="str">
        <x:f>IFERROR(VLOOKUP($D256&amp;"|"&amp;$K256,Recommendation_Lookup!$A$2:$H$19,5,FALSE),"")</x:f>
        <x:v>RVX Advanced Change of Direction</x:v>
      </x:c>
      <x:c r="P256" s="12" t="str">
        <x:f>IFERROR(VLOOKUP($D256&amp;"|"&amp;$K256,Recommendation_Lookup!$A$2:$H$19,6,FALSE),"")</x:f>
        <x:v>RVX Reactive Agility</x:v>
      </x:c>
      <x:c r="Q256" s="12" t="str">
        <x:f>IFERROR(VLOOKUP($D256&amp;"|"&amp;$K256,Recommendation_Lookup!$A$2:$H$19,7,FALSE),"")</x:f>
        <x:v>Brake under control, own the plant and accelerate out immediately.</x:v>
      </x:c>
      <x:c r="R256" s="12" t="str">
        <x:f>IFERROR(VLOOKUP($D256&amp;"|"&amp;$K256,Recommendation_Lookup!$A$2:$H$19,8,FALSE),"")</x:f>
        <x:v>Retest every 6–8 weeks with left and right trial review.</x:v>
      </x:c>
      <x:c r="S256" s="12"/>
      <x:c r="T256" s="12"/>
      <x:c r="U256" s="12"/>
      <x:c r="V256" s="12"/>
      <x:c r="W256" s="12" t="str">
        <x:f>IF($S256&lt;&gt;"",$S256,$K256)</x:f>
        <x:v>Above Norm</x:v>
      </x:c>
      <x:c r="X256" s="12" t="str">
        <x:f>IF($T256&lt;&gt;"",$T256,$L256)</x:f>
        <x:v>Maintain change-of-direction performance</x:v>
      </x:c>
      <x:c r="Y256" s="12" t="str">
        <x:f>IF($U256&lt;&gt;"",$U256,$N256)</x:f>
        <x:v>Maintain planned change-of-direction work and progress toward reactive agility. Use low-volume, high-quality exposures with multiple starting and turning strategies.</x:v>
      </x:c>
      <x:c r="Z256" s="12" t="str">
        <x:f>IF($V256&lt;&gt;"",$V256,$O256)</x:f>
        <x:v>RVX Advanced Change of Direction</x:v>
      </x:c>
      <x:c r="AA256" s="12"/>
    </x:row>
    <x:row r="257">
      <x:c r="A257" s="12" t="str">
        <x:v>RVX-00043</x:v>
      </x:c>
      <x:c r="B257" s="12" t="str">
        <x:f>IFERROR(VLOOKUP($A257,Athlete_Profile!$A$2:$L$51,6,FALSE),"")</x:f>
        <x:v>Soccer</x:v>
      </x:c>
      <x:c r="C257" s="12" t="str">
        <x:f>IFERROR(VLOOKUP($A257,Athlete_Profile!$A$2:$L$51,5,FALSE),"")</x:f>
        <x:v>Female</x:v>
      </x:c>
      <x:c r="D257" s="12" t="str">
        <x:v>cmj_depth</x:v>
      </x:c>
      <x:c r="E257" s="12" t="str">
        <x:f>IFERROR(VLOOKUP($D257,Dropdown_Lists!$K$2:$N$7,2,FALSE),"")</x:f>
        <x:v>Countermovement Depth</x:v>
      </x:c>
      <x:c r="F257" s="12" t="str">
        <x:f>IFERROR(VLOOKUP($D257,Dropdown_Lists!$K$2:$N$7,3,FALSE),"")</x:f>
        <x:v>higher</x:v>
      </x:c>
      <x:c r="G257" s="17" t="n">
        <x:f>IFERROR(LOOKUP(2,1/((Performance_Metrics!$A$2:$A$3000=$A257)*(Performance_Metrics!$D$2:$D$3000=$D257)),Performance_Metrics!$C$2:$C$3000),"")</x:f>
        <x:v>46230</x:v>
      </x:c>
      <x:c r="H257" s="12" t="n">
        <x:f>IFERROR(LOOKUP(2,1/((Performance_Metrics!$A$2:$A$3000=$A257)*(Performance_Metrics!$D$2:$D$3000=$D257)),Performance_Metrics!$G$2:$G$3000),"")</x:f>
        <x:v>32.3</x:v>
      </x:c>
      <x:c r="I257" s="12" t="n">
        <x:f>IFERROR(SUMIFS(Normative_Data!$G$2:$G$1000,Normative_Data!$A$2:$A$1000,$B257,Normative_Data!$B$2:$B$1000,$C257,Normative_Data!$E$2:$E$1000,$D257),"")</x:f>
        <x:v>28.5</x:v>
      </x:c>
      <x:c r="J257" s="18" t="n">
        <x:f>IF(OR($H257="",$I257=""),"",($H257-$I257)/$I257)</x:f>
        <x:v>0.13333333333333322</x:v>
      </x:c>
      <x:c r="K257" s="12" t="str">
        <x:f>IF(OR($H257="",$I257="",$F257=""),"",IF(ABS($J257)&lt;=0.05,"Equal to Norm",IF($F257="lower",IF($H257&lt;$I257,"Above Norm","Below Norm"),IF($H257&gt;$I257,"Above Norm","Below Norm"))))</x:f>
        <x:v>Above Norm</x:v>
      </x:c>
      <x:c r="L257" s="12" t="str">
        <x:f>IFERROR(VLOOKUP($D257&amp;"|"&amp;$K257,Recommendation_Lookup!$A$2:$H$19,2,FALSE),"")</x:f>
        <x:v>Maintain effective countermovement strategy</x:v>
      </x:c>
      <x:c r="M257" s="12" t="str">
        <x:f>IFERROR(VLOOKUP($D257&amp;"|"&amp;$K257,Recommendation_Lookup!$A$2:$H$19,3,FALSE),"")</x:f>
        <x:v>Movement efficiency; eccentric control; jump consistency; depth-to-output relationship</x:v>
      </x:c>
      <x:c r="N257" s="12" t="str">
        <x:f>IFERROR(VLOOKUP($D257&amp;"|"&amp;$K257,Recommendation_Lookup!$A$2:$H$19,4,FALSE),"")</x:f>
        <x:v>Maintain the athlete’s preferred countermovement strategy while ensuring the additional depth contributes to force and impulse rather than excessive movement time.</x:v>
      </x:c>
      <x:c r="O257" s="12" t="str">
        <x:f>IFERROR(VLOOKUP($D257&amp;"|"&amp;$K257,Recommendation_Lookup!$A$2:$H$19,5,FALSE),"")</x:f>
        <x:v>RVX Jump Performance Advanced</x:v>
      </x:c>
      <x:c r="P257" s="12" t="str">
        <x:f>IFERROR(VLOOKUP($D257&amp;"|"&amp;$K257,Recommendation_Lookup!$A$2:$H$19,6,FALSE),"")</x:f>
        <x:v>RVX Eccentric Strength Microdose</x:v>
      </x:c>
      <x:c r="Q257" s="12" t="str">
        <x:f>IFERROR(VLOOKUP($D257&amp;"|"&amp;$K257,Recommendation_Lookup!$A$2:$H$19,7,FALSE),"")</x:f>
        <x:v>Use the depth you can control, then reverse quickly and aggressively.</x:v>
      </x:c>
      <x:c r="R257" s="12" t="str">
        <x:f>IFERROR(VLOOKUP($D257&amp;"|"&amp;$K257,Recommendation_Lookup!$A$2:$H$19,8,FALSE),"")</x:f>
        <x:v>Retest every 6–8 weeks while monitoring jump height and contraction time.</x:v>
      </x:c>
      <x:c r="S257" s="12"/>
      <x:c r="T257" s="12"/>
      <x:c r="U257" s="12"/>
      <x:c r="V257" s="12"/>
      <x:c r="W257" s="12" t="str">
        <x:f>IF($S257&lt;&gt;"",$S257,$K257)</x:f>
        <x:v>Above Norm</x:v>
      </x:c>
      <x:c r="X257" s="12" t="str">
        <x:f>IF($T257&lt;&gt;"",$T257,$L257)</x:f>
        <x:v>Maintain effective countermovement strategy</x:v>
      </x:c>
      <x:c r="Y257" s="12" t="str">
        <x:f>IF($U257&lt;&gt;"",$U257,$N257)</x:f>
        <x:v>Maintain the athlete’s preferred countermovement strategy while ensuring the additional depth contributes to force and impulse rather than excessive movement time.</x:v>
      </x:c>
      <x:c r="Z257" s="12" t="str">
        <x:f>IF($V257&lt;&gt;"",$V257,$O257)</x:f>
        <x:v>RVX Jump Performance Advanced</x:v>
      </x:c>
      <x:c r="AA257" s="12"/>
    </x:row>
    <x:row r="258">
      <x:c r="A258" s="12" t="str">
        <x:v>RVX-00043</x:v>
      </x:c>
      <x:c r="B258" s="12" t="str">
        <x:f>IFERROR(VLOOKUP($A258,Athlete_Profile!$A$2:$L$51,6,FALSE),"")</x:f>
        <x:v>Soccer</x:v>
      </x:c>
      <x:c r="C258" s="12" t="str">
        <x:f>IFERROR(VLOOKUP($A258,Athlete_Profile!$A$2:$L$51,5,FALSE),"")</x:f>
        <x:v>Female</x:v>
      </x:c>
      <x:c r="D258" s="12" t="str">
        <x:v>peak_force</x:v>
      </x:c>
      <x:c r="E258" s="12" t="str">
        <x:f>IFERROR(VLOOKUP($D258,Dropdown_Lists!$K$2:$N$7,2,FALSE),"")</x:f>
        <x:v>Peak Force</x:v>
      </x:c>
      <x:c r="F258" s="12" t="str">
        <x:f>IFERROR(VLOOKUP($D258,Dropdown_Lists!$K$2:$N$7,3,FALSE),"")</x:f>
        <x:v>higher</x:v>
      </x:c>
      <x:c r="G258" s="17" t="n">
        <x:f>IFERROR(LOOKUP(2,1/((Performance_Metrics!$A$2:$A$3000=$A258)*(Performance_Metrics!$D$2:$D$3000=$D258)),Performance_Metrics!$C$2:$C$3000),"")</x:f>
        <x:v>46230</x:v>
      </x:c>
      <x:c r="H258" s="12" t="n">
        <x:f>IFERROR(LOOKUP(2,1/((Performance_Metrics!$A$2:$A$3000=$A258)*(Performance_Metrics!$D$2:$D$3000=$D258)),Performance_Metrics!$G$2:$G$3000),"")</x:f>
        <x:v>1886</x:v>
      </x:c>
      <x:c r="I258" s="12" t="n">
        <x:f>IFERROR(SUMIFS(Normative_Data!$G$2:$G$1000,Normative_Data!$A$2:$A$1000,$B258,Normative_Data!$B$2:$B$1000,$C258,Normative_Data!$E$2:$E$1000,$D258),"")</x:f>
        <x:v>1662.5</x:v>
      </x:c>
      <x:c r="J258" s="18" t="n">
        <x:f>IF(OR($H258="",$I258=""),"",($H258-$I258)/$I258)</x:f>
        <x:v>0.1344360902255639</x:v>
      </x:c>
      <x:c r="K258" s="12" t="str">
        <x:f>IF(OR($H258="",$I258="",$F258=""),"",IF(ABS($J258)&lt;=0.05,"Equal to Norm",IF($F258="lower",IF($H258&lt;$I258,"Above Norm","Below Norm"),IF($H258&gt;$I258,"Above Norm","Below Norm"))))</x:f>
        <x:v>Above Norm</x:v>
      </x:c>
      <x:c r="L258" s="12" t="str">
        <x:f>IFERROR(VLOOKUP($D258&amp;"|"&amp;$K258,Recommendation_Lookup!$A$2:$H$19,2,FALSE),"")</x:f>
        <x:v>Maintain maximal force qualities</x:v>
      </x:c>
      <x:c r="M258" s="12" t="str">
        <x:f>IFERROR(VLOOKUP($D258&amp;"|"&amp;$K258,Recommendation_Lookup!$A$2:$H$19,3,FALSE),"")</x:f>
        <x:v>Force application speed; asymmetry; fatigue management; sport transfer</x:v>
      </x:c>
      <x:c r="N258" s="12" t="str">
        <x:f>IFERROR(VLOOKUP($D258&amp;"|"&amp;$K258,Recommendation_Lookup!$A$2:$H$19,4,FALSE),"")</x:f>
        <x:v>Maintain maximal force with low-volume strength exposure while shifting selected work toward power and sport-specific application. Monitor asymmetry and fatigue.</x:v>
      </x:c>
      <x:c r="O258" s="12" t="str">
        <x:f>IFERROR(VLOOKUP($D258&amp;"|"&amp;$K258,Recommendation_Lookup!$A$2:$H$19,5,FALSE),"")</x:f>
        <x:v>RVX Advanced Strength-Power</x:v>
      </x:c>
      <x:c r="P258" s="12" t="str">
        <x:f>IFERROR(VLOOKUP($D258&amp;"|"&amp;$K258,Recommendation_Lookup!$A$2:$H$19,6,FALSE),"")</x:f>
        <x:v>RVX Force Maintenance Microdose</x:v>
      </x:c>
      <x:c r="Q258" s="12" t="str">
        <x:f>IFERROR(VLOOKUP($D258&amp;"|"&amp;$K258,Recommendation_Lookup!$A$2:$H$19,7,FALSE),"")</x:f>
        <x:v>Produce high force without losing position or movement speed.</x:v>
      </x:c>
      <x:c r="R258" s="12" t="str">
        <x:f>IFERROR(VLOOKUP($D258&amp;"|"&amp;$K258,Recommendation_Lookup!$A$2:$H$19,8,FALSE),"")</x:f>
        <x:v>Retest every 6–8 weeks or following a strength-power phase.</x:v>
      </x:c>
      <x:c r="S258" s="12"/>
      <x:c r="T258" s="12"/>
      <x:c r="U258" s="12"/>
      <x:c r="V258" s="12"/>
      <x:c r="W258" s="12" t="str">
        <x:f>IF($S258&lt;&gt;"",$S258,$K258)</x:f>
        <x:v>Above Norm</x:v>
      </x:c>
      <x:c r="X258" s="12" t="str">
        <x:f>IF($T258&lt;&gt;"",$T258,$L258)</x:f>
        <x:v>Maintain maximal force qualities</x:v>
      </x:c>
      <x:c r="Y258" s="12" t="str">
        <x:f>IF($U258&lt;&gt;"",$U258,$N258)</x:f>
        <x:v>Maintain maximal force with low-volume strength exposure while shifting selected work toward power and sport-specific application. Monitor asymmetry and fatigue.</x:v>
      </x:c>
      <x:c r="Z258" s="12" t="str">
        <x:f>IF($V258&lt;&gt;"",$V258,$O258)</x:f>
        <x:v>RVX Advanced Strength-Power</x:v>
      </x:c>
      <x:c r="AA258" s="12"/>
    </x:row>
    <x:row r="259">
      <x:c r="A259" s="12" t="str">
        <x:v>RVX-00043</x:v>
      </x:c>
      <x:c r="B259" s="12" t="str">
        <x:f>IFERROR(VLOOKUP($A259,Athlete_Profile!$A$2:$L$51,6,FALSE),"")</x:f>
        <x:v>Soccer</x:v>
      </x:c>
      <x:c r="C259" s="12" t="str">
        <x:f>IFERROR(VLOOKUP($A259,Athlete_Profile!$A$2:$L$51,5,FALSE),"")</x:f>
        <x:v>Female</x:v>
      </x:c>
      <x:c r="D259" s="12" t="str">
        <x:v>impulse</x:v>
      </x:c>
      <x:c r="E259" s="12" t="str">
        <x:f>IFERROR(VLOOKUP($D259,Dropdown_Lists!$K$2:$N$7,2,FALSE),"")</x:f>
        <x:v>Impulse-Momentum</x:v>
      </x:c>
      <x:c r="F259" s="12" t="str">
        <x:f>IFERROR(VLOOKUP($D259,Dropdown_Lists!$K$2:$N$7,3,FALSE),"")</x:f>
        <x:v>higher</x:v>
      </x:c>
      <x:c r="G259" s="17" t="n">
        <x:f>IFERROR(LOOKUP(2,1/((Performance_Metrics!$A$2:$A$3000=$A259)*(Performance_Metrics!$D$2:$D$3000=$D259)),Performance_Metrics!$C$2:$C$3000),"")</x:f>
        <x:v>46230</x:v>
      </x:c>
      <x:c r="H259" s="12" t="n">
        <x:f>IFERROR(LOOKUP(2,1/((Performance_Metrics!$A$2:$A$3000=$A259)*(Performance_Metrics!$D$2:$D$3000=$D259)),Performance_Metrics!$G$2:$G$3000),"")</x:f>
        <x:v>240.6</x:v>
      </x:c>
      <x:c r="I259" s="12" t="n">
        <x:f>IFERROR(SUMIFS(Normative_Data!$G$2:$G$1000,Normative_Data!$A$2:$A$1000,$B259,Normative_Data!$B$2:$B$1000,$C259,Normative_Data!$E$2:$E$1000,$D259),"")</x:f>
        <x:v>204.25</x:v>
      </x:c>
      <x:c r="J259" s="18" t="n">
        <x:f>IF(OR($H259="",$I259=""),"",($H259-$I259)/$I259)</x:f>
        <x:v>0.17796817625458994</x:v>
      </x:c>
      <x:c r="K259" s="12" t="str">
        <x:f>IF(OR($H259="",$I259="",$F259=""),"",IF(ABS($J259)&lt;=0.05,"Equal to Norm",IF($F259="lower",IF($H259&lt;$I259,"Above Norm","Below Norm"),IF($H259&gt;$I259,"Above Norm","Below Norm"))))</x:f>
        <x:v>Above Norm</x:v>
      </x:c>
      <x:c r="L259" s="12" t="str">
        <x:f>IFERROR(VLOOKUP($D259&amp;"|"&amp;$K259,Recommendation_Lookup!$A$2:$H$19,2,FALSE),"")</x:f>
        <x:v>Maintain total force-time output</x:v>
      </x:c>
      <x:c r="M259" s="12" t="str">
        <x:f>IFERROR(VLOOKUP($D259&amp;"|"&amp;$K259,Recommendation_Lookup!$A$2:$H$19,3,FALSE),"")</x:f>
        <x:v>Rate of force development; movement time; power transfer; fatigue resistance</x:v>
      </x:c>
      <x:c r="N259" s="12" t="str">
        <x:f>IFERROR(VLOOKUP($D259&amp;"|"&amp;$K259,Recommendation_Lookup!$A$2:$H$19,4,FALSE),"")</x:f>
        <x:v>Maintain impulse with strength-power microdosing and varied jump or sprint exposures. Ensure high impulse is achieved efficiently rather than through excessive movement time.</x:v>
      </x:c>
      <x:c r="O259" s="12" t="str">
        <x:f>IFERROR(VLOOKUP($D259&amp;"|"&amp;$K259,Recommendation_Lookup!$A$2:$H$19,5,FALSE),"")</x:f>
        <x:v>RVX Advanced Power Development</x:v>
      </x:c>
      <x:c r="P259" s="12" t="str">
        <x:f>IFERROR(VLOOKUP($D259&amp;"|"&amp;$K259,Recommendation_Lookup!$A$2:$H$19,6,FALSE),"")</x:f>
        <x:v>RVX Elastic Power Microdose</x:v>
      </x:c>
      <x:c r="Q259" s="12" t="str">
        <x:f>IFERROR(VLOOKUP($D259&amp;"|"&amp;$K259,Recommendation_Lookup!$A$2:$H$19,7,FALSE),"")</x:f>
        <x:v>Build force quickly and keep applying it through the full movement.</x:v>
      </x:c>
      <x:c r="R259" s="12" t="str">
        <x:f>IFERROR(VLOOKUP($D259&amp;"|"&amp;$K259,Recommendation_Lookup!$A$2:$H$19,8,FALSE),"")</x:f>
        <x:v>Retest every 6–8 weeks while reviewing contraction time and jump outcome.</x:v>
      </x:c>
      <x:c r="S259" s="12"/>
      <x:c r="T259" s="12"/>
      <x:c r="U259" s="12"/>
      <x:c r="V259" s="12"/>
      <x:c r="W259" s="12" t="str">
        <x:f>IF($S259&lt;&gt;"",$S259,$K259)</x:f>
        <x:v>Above Norm</x:v>
      </x:c>
      <x:c r="X259" s="12" t="str">
        <x:f>IF($T259&lt;&gt;"",$T259,$L259)</x:f>
        <x:v>Maintain total force-time output</x:v>
      </x:c>
      <x:c r="Y259" s="12" t="str">
        <x:f>IF($U259&lt;&gt;"",$U259,$N259)</x:f>
        <x:v>Maintain impulse with strength-power microdosing and varied jump or sprint exposures. Ensure high impulse is achieved efficiently rather than through excessive movement time.</x:v>
      </x:c>
      <x:c r="Z259" s="12" t="str">
        <x:f>IF($V259&lt;&gt;"",$V259,$O259)</x:f>
        <x:v>RVX Advanced Power Development</x:v>
      </x:c>
      <x:c r="AA259" s="12"/>
    </x:row>
    <x:row r="260">
      <x:c r="A260" s="12" t="str">
        <x:v>RVX-00044</x:v>
      </x:c>
      <x:c r="B260" s="12" t="str">
        <x:f>IFERROR(VLOOKUP($A260,Athlete_Profile!$A$2:$L$51,6,FALSE),"")</x:f>
        <x:v>Soccer</x:v>
      </x:c>
      <x:c r="C260" s="12" t="str">
        <x:f>IFERROR(VLOOKUP($A260,Athlete_Profile!$A$2:$L$51,5,FALSE),"")</x:f>
        <x:v>Male</x:v>
      </x:c>
      <x:c r="D260" s="12" t="str">
        <x:v>sprint_5m</x:v>
      </x:c>
      <x:c r="E260" s="12" t="str">
        <x:f>IFERROR(VLOOKUP($D260,Dropdown_Lists!$K$2:$N$7,2,FALSE),"")</x:f>
        <x:v>5m Sprint</x:v>
      </x:c>
      <x:c r="F260" s="12" t="str">
        <x:f>IFERROR(VLOOKUP($D260,Dropdown_Lists!$K$2:$N$7,3,FALSE),"")</x:f>
        <x:v>lower</x:v>
      </x:c>
      <x:c r="G260" s="17" t="n">
        <x:f>IFERROR(LOOKUP(2,1/((Performance_Metrics!$A$2:$A$3000=$A260)*(Performance_Metrics!$D$2:$D$3000=$D260)),Performance_Metrics!$C$2:$C$3000),"")</x:f>
        <x:v>46230</x:v>
      </x:c>
      <x:c r="H260" s="12" t="n">
        <x:f>IFERROR(LOOKUP(2,1/((Performance_Metrics!$A$2:$A$3000=$A260)*(Performance_Metrics!$D$2:$D$3000=$D260)),Performance_Metrics!$G$2:$G$3000),"")</x:f>
        <x:v>1.05</x:v>
      </x:c>
      <x:c r="I260" s="12" t="n">
        <x:f>IFERROR(SUMIFS(Normative_Data!$G$2:$G$1000,Normative_Data!$A$2:$A$1000,$B260,Normative_Data!$B$2:$B$1000,$C260,Normative_Data!$E$2:$E$1000,$D260),"")</x:f>
        <x:v>1.09</x:v>
      </x:c>
      <x:c r="J260" s="18" t="n">
        <x:f>IF(OR($H260="",$I260=""),"",($H260-$I260)/$I260)</x:f>
        <x:v>-0.03669724770642205</x:v>
      </x:c>
      <x:c r="K260" s="12" t="str">
        <x:f>IF(OR($H260="",$I260="",$F260=""),"",IF(ABS($J260)&lt;=0.05,"Equal to Norm",IF($F260="lower",IF($H260&lt;$I260,"Above Norm","Below Norm"),IF($H260&gt;$I260,"Above Norm","Below Norm"))))</x:f>
        <x:v>Equal to Norm</x:v>
      </x:c>
      <x:c r="L260" s="12" t="str">
        <x:f>IFERROR(VLOOKUP($D260&amp;"|"&amp;$K260,Recommendation_Lookup!$A$2:$H$19,2,FALSE),"")</x:f>
        <x:v>Improve acceleration efficiency</x:v>
      </x:c>
      <x:c r="M260" s="12" t="str">
        <x:f>IFERROR(VLOOKUP($D260&amp;"|"&amp;$K260,Recommendation_Lookup!$A$2:$H$19,3,FALSE),"")</x:f>
        <x:v>Starting posture; shin angle; first-step direction; arm action</x:v>
      </x:c>
      <x:c r="N260" s="12" t="str">
        <x:f>IFERROR(VLOOKUP($D260&amp;"|"&amp;$K260,Recommendation_Lookup!$A$2:$H$19,4,FALSE),"")</x:f>
        <x:v>Use a focused acceleration-development block emphasizing starting position, projection and force application. Keep repetitions short with full recovery.</x:v>
      </x:c>
      <x:c r="O260" s="12" t="str">
        <x:f>IFERROR(VLOOKUP($D260&amp;"|"&amp;$K260,Recommendation_Lookup!$A$2:$H$19,5,FALSE),"")</x:f>
        <x:v>RVX Acceleration Foundations</x:v>
      </x:c>
      <x:c r="P260" s="12" t="str">
        <x:f>IFERROR(VLOOKUP($D260&amp;"|"&amp;$K260,Recommendation_Lookup!$A$2:$H$19,6,FALSE),"")</x:f>
        <x:v>RVX Sprint Mechanics</x:v>
      </x:c>
      <x:c r="Q260" s="12" t="str">
        <x:f>IFERROR(VLOOKUP($D260&amp;"|"&amp;$K260,Recommendation_Lookup!$A$2:$H$19,7,FALSE),"")</x:f>
        <x:v>Push out, not up. Keep the first steps powerful and connected.</x:v>
      </x:c>
      <x:c r="R260" s="12" t="str">
        <x:f>IFERROR(VLOOKUP($D260&amp;"|"&amp;$K260,Recommendation_Lookup!$A$2:$H$19,8,FALSE),"")</x:f>
        <x:v>Retest after 4–6 weeks of focused acceleration work.</x:v>
      </x:c>
      <x:c r="S260" s="12"/>
      <x:c r="T260" s="12"/>
      <x:c r="U260" s="12"/>
      <x:c r="V260" s="12"/>
      <x:c r="W260" s="12" t="str">
        <x:f>IF($S260&lt;&gt;"",$S260,$K260)</x:f>
        <x:v>Equal to Norm</x:v>
      </x:c>
      <x:c r="X260" s="12" t="str">
        <x:f>IF($T260&lt;&gt;"",$T260,$L260)</x:f>
        <x:v>Improve acceleration efficiency</x:v>
      </x:c>
      <x:c r="Y260" s="12" t="str">
        <x:f>IF($U260&lt;&gt;"",$U260,$N260)</x:f>
        <x:v>Use a focused acceleration-development block emphasizing starting position, projection and force application. Keep repetitions short with full recovery.</x:v>
      </x:c>
      <x:c r="Z260" s="12" t="str">
        <x:f>IF($V260&lt;&gt;"",$V260,$O260)</x:f>
        <x:v>RVX Acceleration Foundations</x:v>
      </x:c>
      <x:c r="AA260" s="12"/>
    </x:row>
    <x:row r="261">
      <x:c r="A261" s="12" t="str">
        <x:v>RVX-00044</x:v>
      </x:c>
      <x:c r="B261" s="12" t="str">
        <x:f>IFERROR(VLOOKUP($A261,Athlete_Profile!$A$2:$L$51,6,FALSE),"")</x:f>
        <x:v>Soccer</x:v>
      </x:c>
      <x:c r="C261" s="12" t="str">
        <x:f>IFERROR(VLOOKUP($A261,Athlete_Profile!$A$2:$L$51,5,FALSE),"")</x:f>
        <x:v>Male</x:v>
      </x:c>
      <x:c r="D261" s="12" t="str">
        <x:v>sprint_10m</x:v>
      </x:c>
      <x:c r="E261" s="12" t="str">
        <x:f>IFERROR(VLOOKUP($D261,Dropdown_Lists!$K$2:$N$7,2,FALSE),"")</x:f>
        <x:v>10m Sprint</x:v>
      </x:c>
      <x:c r="F261" s="12" t="str">
        <x:f>IFERROR(VLOOKUP($D261,Dropdown_Lists!$K$2:$N$7,3,FALSE),"")</x:f>
        <x:v>lower</x:v>
      </x:c>
      <x:c r="G261" s="17" t="n">
        <x:f>IFERROR(LOOKUP(2,1/((Performance_Metrics!$A$2:$A$3000=$A261)*(Performance_Metrics!$D$2:$D$3000=$D261)),Performance_Metrics!$C$2:$C$3000),"")</x:f>
        <x:v>46230</x:v>
      </x:c>
      <x:c r="H261" s="12" t="n">
        <x:f>IFERROR(LOOKUP(2,1/((Performance_Metrics!$A$2:$A$3000=$A261)*(Performance_Metrics!$D$2:$D$3000=$D261)),Performance_Metrics!$G$2:$G$3000),"")</x:f>
        <x:v>1.76</x:v>
      </x:c>
      <x:c r="I261" s="12" t="n">
        <x:f>IFERROR(SUMIFS(Normative_Data!$G$2:$G$1000,Normative_Data!$A$2:$A$1000,$B261,Normative_Data!$B$2:$B$1000,$C261,Normative_Data!$E$2:$E$1000,$D261),"")</x:f>
        <x:v>1.83</x:v>
      </x:c>
      <x:c r="J261" s="18" t="n">
        <x:f>IF(OR($H261="",$I261=""),"",($H261-$I261)/$I261)</x:f>
        <x:v>-0.038251366120218615</x:v>
      </x:c>
      <x:c r="K261" s="12" t="str">
        <x:f>IF(OR($H261="",$I261="",$F261=""),"",IF(ABS($J261)&lt;=0.05,"Equal to Norm",IF($F261="lower",IF($H261&lt;$I261,"Above Norm","Below Norm"),IF($H261&gt;$I261,"Above Norm","Below Norm"))))</x:f>
        <x:v>Equal to Norm</x:v>
      </x:c>
      <x:c r="L261" s="12" t="str">
        <x:f>IFERROR(VLOOKUP($D261&amp;"|"&amp;$K261,Recommendation_Lookup!$A$2:$H$19,2,FALSE),"")</x:f>
        <x:v>Improve acceleration continuation</x:v>
      </x:c>
      <x:c r="M261" s="12" t="str">
        <x:f>IFERROR(VLOOKUP($D261&amp;"|"&amp;$K261,Recommendation_Lookup!$A$2:$H$19,3,FALSE),"")</x:f>
        <x:v>Projection; force orientation; step rhythm; trunk control</x:v>
      </x:c>
      <x:c r="N261" s="12" t="str">
        <x:f>IFERROR(VLOOKUP($D261&amp;"|"&amp;$K261,Recommendation_Lookup!$A$2:$H$19,4,FALSE),"")</x:f>
        <x:v>Build acceleration from 0–10 m using split starts, falling starts and progressive resisted sprints. Emphasize full recovery and technical consistency.</x:v>
      </x:c>
      <x:c r="O261" s="12" t="str">
        <x:f>IFERROR(VLOOKUP($D261&amp;"|"&amp;$K261,Recommendation_Lookup!$A$2:$H$19,5,FALSE),"")</x:f>
        <x:v>RVX Acceleration Development</x:v>
      </x:c>
      <x:c r="P261" s="12" t="str">
        <x:f>IFERROR(VLOOKUP($D261&amp;"|"&amp;$K261,Recommendation_Lookup!$A$2:$H$19,6,FALSE),"")</x:f>
        <x:v>RVX Sprint Mechanics</x:v>
      </x:c>
      <x:c r="Q261" s="12" t="str">
        <x:f>IFERROR(VLOOKUP($D261&amp;"|"&amp;$K261,Recommendation_Lookup!$A$2:$H$19,7,FALSE),"")</x:f>
        <x:v>Keep building speed through the line; do not stand up too early.</x:v>
      </x:c>
      <x:c r="R261" s="12" t="str">
        <x:f>IFERROR(VLOOKUP($D261&amp;"|"&amp;$K261,Recommendation_Lookup!$A$2:$H$19,8,FALSE),"")</x:f>
        <x:v>Retest after 4–6 weeks.</x:v>
      </x:c>
      <x:c r="S261" s="12"/>
      <x:c r="T261" s="12"/>
      <x:c r="U261" s="12"/>
      <x:c r="V261" s="12"/>
      <x:c r="W261" s="12" t="str">
        <x:f>IF($S261&lt;&gt;"",$S261,$K261)</x:f>
        <x:v>Equal to Norm</x:v>
      </x:c>
      <x:c r="X261" s="12" t="str">
        <x:f>IF($T261&lt;&gt;"",$T261,$L261)</x:f>
        <x:v>Improve acceleration continuation</x:v>
      </x:c>
      <x:c r="Y261" s="12" t="str">
        <x:f>IF($U261&lt;&gt;"",$U261,$N261)</x:f>
        <x:v>Build acceleration from 0–10 m using split starts, falling starts and progressive resisted sprints. Emphasize full recovery and technical consistency.</x:v>
      </x:c>
      <x:c r="Z261" s="12" t="str">
        <x:f>IF($V261&lt;&gt;"",$V261,$O261)</x:f>
        <x:v>RVX Acceleration Development</x:v>
      </x:c>
      <x:c r="AA261" s="12"/>
    </x:row>
    <x:row r="262">
      <x:c r="A262" s="12" t="str">
        <x:v>RVX-00044</x:v>
      </x:c>
      <x:c r="B262" s="12" t="str">
        <x:f>IFERROR(VLOOKUP($A262,Athlete_Profile!$A$2:$L$51,6,FALSE),"")</x:f>
        <x:v>Soccer</x:v>
      </x:c>
      <x:c r="C262" s="12" t="str">
        <x:f>IFERROR(VLOOKUP($A262,Athlete_Profile!$A$2:$L$51,5,FALSE),"")</x:f>
        <x:v>Male</x:v>
      </x:c>
      <x:c r="D262" s="12" t="str">
        <x:v>pro_agility</x:v>
      </x:c>
      <x:c r="E262" s="12" t="str">
        <x:f>IFERROR(VLOOKUP($D262,Dropdown_Lists!$K$2:$N$7,2,FALSE),"")</x:f>
        <x:v>5-10-5 Pro Agility</x:v>
      </x:c>
      <x:c r="F262" s="12" t="str">
        <x:f>IFERROR(VLOOKUP($D262,Dropdown_Lists!$K$2:$N$7,3,FALSE),"")</x:f>
        <x:v>lower</x:v>
      </x:c>
      <x:c r="G262" s="17" t="n">
        <x:f>IFERROR(LOOKUP(2,1/((Performance_Metrics!$A$2:$A$3000=$A262)*(Performance_Metrics!$D$2:$D$3000=$D262)),Performance_Metrics!$C$2:$C$3000),"")</x:f>
        <x:v>46230</x:v>
      </x:c>
      <x:c r="H262" s="12" t="n">
        <x:f>IFERROR(LOOKUP(2,1/((Performance_Metrics!$A$2:$A$3000=$A262)*(Performance_Metrics!$D$2:$D$3000=$D262)),Performance_Metrics!$G$2:$G$3000),"")</x:f>
        <x:v>4.53</x:v>
      </x:c>
      <x:c r="I262" s="12" t="n">
        <x:f>IFERROR(SUMIFS(Normative_Data!$G$2:$G$1000,Normative_Data!$A$2:$A$1000,$B262,Normative_Data!$B$2:$B$1000,$C262,Normative_Data!$E$2:$E$1000,$D262),"")</x:f>
        <x:v>4.7</x:v>
      </x:c>
      <x:c r="J262" s="18" t="n">
        <x:f>IF(OR($H262="",$I262=""),"",($H262-$I262)/$I262)</x:f>
        <x:v>-0.03617021276595743</x:v>
      </x:c>
      <x:c r="K262" s="12" t="str">
        <x:f>IF(OR($H262="",$I262="",$F262=""),"",IF(ABS($J262)&lt;=0.05,"Equal to Norm",IF($F262="lower",IF($H262&lt;$I262,"Above Norm","Below Norm"),IF($H262&gt;$I262,"Above Norm","Below Norm"))))</x:f>
        <x:v>Equal to Norm</x:v>
      </x:c>
      <x:c r="L262" s="12" t="str">
        <x:f>IFERROR(VLOOKUP($D262&amp;"|"&amp;$K262,Recommendation_Lookup!$A$2:$H$19,2,FALSE),"")</x:f>
        <x:v>Improve braking and re-acceleration</x:v>
      </x:c>
      <x:c r="M262" s="12" t="str">
        <x:f>IFERROR(VLOOKUP($D262&amp;"|"&amp;$K262,Recommendation_Lookup!$A$2:$H$19,3,FALSE),"")</x:f>
        <x:v>Deceleration mechanics; foot placement; hip position; crossover efficiency</x:v>
      </x:c>
      <x:c r="N262" s="12" t="str">
        <x:f>IFERROR(VLOOKUP($D262&amp;"|"&amp;$K262,Recommendation_Lookup!$A$2:$H$19,4,FALSE),"")</x:f>
        <x:v>Use a structured change-of-direction block emphasizing braking positions, plant-foot control and efficient re-acceleration on both sides.</x:v>
      </x:c>
      <x:c r="O262" s="12" t="str">
        <x:f>IFERROR(VLOOKUP($D262&amp;"|"&amp;$K262,Recommendation_Lookup!$A$2:$H$19,5,FALSE),"")</x:f>
        <x:v>RVX Change of Direction Development</x:v>
      </x:c>
      <x:c r="P262" s="12" t="str">
        <x:f>IFERROR(VLOOKUP($D262&amp;"|"&amp;$K262,Recommendation_Lookup!$A$2:$H$19,6,FALSE),"")</x:f>
        <x:v>RVX Deceleration Mechanics</x:v>
      </x:c>
      <x:c r="Q262" s="12" t="str">
        <x:f>IFERROR(VLOOKUP($D262&amp;"|"&amp;$K262,Recommendation_Lookup!$A$2:$H$19,7,FALSE),"")</x:f>
        <x:v>Lower the centre of mass before the turn and push away from the plant.</x:v>
      </x:c>
      <x:c r="R262" s="12" t="str">
        <x:f>IFERROR(VLOOKUP($D262&amp;"|"&amp;$K262,Recommendation_Lookup!$A$2:$H$19,8,FALSE),"")</x:f>
        <x:v>Retest after 4–6 weeks and review directional splits if available.</x:v>
      </x:c>
      <x:c r="S262" s="12"/>
      <x:c r="T262" s="12"/>
      <x:c r="U262" s="12"/>
      <x:c r="V262" s="12"/>
      <x:c r="W262" s="12" t="str">
        <x:f>IF($S262&lt;&gt;"",$S262,$K262)</x:f>
        <x:v>Equal to Norm</x:v>
      </x:c>
      <x:c r="X262" s="12" t="str">
        <x:f>IF($T262&lt;&gt;"",$T262,$L262)</x:f>
        <x:v>Improve braking and re-acceleration</x:v>
      </x:c>
      <x:c r="Y262" s="12" t="str">
        <x:f>IF($U262&lt;&gt;"",$U262,$N262)</x:f>
        <x:v>Use a structured change-of-direction block emphasizing braking positions, plant-foot control and efficient re-acceleration on both sides.</x:v>
      </x:c>
      <x:c r="Z262" s="12" t="str">
        <x:f>IF($V262&lt;&gt;"",$V262,$O262)</x:f>
        <x:v>RVX Change of Direction Development</x:v>
      </x:c>
      <x:c r="AA262" s="12"/>
    </x:row>
    <x:row r="263">
      <x:c r="A263" s="12" t="str">
        <x:v>RVX-00044</x:v>
      </x:c>
      <x:c r="B263" s="12" t="str">
        <x:f>IFERROR(VLOOKUP($A263,Athlete_Profile!$A$2:$L$51,6,FALSE),"")</x:f>
        <x:v>Soccer</x:v>
      </x:c>
      <x:c r="C263" s="12" t="str">
        <x:f>IFERROR(VLOOKUP($A263,Athlete_Profile!$A$2:$L$51,5,FALSE),"")</x:f>
        <x:v>Male</x:v>
      </x:c>
      <x:c r="D263" s="12" t="str">
        <x:v>cmj_depth</x:v>
      </x:c>
      <x:c r="E263" s="12" t="str">
        <x:f>IFERROR(VLOOKUP($D263,Dropdown_Lists!$K$2:$N$7,2,FALSE),"")</x:f>
        <x:v>Countermovement Depth</x:v>
      </x:c>
      <x:c r="F263" s="12" t="str">
        <x:f>IFERROR(VLOOKUP($D263,Dropdown_Lists!$K$2:$N$7,3,FALSE),"")</x:f>
        <x:v>higher</x:v>
      </x:c>
      <x:c r="G263" s="17" t="n">
        <x:f>IFERROR(LOOKUP(2,1/((Performance_Metrics!$A$2:$A$3000=$A263)*(Performance_Metrics!$D$2:$D$3000=$D263)),Performance_Metrics!$C$2:$C$3000),"")</x:f>
        <x:v>46230</x:v>
      </x:c>
      <x:c r="H263" s="12" t="n">
        <x:f>IFERROR(LOOKUP(2,1/((Performance_Metrics!$A$2:$A$3000=$A263)*(Performance_Metrics!$D$2:$D$3000=$D263)),Performance_Metrics!$G$2:$G$3000),"")</x:f>
        <x:v>33</x:v>
      </x:c>
      <x:c r="I263" s="12" t="n">
        <x:f>IFERROR(SUMIFS(Normative_Data!$G$2:$G$1000,Normative_Data!$A$2:$A$1000,$B263,Normative_Data!$B$2:$B$1000,$C263,Normative_Data!$E$2:$E$1000,$D263),"")</x:f>
        <x:v>31.35</x:v>
      </x:c>
      <x:c r="J263" s="18" t="n">
        <x:f>IF(OR($H263="",$I263=""),"",($H263-$I263)/$I263)</x:f>
        <x:v>0.052631578947368376</x:v>
      </x:c>
      <x:c r="K263" s="12" t="str">
        <x:f>IF(OR($H263="",$I263="",$F263=""),"",IF(ABS($J263)&lt;=0.05,"Equal to Norm",IF($F263="lower",IF($H263&lt;$I263,"Above Norm","Below Norm"),IF($H263&gt;$I263,"Above Norm","Below Norm"))))</x:f>
        <x:v>Above Norm</x:v>
      </x:c>
      <x:c r="L263" s="12" t="str">
        <x:f>IFERROR(VLOOKUP($D263&amp;"|"&amp;$K263,Recommendation_Lookup!$A$2:$H$19,2,FALSE),"")</x:f>
        <x:v>Maintain effective countermovement strategy</x:v>
      </x:c>
      <x:c r="M263" s="12" t="str">
        <x:f>IFERROR(VLOOKUP($D263&amp;"|"&amp;$K263,Recommendation_Lookup!$A$2:$H$19,3,FALSE),"")</x:f>
        <x:v>Movement efficiency; eccentric control; jump consistency; depth-to-output relationship</x:v>
      </x:c>
      <x:c r="N263" s="12" t="str">
        <x:f>IFERROR(VLOOKUP($D263&amp;"|"&amp;$K263,Recommendation_Lookup!$A$2:$H$19,4,FALSE),"")</x:f>
        <x:v>Maintain the athlete’s preferred countermovement strategy while ensuring the additional depth contributes to force and impulse rather than excessive movement time.</x:v>
      </x:c>
      <x:c r="O263" s="12" t="str">
        <x:f>IFERROR(VLOOKUP($D263&amp;"|"&amp;$K263,Recommendation_Lookup!$A$2:$H$19,5,FALSE),"")</x:f>
        <x:v>RVX Jump Performance Advanced</x:v>
      </x:c>
      <x:c r="P263" s="12" t="str">
        <x:f>IFERROR(VLOOKUP($D263&amp;"|"&amp;$K263,Recommendation_Lookup!$A$2:$H$19,6,FALSE),"")</x:f>
        <x:v>RVX Eccentric Strength Microdose</x:v>
      </x:c>
      <x:c r="Q263" s="12" t="str">
        <x:f>IFERROR(VLOOKUP($D263&amp;"|"&amp;$K263,Recommendation_Lookup!$A$2:$H$19,7,FALSE),"")</x:f>
        <x:v>Use the depth you can control, then reverse quickly and aggressively.</x:v>
      </x:c>
      <x:c r="R263" s="12" t="str">
        <x:f>IFERROR(VLOOKUP($D263&amp;"|"&amp;$K263,Recommendation_Lookup!$A$2:$H$19,8,FALSE),"")</x:f>
        <x:v>Retest every 6–8 weeks while monitoring jump height and contraction time.</x:v>
      </x:c>
      <x:c r="S263" s="12"/>
      <x:c r="T263" s="12"/>
      <x:c r="U263" s="12"/>
      <x:c r="V263" s="12"/>
      <x:c r="W263" s="12" t="str">
        <x:f>IF($S263&lt;&gt;"",$S263,$K263)</x:f>
        <x:v>Above Norm</x:v>
      </x:c>
      <x:c r="X263" s="12" t="str">
        <x:f>IF($T263&lt;&gt;"",$T263,$L263)</x:f>
        <x:v>Maintain effective countermovement strategy</x:v>
      </x:c>
      <x:c r="Y263" s="12" t="str">
        <x:f>IF($U263&lt;&gt;"",$U263,$N263)</x:f>
        <x:v>Maintain the athlete’s preferred countermovement strategy while ensuring the additional depth contributes to force and impulse rather than excessive movement time.</x:v>
      </x:c>
      <x:c r="Z263" s="12" t="str">
        <x:f>IF($V263&lt;&gt;"",$V263,$O263)</x:f>
        <x:v>RVX Jump Performance Advanced</x:v>
      </x:c>
      <x:c r="AA263" s="12"/>
    </x:row>
    <x:row r="264">
      <x:c r="A264" s="12" t="str">
        <x:v>RVX-00044</x:v>
      </x:c>
      <x:c r="B264" s="12" t="str">
        <x:f>IFERROR(VLOOKUP($A264,Athlete_Profile!$A$2:$L$51,6,FALSE),"")</x:f>
        <x:v>Soccer</x:v>
      </x:c>
      <x:c r="C264" s="12" t="str">
        <x:f>IFERROR(VLOOKUP($A264,Athlete_Profile!$A$2:$L$51,5,FALSE),"")</x:f>
        <x:v>Male</x:v>
      </x:c>
      <x:c r="D264" s="12" t="str">
        <x:v>peak_force</x:v>
      </x:c>
      <x:c r="E264" s="12" t="str">
        <x:f>IFERROR(VLOOKUP($D264,Dropdown_Lists!$K$2:$N$7,2,FALSE),"")</x:f>
        <x:v>Peak Force</x:v>
      </x:c>
      <x:c r="F264" s="12" t="str">
        <x:f>IFERROR(VLOOKUP($D264,Dropdown_Lists!$K$2:$N$7,3,FALSE),"")</x:f>
        <x:v>higher</x:v>
      </x:c>
      <x:c r="G264" s="17" t="n">
        <x:f>IFERROR(LOOKUP(2,1/((Performance_Metrics!$A$2:$A$3000=$A264)*(Performance_Metrics!$D$2:$D$3000=$D264)),Performance_Metrics!$C$2:$C$3000),"")</x:f>
        <x:v>46230</x:v>
      </x:c>
      <x:c r="H264" s="12" t="n">
        <x:f>IFERROR(LOOKUP(2,1/((Performance_Metrics!$A$2:$A$3000=$A264)*(Performance_Metrics!$D$2:$D$3000=$D264)),Performance_Metrics!$G$2:$G$3000),"")</x:f>
        <x:v>1910</x:v>
      </x:c>
      <x:c r="I264" s="12" t="n">
        <x:f>IFERROR(SUMIFS(Normative_Data!$G$2:$G$1000,Normative_Data!$A$2:$A$1000,$B264,Normative_Data!$B$2:$B$1000,$C264,Normative_Data!$E$2:$E$1000,$D264),"")</x:f>
        <x:v>1828.75</x:v>
      </x:c>
      <x:c r="J264" s="18" t="n">
        <x:f>IF(OR($H264="",$I264=""),"",($H264-$I264)/$I264)</x:f>
        <x:v>0.04442925495557074</x:v>
      </x:c>
      <x:c r="K264" s="12" t="str">
        <x:f>IF(OR($H264="",$I264="",$F264=""),"",IF(ABS($J264)&lt;=0.05,"Equal to Norm",IF($F264="lower",IF($H264&lt;$I264,"Above Norm","Below Norm"),IF($H264&gt;$I264,"Above Norm","Below Norm"))))</x:f>
        <x:v>Equal to Norm</x:v>
      </x:c>
      <x:c r="L264" s="12" t="str">
        <x:f>IFERROR(VLOOKUP($D264&amp;"|"&amp;$K264,Recommendation_Lookup!$A$2:$H$19,2,FALSE),"")</x:f>
        <x:v>Increase force capacity</x:v>
      </x:c>
      <x:c r="M264" s="12" t="str">
        <x:f>IFERROR(VLOOKUP($D264&amp;"|"&amp;$K264,Recommendation_Lookup!$A$2:$H$19,3,FALSE),"")</x:f>
        <x:v>Relative strength; bracing; lower-body strength; isometric force</x:v>
      </x:c>
      <x:c r="N264" s="12" t="str">
        <x:f>IFERROR(VLOOKUP($D264&amp;"|"&amp;$K264,Recommendation_Lookup!$A$2:$H$19,4,FALSE),"")</x:f>
        <x:v>Use progressive lower-body strength training with compound lifts, isometrics and unilateral work. Maintain technical quality and appropriate loading progression.</x:v>
      </x:c>
      <x:c r="O264" s="12" t="str">
        <x:f>IFERROR(VLOOKUP($D264&amp;"|"&amp;$K264,Recommendation_Lookup!$A$2:$H$19,5,FALSE),"")</x:f>
        <x:v>RVX Strength Development</x:v>
      </x:c>
      <x:c r="P264" s="12" t="str">
        <x:f>IFERROR(VLOOKUP($D264&amp;"|"&amp;$K264,Recommendation_Lookup!$A$2:$H$19,6,FALSE),"")</x:f>
        <x:v>RVX Isometric Force Builder</x:v>
      </x:c>
      <x:c r="Q264" s="12" t="str">
        <x:f>IFERROR(VLOOKUP($D264&amp;"|"&amp;$K264,Recommendation_Lookup!$A$2:$H$19,7,FALSE),"")</x:f>
        <x:v>Create full-body tension and push through the floor with intent.</x:v>
      </x:c>
      <x:c r="R264" s="12" t="str">
        <x:f>IFERROR(VLOOKUP($D264&amp;"|"&amp;$K264,Recommendation_Lookup!$A$2:$H$19,8,FALSE),"")</x:f>
        <x:v>Retest after 4–6 weeks.</x:v>
      </x:c>
      <x:c r="S264" s="12"/>
      <x:c r="T264" s="12"/>
      <x:c r="U264" s="12"/>
      <x:c r="V264" s="12"/>
      <x:c r="W264" s="12" t="str">
        <x:f>IF($S264&lt;&gt;"",$S264,$K264)</x:f>
        <x:v>Equal to Norm</x:v>
      </x:c>
      <x:c r="X264" s="12" t="str">
        <x:f>IF($T264&lt;&gt;"",$T264,$L264)</x:f>
        <x:v>Increase force capacity</x:v>
      </x:c>
      <x:c r="Y264" s="12" t="str">
        <x:f>IF($U264&lt;&gt;"",$U264,$N264)</x:f>
        <x:v>Use progressive lower-body strength training with compound lifts, isometrics and unilateral work. Maintain technical quality and appropriate loading progression.</x:v>
      </x:c>
      <x:c r="Z264" s="12" t="str">
        <x:f>IF($V264&lt;&gt;"",$V264,$O264)</x:f>
        <x:v>RVX Strength Development</x:v>
      </x:c>
      <x:c r="AA264" s="12"/>
    </x:row>
    <x:row r="265">
      <x:c r="A265" s="12" t="str">
        <x:v>RVX-00044</x:v>
      </x:c>
      <x:c r="B265" s="12" t="str">
        <x:f>IFERROR(VLOOKUP($A265,Athlete_Profile!$A$2:$L$51,6,FALSE),"")</x:f>
        <x:v>Soccer</x:v>
      </x:c>
      <x:c r="C265" s="12" t="str">
        <x:f>IFERROR(VLOOKUP($A265,Athlete_Profile!$A$2:$L$51,5,FALSE),"")</x:f>
        <x:v>Male</x:v>
      </x:c>
      <x:c r="D265" s="12" t="str">
        <x:v>impulse</x:v>
      </x:c>
      <x:c r="E265" s="12" t="str">
        <x:f>IFERROR(VLOOKUP($D265,Dropdown_Lists!$K$2:$N$7,2,FALSE),"")</x:f>
        <x:v>Impulse-Momentum</x:v>
      </x:c>
      <x:c r="F265" s="12" t="str">
        <x:f>IFERROR(VLOOKUP($D265,Dropdown_Lists!$K$2:$N$7,3,FALSE),"")</x:f>
        <x:v>higher</x:v>
      </x:c>
      <x:c r="G265" s="17" t="n">
        <x:f>IFERROR(LOOKUP(2,1/((Performance_Metrics!$A$2:$A$3000=$A265)*(Performance_Metrics!$D$2:$D$3000=$D265)),Performance_Metrics!$C$2:$C$3000),"")</x:f>
        <x:v>46230</x:v>
      </x:c>
      <x:c r="H265" s="12" t="n">
        <x:f>IFERROR(LOOKUP(2,1/((Performance_Metrics!$A$2:$A$3000=$A265)*(Performance_Metrics!$D$2:$D$3000=$D265)),Performance_Metrics!$G$2:$G$3000),"")</x:f>
        <x:v>241.2</x:v>
      </x:c>
      <x:c r="I265" s="12" t="n">
        <x:f>IFERROR(SUMIFS(Normative_Data!$G$2:$G$1000,Normative_Data!$A$2:$A$1000,$B265,Normative_Data!$B$2:$B$1000,$C265,Normative_Data!$E$2:$E$1000,$D265),"")</x:f>
        <x:v>224.68</x:v>
      </x:c>
      <x:c r="J265" s="18" t="n">
        <x:f>IF(OR($H265="",$I265=""),"",($H265-$I265)/$I265)</x:f>
        <x:v>0.07352679366209712</x:v>
      </x:c>
      <x:c r="K265" s="12" t="str">
        <x:f>IF(OR($H265="",$I265="",$F265=""),"",IF(ABS($J265)&lt;=0.05,"Equal to Norm",IF($F265="lower",IF($H265&lt;$I265,"Above Norm","Below Norm"),IF($H265&gt;$I265,"Above Norm","Below Norm"))))</x:f>
        <x:v>Above Norm</x:v>
      </x:c>
      <x:c r="L265" s="12" t="str">
        <x:f>IFERROR(VLOOKUP($D265&amp;"|"&amp;$K265,Recommendation_Lookup!$A$2:$H$19,2,FALSE),"")</x:f>
        <x:v>Maintain total force-time output</x:v>
      </x:c>
      <x:c r="M265" s="12" t="str">
        <x:f>IFERROR(VLOOKUP($D265&amp;"|"&amp;$K265,Recommendation_Lookup!$A$2:$H$19,3,FALSE),"")</x:f>
        <x:v>Rate of force development; movement time; power transfer; fatigue resistance</x:v>
      </x:c>
      <x:c r="N265" s="12" t="str">
        <x:f>IFERROR(VLOOKUP($D265&amp;"|"&amp;$K265,Recommendation_Lookup!$A$2:$H$19,4,FALSE),"")</x:f>
        <x:v>Maintain impulse with strength-power microdosing and varied jump or sprint exposures. Ensure high impulse is achieved efficiently rather than through excessive movement time.</x:v>
      </x:c>
      <x:c r="O265" s="12" t="str">
        <x:f>IFERROR(VLOOKUP($D265&amp;"|"&amp;$K265,Recommendation_Lookup!$A$2:$H$19,5,FALSE),"")</x:f>
        <x:v>RVX Advanced Power Development</x:v>
      </x:c>
      <x:c r="P265" s="12" t="str">
        <x:f>IFERROR(VLOOKUP($D265&amp;"|"&amp;$K265,Recommendation_Lookup!$A$2:$H$19,6,FALSE),"")</x:f>
        <x:v>RVX Elastic Power Microdose</x:v>
      </x:c>
      <x:c r="Q265" s="12" t="str">
        <x:f>IFERROR(VLOOKUP($D265&amp;"|"&amp;$K265,Recommendation_Lookup!$A$2:$H$19,7,FALSE),"")</x:f>
        <x:v>Build force quickly and keep applying it through the full movement.</x:v>
      </x:c>
      <x:c r="R265" s="12" t="str">
        <x:f>IFERROR(VLOOKUP($D265&amp;"|"&amp;$K265,Recommendation_Lookup!$A$2:$H$19,8,FALSE),"")</x:f>
        <x:v>Retest every 6–8 weeks while reviewing contraction time and jump outcome.</x:v>
      </x:c>
      <x:c r="S265" s="12"/>
      <x:c r="T265" s="12"/>
      <x:c r="U265" s="12"/>
      <x:c r="V265" s="12"/>
      <x:c r="W265" s="12" t="str">
        <x:f>IF($S265&lt;&gt;"",$S265,$K265)</x:f>
        <x:v>Above Norm</x:v>
      </x:c>
      <x:c r="X265" s="12" t="str">
        <x:f>IF($T265&lt;&gt;"",$T265,$L265)</x:f>
        <x:v>Maintain total force-time output</x:v>
      </x:c>
      <x:c r="Y265" s="12" t="str">
        <x:f>IF($U265&lt;&gt;"",$U265,$N265)</x:f>
        <x:v>Maintain impulse with strength-power microdosing and varied jump or sprint exposures. Ensure high impulse is achieved efficiently rather than through excessive movement time.</x:v>
      </x:c>
      <x:c r="Z265" s="12" t="str">
        <x:f>IF($V265&lt;&gt;"",$V265,$O265)</x:f>
        <x:v>RVX Advanced Power Development</x:v>
      </x:c>
      <x:c r="AA265" s="12"/>
    </x:row>
    <x:row r="266">
      <x:c r="A266" s="12" t="str">
        <x:v>RVX-00045</x:v>
      </x:c>
      <x:c r="B266" s="12" t="str">
        <x:f>IFERROR(VLOOKUP($A266,Athlete_Profile!$A$2:$L$51,6,FALSE),"")</x:f>
        <x:v>Soccer</x:v>
      </x:c>
      <x:c r="C266" s="12" t="str">
        <x:f>IFERROR(VLOOKUP($A266,Athlete_Profile!$A$2:$L$51,5,FALSE),"")</x:f>
        <x:v>Female</x:v>
      </x:c>
      <x:c r="D266" s="12" t="str">
        <x:v>sprint_5m</x:v>
      </x:c>
      <x:c r="E266" s="12" t="str">
        <x:f>IFERROR(VLOOKUP($D266,Dropdown_Lists!$K$2:$N$7,2,FALSE),"")</x:f>
        <x:v>5m Sprint</x:v>
      </x:c>
      <x:c r="F266" s="12" t="str">
        <x:f>IFERROR(VLOOKUP($D266,Dropdown_Lists!$K$2:$N$7,3,FALSE),"")</x:f>
        <x:v>lower</x:v>
      </x:c>
      <x:c r="G266" s="17" t="n">
        <x:f>IFERROR(LOOKUP(2,1/((Performance_Metrics!$A$2:$A$3000=$A266)*(Performance_Metrics!$D$2:$D$3000=$D266)),Performance_Metrics!$C$2:$C$3000),"")</x:f>
        <x:v>46230</x:v>
      </x:c>
      <x:c r="H266" s="12" t="n">
        <x:f>IFERROR(LOOKUP(2,1/((Performance_Metrics!$A$2:$A$3000=$A266)*(Performance_Metrics!$D$2:$D$3000=$D266)),Performance_Metrics!$G$2:$G$3000),"")</x:f>
        <x:v>1.19</x:v>
      </x:c>
      <x:c r="I266" s="12" t="n">
        <x:f>IFERROR(SUMIFS(Normative_Data!$G$2:$G$1000,Normative_Data!$A$2:$A$1000,$B266,Normative_Data!$B$2:$B$1000,$C266,Normative_Data!$E$2:$E$1000,$D266),"")</x:f>
        <x:v>1.14</x:v>
      </x:c>
      <x:c r="J266" s="18" t="n">
        <x:f>IF(OR($H266="",$I266=""),"",($H266-$I266)/$I266)</x:f>
        <x:v>0.043859649122807064</x:v>
      </x:c>
      <x:c r="K266" s="12" t="str">
        <x:f>IF(OR($H266="",$I266="",$F266=""),"",IF(ABS($J266)&lt;=0.05,"Equal to Norm",IF($F266="lower",IF($H266&lt;$I266,"Above Norm","Below Norm"),IF($H266&gt;$I266,"Above Norm","Below Norm"))))</x:f>
        <x:v>Equal to Norm</x:v>
      </x:c>
      <x:c r="L266" s="12" t="str">
        <x:f>IFERROR(VLOOKUP($D266&amp;"|"&amp;$K266,Recommendation_Lookup!$A$2:$H$19,2,FALSE),"")</x:f>
        <x:v>Improve acceleration efficiency</x:v>
      </x:c>
      <x:c r="M266" s="12" t="str">
        <x:f>IFERROR(VLOOKUP($D266&amp;"|"&amp;$K266,Recommendation_Lookup!$A$2:$H$19,3,FALSE),"")</x:f>
        <x:v>Starting posture; shin angle; first-step direction; arm action</x:v>
      </x:c>
      <x:c r="N266" s="12" t="str">
        <x:f>IFERROR(VLOOKUP($D266&amp;"|"&amp;$K266,Recommendation_Lookup!$A$2:$H$19,4,FALSE),"")</x:f>
        <x:v>Use a focused acceleration-development block emphasizing starting position, projection and force application. Keep repetitions short with full recovery.</x:v>
      </x:c>
      <x:c r="O266" s="12" t="str">
        <x:f>IFERROR(VLOOKUP($D266&amp;"|"&amp;$K266,Recommendation_Lookup!$A$2:$H$19,5,FALSE),"")</x:f>
        <x:v>RVX Acceleration Foundations</x:v>
      </x:c>
      <x:c r="P266" s="12" t="str">
        <x:f>IFERROR(VLOOKUP($D266&amp;"|"&amp;$K266,Recommendation_Lookup!$A$2:$H$19,6,FALSE),"")</x:f>
        <x:v>RVX Sprint Mechanics</x:v>
      </x:c>
      <x:c r="Q266" s="12" t="str">
        <x:f>IFERROR(VLOOKUP($D266&amp;"|"&amp;$K266,Recommendation_Lookup!$A$2:$H$19,7,FALSE),"")</x:f>
        <x:v>Push out, not up. Keep the first steps powerful and connected.</x:v>
      </x:c>
      <x:c r="R266" s="12" t="str">
        <x:f>IFERROR(VLOOKUP($D266&amp;"|"&amp;$K266,Recommendation_Lookup!$A$2:$H$19,8,FALSE),"")</x:f>
        <x:v>Retest after 4–6 weeks of focused acceleration work.</x:v>
      </x:c>
      <x:c r="S266" s="12"/>
      <x:c r="T266" s="12"/>
      <x:c r="U266" s="12"/>
      <x:c r="V266" s="12"/>
      <x:c r="W266" s="12" t="str">
        <x:f>IF($S266&lt;&gt;"",$S266,$K266)</x:f>
        <x:v>Equal to Norm</x:v>
      </x:c>
      <x:c r="X266" s="12" t="str">
        <x:f>IF($T266&lt;&gt;"",$T266,$L266)</x:f>
        <x:v>Improve acceleration efficiency</x:v>
      </x:c>
      <x:c r="Y266" s="12" t="str">
        <x:f>IF($U266&lt;&gt;"",$U266,$N266)</x:f>
        <x:v>Use a focused acceleration-development block emphasizing starting position, projection and force application. Keep repetitions short with full recovery.</x:v>
      </x:c>
      <x:c r="Z266" s="12" t="str">
        <x:f>IF($V266&lt;&gt;"",$V266,$O266)</x:f>
        <x:v>RVX Acceleration Foundations</x:v>
      </x:c>
      <x:c r="AA266" s="12"/>
    </x:row>
    <x:row r="267">
      <x:c r="A267" s="12" t="str">
        <x:v>RVX-00045</x:v>
      </x:c>
      <x:c r="B267" s="12" t="str">
        <x:f>IFERROR(VLOOKUP($A267,Athlete_Profile!$A$2:$L$51,6,FALSE),"")</x:f>
        <x:v>Soccer</x:v>
      </x:c>
      <x:c r="C267" s="12" t="str">
        <x:f>IFERROR(VLOOKUP($A267,Athlete_Profile!$A$2:$L$51,5,FALSE),"")</x:f>
        <x:v>Female</x:v>
      </x:c>
      <x:c r="D267" s="12" t="str">
        <x:v>sprint_10m</x:v>
      </x:c>
      <x:c r="E267" s="12" t="str">
        <x:f>IFERROR(VLOOKUP($D267,Dropdown_Lists!$K$2:$N$7,2,FALSE),"")</x:f>
        <x:v>10m Sprint</x:v>
      </x:c>
      <x:c r="F267" s="12" t="str">
        <x:f>IFERROR(VLOOKUP($D267,Dropdown_Lists!$K$2:$N$7,3,FALSE),"")</x:f>
        <x:v>lower</x:v>
      </x:c>
      <x:c r="G267" s="17" t="n">
        <x:f>IFERROR(LOOKUP(2,1/((Performance_Metrics!$A$2:$A$3000=$A267)*(Performance_Metrics!$D$2:$D$3000=$D267)),Performance_Metrics!$C$2:$C$3000),"")</x:f>
        <x:v>46230</x:v>
      </x:c>
      <x:c r="H267" s="12" t="n">
        <x:f>IFERROR(LOOKUP(2,1/((Performance_Metrics!$A$2:$A$3000=$A267)*(Performance_Metrics!$D$2:$D$3000=$D267)),Performance_Metrics!$G$2:$G$3000),"")</x:f>
        <x:v>1.98</x:v>
      </x:c>
      <x:c r="I267" s="12" t="n">
        <x:f>IFERROR(SUMIFS(Normative_Data!$G$2:$G$1000,Normative_Data!$A$2:$A$1000,$B267,Normative_Data!$B$2:$B$1000,$C267,Normative_Data!$E$2:$E$1000,$D267),"")</x:f>
        <x:v>1.91</x:v>
      </x:c>
      <x:c r="J267" s="18" t="n">
        <x:f>IF(OR($H267="",$I267=""),"",($H267-$I267)/$I267)</x:f>
        <x:v>0.036649214659685896</x:v>
      </x:c>
      <x:c r="K267" s="12" t="str">
        <x:f>IF(OR($H267="",$I267="",$F267=""),"",IF(ABS($J267)&lt;=0.05,"Equal to Norm",IF($F267="lower",IF($H267&lt;$I267,"Above Norm","Below Norm"),IF($H267&gt;$I267,"Above Norm","Below Norm"))))</x:f>
        <x:v>Equal to Norm</x:v>
      </x:c>
      <x:c r="L267" s="12" t="str">
        <x:f>IFERROR(VLOOKUP($D267&amp;"|"&amp;$K267,Recommendation_Lookup!$A$2:$H$19,2,FALSE),"")</x:f>
        <x:v>Improve acceleration continuation</x:v>
      </x:c>
      <x:c r="M267" s="12" t="str">
        <x:f>IFERROR(VLOOKUP($D267&amp;"|"&amp;$K267,Recommendation_Lookup!$A$2:$H$19,3,FALSE),"")</x:f>
        <x:v>Projection; force orientation; step rhythm; trunk control</x:v>
      </x:c>
      <x:c r="N267" s="12" t="str">
        <x:f>IFERROR(VLOOKUP($D267&amp;"|"&amp;$K267,Recommendation_Lookup!$A$2:$H$19,4,FALSE),"")</x:f>
        <x:v>Build acceleration from 0–10 m using split starts, falling starts and progressive resisted sprints. Emphasize full recovery and technical consistency.</x:v>
      </x:c>
      <x:c r="O267" s="12" t="str">
        <x:f>IFERROR(VLOOKUP($D267&amp;"|"&amp;$K267,Recommendation_Lookup!$A$2:$H$19,5,FALSE),"")</x:f>
        <x:v>RVX Acceleration Development</x:v>
      </x:c>
      <x:c r="P267" s="12" t="str">
        <x:f>IFERROR(VLOOKUP($D267&amp;"|"&amp;$K267,Recommendation_Lookup!$A$2:$H$19,6,FALSE),"")</x:f>
        <x:v>RVX Sprint Mechanics</x:v>
      </x:c>
      <x:c r="Q267" s="12" t="str">
        <x:f>IFERROR(VLOOKUP($D267&amp;"|"&amp;$K267,Recommendation_Lookup!$A$2:$H$19,7,FALSE),"")</x:f>
        <x:v>Keep building speed through the line; do not stand up too early.</x:v>
      </x:c>
      <x:c r="R267" s="12" t="str">
        <x:f>IFERROR(VLOOKUP($D267&amp;"|"&amp;$K267,Recommendation_Lookup!$A$2:$H$19,8,FALSE),"")</x:f>
        <x:v>Retest after 4–6 weeks.</x:v>
      </x:c>
      <x:c r="S267" s="12"/>
      <x:c r="T267" s="12"/>
      <x:c r="U267" s="12"/>
      <x:c r="V267" s="12"/>
      <x:c r="W267" s="12" t="str">
        <x:f>IF($S267&lt;&gt;"",$S267,$K267)</x:f>
        <x:v>Equal to Norm</x:v>
      </x:c>
      <x:c r="X267" s="12" t="str">
        <x:f>IF($T267&lt;&gt;"",$T267,$L267)</x:f>
        <x:v>Improve acceleration continuation</x:v>
      </x:c>
      <x:c r="Y267" s="12" t="str">
        <x:f>IF($U267&lt;&gt;"",$U267,$N267)</x:f>
        <x:v>Build acceleration from 0–10 m using split starts, falling starts and progressive resisted sprints. Emphasize full recovery and technical consistency.</x:v>
      </x:c>
      <x:c r="Z267" s="12" t="str">
        <x:f>IF($V267&lt;&gt;"",$V267,$O267)</x:f>
        <x:v>RVX Acceleration Development</x:v>
      </x:c>
      <x:c r="AA267" s="12"/>
    </x:row>
    <x:row r="268">
      <x:c r="A268" s="12" t="str">
        <x:v>RVX-00045</x:v>
      </x:c>
      <x:c r="B268" s="12" t="str">
        <x:f>IFERROR(VLOOKUP($A268,Athlete_Profile!$A$2:$L$51,6,FALSE),"")</x:f>
        <x:v>Soccer</x:v>
      </x:c>
      <x:c r="C268" s="12" t="str">
        <x:f>IFERROR(VLOOKUP($A268,Athlete_Profile!$A$2:$L$51,5,FALSE),"")</x:f>
        <x:v>Female</x:v>
      </x:c>
      <x:c r="D268" s="12" t="str">
        <x:v>pro_agility</x:v>
      </x:c>
      <x:c r="E268" s="12" t="str">
        <x:f>IFERROR(VLOOKUP($D268,Dropdown_Lists!$K$2:$N$7,2,FALSE),"")</x:f>
        <x:v>5-10-5 Pro Agility</x:v>
      </x:c>
      <x:c r="F268" s="12" t="str">
        <x:f>IFERROR(VLOOKUP($D268,Dropdown_Lists!$K$2:$N$7,3,FALSE),"")</x:f>
        <x:v>lower</x:v>
      </x:c>
      <x:c r="G268" s="17" t="n">
        <x:f>IFERROR(LOOKUP(2,1/((Performance_Metrics!$A$2:$A$3000=$A268)*(Performance_Metrics!$D$2:$D$3000=$D268)),Performance_Metrics!$C$2:$C$3000),"")</x:f>
        <x:v>46230</x:v>
      </x:c>
      <x:c r="H268" s="12" t="n">
        <x:f>IFERROR(LOOKUP(2,1/((Performance_Metrics!$A$2:$A$3000=$A268)*(Performance_Metrics!$D$2:$D$3000=$D268)),Performance_Metrics!$G$2:$G$3000),"")</x:f>
        <x:v>5.02</x:v>
      </x:c>
      <x:c r="I268" s="12" t="n">
        <x:f>IFERROR(SUMIFS(Normative_Data!$G$2:$G$1000,Normative_Data!$A$2:$A$1000,$B268,Normative_Data!$B$2:$B$1000,$C268,Normative_Data!$E$2:$E$1000,$D268),"")</x:f>
        <x:v>4.89</x:v>
      </x:c>
      <x:c r="J268" s="18" t="n">
        <x:f>IF(OR($H268="",$I268=""),"",($H268-$I268)/$I268)</x:f>
        <x:v>0.0265848670756646</x:v>
      </x:c>
      <x:c r="K268" s="12" t="str">
        <x:f>IF(OR($H268="",$I268="",$F268=""),"",IF(ABS($J268)&lt;=0.05,"Equal to Norm",IF($F268="lower",IF($H268&lt;$I268,"Above Norm","Below Norm"),IF($H268&gt;$I268,"Above Norm","Below Norm"))))</x:f>
        <x:v>Equal to Norm</x:v>
      </x:c>
      <x:c r="L268" s="12" t="str">
        <x:f>IFERROR(VLOOKUP($D268&amp;"|"&amp;$K268,Recommendation_Lookup!$A$2:$H$19,2,FALSE),"")</x:f>
        <x:v>Improve braking and re-acceleration</x:v>
      </x:c>
      <x:c r="M268" s="12" t="str">
        <x:f>IFERROR(VLOOKUP($D268&amp;"|"&amp;$K268,Recommendation_Lookup!$A$2:$H$19,3,FALSE),"")</x:f>
        <x:v>Deceleration mechanics; foot placement; hip position; crossover efficiency</x:v>
      </x:c>
      <x:c r="N268" s="12" t="str">
        <x:f>IFERROR(VLOOKUP($D268&amp;"|"&amp;$K268,Recommendation_Lookup!$A$2:$H$19,4,FALSE),"")</x:f>
        <x:v>Use a structured change-of-direction block emphasizing braking positions, plant-foot control and efficient re-acceleration on both sides.</x:v>
      </x:c>
      <x:c r="O268" s="12" t="str">
        <x:f>IFERROR(VLOOKUP($D268&amp;"|"&amp;$K268,Recommendation_Lookup!$A$2:$H$19,5,FALSE),"")</x:f>
        <x:v>RVX Change of Direction Development</x:v>
      </x:c>
      <x:c r="P268" s="12" t="str">
        <x:f>IFERROR(VLOOKUP($D268&amp;"|"&amp;$K268,Recommendation_Lookup!$A$2:$H$19,6,FALSE),"")</x:f>
        <x:v>RVX Deceleration Mechanics</x:v>
      </x:c>
      <x:c r="Q268" s="12" t="str">
        <x:f>IFERROR(VLOOKUP($D268&amp;"|"&amp;$K268,Recommendation_Lookup!$A$2:$H$19,7,FALSE),"")</x:f>
        <x:v>Lower the centre of mass before the turn and push away from the plant.</x:v>
      </x:c>
      <x:c r="R268" s="12" t="str">
        <x:f>IFERROR(VLOOKUP($D268&amp;"|"&amp;$K268,Recommendation_Lookup!$A$2:$H$19,8,FALSE),"")</x:f>
        <x:v>Retest after 4–6 weeks and review directional splits if available.</x:v>
      </x:c>
      <x:c r="S268" s="12"/>
      <x:c r="T268" s="12"/>
      <x:c r="U268" s="12"/>
      <x:c r="V268" s="12"/>
      <x:c r="W268" s="12" t="str">
        <x:f>IF($S268&lt;&gt;"",$S268,$K268)</x:f>
        <x:v>Equal to Norm</x:v>
      </x:c>
      <x:c r="X268" s="12" t="str">
        <x:f>IF($T268&lt;&gt;"",$T268,$L268)</x:f>
        <x:v>Improve braking and re-acceleration</x:v>
      </x:c>
      <x:c r="Y268" s="12" t="str">
        <x:f>IF($U268&lt;&gt;"",$U268,$N268)</x:f>
        <x:v>Use a structured change-of-direction block emphasizing braking positions, plant-foot control and efficient re-acceleration on both sides.</x:v>
      </x:c>
      <x:c r="Z268" s="12" t="str">
        <x:f>IF($V268&lt;&gt;"",$V268,$O268)</x:f>
        <x:v>RVX Change of Direction Development</x:v>
      </x:c>
      <x:c r="AA268" s="12"/>
    </x:row>
    <x:row r="269">
      <x:c r="A269" s="12" t="str">
        <x:v>RVX-00045</x:v>
      </x:c>
      <x:c r="B269" s="12" t="str">
        <x:f>IFERROR(VLOOKUP($A269,Athlete_Profile!$A$2:$L$51,6,FALSE),"")</x:f>
        <x:v>Soccer</x:v>
      </x:c>
      <x:c r="C269" s="12" t="str">
        <x:f>IFERROR(VLOOKUP($A269,Athlete_Profile!$A$2:$L$51,5,FALSE),"")</x:f>
        <x:v>Female</x:v>
      </x:c>
      <x:c r="D269" s="12" t="str">
        <x:v>cmj_depth</x:v>
      </x:c>
      <x:c r="E269" s="12" t="str">
        <x:f>IFERROR(VLOOKUP($D269,Dropdown_Lists!$K$2:$N$7,2,FALSE),"")</x:f>
        <x:v>Countermovement Depth</x:v>
      </x:c>
      <x:c r="F269" s="12" t="str">
        <x:f>IFERROR(VLOOKUP($D269,Dropdown_Lists!$K$2:$N$7,3,FALSE),"")</x:f>
        <x:v>higher</x:v>
      </x:c>
      <x:c r="G269" s="17" t="n">
        <x:f>IFERROR(LOOKUP(2,1/((Performance_Metrics!$A$2:$A$3000=$A269)*(Performance_Metrics!$D$2:$D$3000=$D269)),Performance_Metrics!$C$2:$C$3000),"")</x:f>
        <x:v>46230</x:v>
      </x:c>
      <x:c r="H269" s="12" t="n">
        <x:f>IFERROR(LOOKUP(2,1/((Performance_Metrics!$A$2:$A$3000=$A269)*(Performance_Metrics!$D$2:$D$3000=$D269)),Performance_Metrics!$G$2:$G$3000),"")</x:f>
        <x:v>26.8</x:v>
      </x:c>
      <x:c r="I269" s="12" t="n">
        <x:f>IFERROR(SUMIFS(Normative_Data!$G$2:$G$1000,Normative_Data!$A$2:$A$1000,$B269,Normative_Data!$B$2:$B$1000,$C269,Normative_Data!$E$2:$E$1000,$D269),"")</x:f>
        <x:v>28.5</x:v>
      </x:c>
      <x:c r="J269" s="18" t="n">
        <x:f>IF(OR($H269="",$I269=""),"",($H269-$I269)/$I269)</x:f>
        <x:v>-0.05964912280701752</x:v>
      </x:c>
      <x:c r="K269" s="12" t="str">
        <x:f>IF(OR($H269="",$I269="",$F269=""),"",IF(ABS($J269)&lt;=0.05,"Equal to Norm",IF($F269="lower",IF($H269&lt;$I269,"Above Norm","Below Norm"),IF($H269&gt;$I269,"Above Norm","Below Norm"))))</x:f>
        <x:v>Below Norm</x:v>
      </x:c>
      <x:c r="L269" s="12" t="str">
        <x:f>IFERROR(VLOOKUP($D269&amp;"|"&amp;$K269,Recommendation_Lookup!$A$2:$H$19,2,FALSE),"")</x:f>
        <x:v>Develop usable countermovement range</x:v>
      </x:c>
      <x:c r="M269" s="12" t="str">
        <x:f>IFERROR(VLOOKUP($D269&amp;"|"&amp;$K269,Recommendation_Lookup!$A$2:$H$19,3,FALSE),"")</x:f>
        <x:v>Ankle mobility; hip mobility; eccentric strength; confidence; coordination</x:v>
      </x:c>
      <x:c r="N269" s="12" t="str">
        <x:f>IFERROR(VLOOKUP($D269&amp;"|"&amp;$K269,Recommendation_Lookup!$A$2:$H$19,4,FALSE),"")</x:f>
        <x:v>Improve controlled eccentric range and movement confidence. Use tempo squats, snap-downs and progressive countermovement jump practice without forcing artificial depth.</x:v>
      </x:c>
      <x:c r="O269" s="12" t="str">
        <x:f>IFERROR(VLOOKUP($D269&amp;"|"&amp;$K269,Recommendation_Lookup!$A$2:$H$19,5,FALSE),"")</x:f>
        <x:v>RVX Jump Foundations</x:v>
      </x:c>
      <x:c r="P269" s="12" t="str">
        <x:f>IFERROR(VLOOKUP($D269&amp;"|"&amp;$K269,Recommendation_Lookup!$A$2:$H$19,6,FALSE),"")</x:f>
        <x:v>RVX Mobility and Eccentric Control</x:v>
      </x:c>
      <x:c r="Q269" s="12" t="str">
        <x:f>IFERROR(VLOOKUP($D269&amp;"|"&amp;$K269,Recommendation_Lookup!$A$2:$H$19,7,FALSE),"")</x:f>
        <x:v>Create controlled depth first; speed up the reversal only when position is stable.</x:v>
      </x:c>
      <x:c r="R269" s="12" t="str">
        <x:f>IFERROR(VLOOKUP($D269&amp;"|"&amp;$K269,Recommendation_Lookup!$A$2:$H$19,8,FALSE),"")</x:f>
        <x:v>Retest after 4 weeks; confirm low depth is not an athlete-specific efficient strategy.</x:v>
      </x:c>
      <x:c r="S269" s="12"/>
      <x:c r="T269" s="12"/>
      <x:c r="U269" s="12"/>
      <x:c r="V269" s="12"/>
      <x:c r="W269" s="12" t="str">
        <x:f>IF($S269&lt;&gt;"",$S269,$K269)</x:f>
        <x:v>Below Norm</x:v>
      </x:c>
      <x:c r="X269" s="12" t="str">
        <x:f>IF($T269&lt;&gt;"",$T269,$L269)</x:f>
        <x:v>Develop usable countermovement range</x:v>
      </x:c>
      <x:c r="Y269" s="12" t="str">
        <x:f>IF($U269&lt;&gt;"",$U269,$N269)</x:f>
        <x:v>Improve controlled eccentric range and movement confidence. Use tempo squats, snap-downs and progressive countermovement jump practice without forcing artificial depth.</x:v>
      </x:c>
      <x:c r="Z269" s="12" t="str">
        <x:f>IF($V269&lt;&gt;"",$V269,$O269)</x:f>
        <x:v>RVX Jump Foundations</x:v>
      </x:c>
      <x:c r="AA269" s="12"/>
    </x:row>
    <x:row r="270">
      <x:c r="A270" s="12" t="str">
        <x:v>RVX-00045</x:v>
      </x:c>
      <x:c r="B270" s="12" t="str">
        <x:f>IFERROR(VLOOKUP($A270,Athlete_Profile!$A$2:$L$51,6,FALSE),"")</x:f>
        <x:v>Soccer</x:v>
      </x:c>
      <x:c r="C270" s="12" t="str">
        <x:f>IFERROR(VLOOKUP($A270,Athlete_Profile!$A$2:$L$51,5,FALSE),"")</x:f>
        <x:v>Female</x:v>
      </x:c>
      <x:c r="D270" s="12" t="str">
        <x:v>peak_force</x:v>
      </x:c>
      <x:c r="E270" s="12" t="str">
        <x:f>IFERROR(VLOOKUP($D270,Dropdown_Lists!$K$2:$N$7,2,FALSE),"")</x:f>
        <x:v>Peak Force</x:v>
      </x:c>
      <x:c r="F270" s="12" t="str">
        <x:f>IFERROR(VLOOKUP($D270,Dropdown_Lists!$K$2:$N$7,3,FALSE),"")</x:f>
        <x:v>higher</x:v>
      </x:c>
      <x:c r="G270" s="17" t="n">
        <x:f>IFERROR(LOOKUP(2,1/((Performance_Metrics!$A$2:$A$3000=$A270)*(Performance_Metrics!$D$2:$D$3000=$D270)),Performance_Metrics!$C$2:$C$3000),"")</x:f>
        <x:v>46230</x:v>
      </x:c>
      <x:c r="H270" s="12" t="n">
        <x:f>IFERROR(LOOKUP(2,1/((Performance_Metrics!$A$2:$A$3000=$A270)*(Performance_Metrics!$D$2:$D$3000=$D270)),Performance_Metrics!$G$2:$G$3000),"")</x:f>
        <x:v>1560</x:v>
      </x:c>
      <x:c r="I270" s="12" t="n">
        <x:f>IFERROR(SUMIFS(Normative_Data!$G$2:$G$1000,Normative_Data!$A$2:$A$1000,$B270,Normative_Data!$B$2:$B$1000,$C270,Normative_Data!$E$2:$E$1000,$D270),"")</x:f>
        <x:v>1662.5</x:v>
      </x:c>
      <x:c r="J270" s="18" t="n">
        <x:f>IF(OR($H270="",$I270=""),"",($H270-$I270)/$I270)</x:f>
        <x:v>-0.061654135338345864</x:v>
      </x:c>
      <x:c r="K270" s="12" t="str">
        <x:f>IF(OR($H270="",$I270="",$F270=""),"",IF(ABS($J270)&lt;=0.05,"Equal to Norm",IF($F270="lower",IF($H270&lt;$I270,"Above Norm","Below Norm"),IF($H270&gt;$I270,"Above Norm","Below Norm"))))</x:f>
        <x:v>Below Norm</x:v>
      </x:c>
      <x:c r="L270" s="12" t="str">
        <x:f>IFERROR(VLOOKUP($D270&amp;"|"&amp;$K270,Recommendation_Lookup!$A$2:$H$19,2,FALSE),"")</x:f>
        <x:v>Build foundational force production</x:v>
      </x:c>
      <x:c r="M270" s="12" t="str">
        <x:f>IFERROR(VLOOKUP($D270&amp;"|"&amp;$K270,Recommendation_Lookup!$A$2:$H$19,3,FALSE),"")</x:f>
        <x:v>Relative strength; technique; tendon capacity; trunk stability; unilateral strength</x:v>
      </x:c>
      <x:c r="N270" s="12" t="str">
        <x:f>IFERROR(VLOOKUP($D270&amp;"|"&amp;$K270,Recommendation_Lookup!$A$2:$H$19,4,FALSE),"")</x:f>
        <x:v>Prioritize foundational strength and positional competency. Use progressive resistance, isometrics and unilateral patterns before advanced power methods.</x:v>
      </x:c>
      <x:c r="O270" s="12" t="str">
        <x:f>IFERROR(VLOOKUP($D270&amp;"|"&amp;$K270,Recommendation_Lookup!$A$2:$H$19,5,FALSE),"")</x:f>
        <x:v>RVX Strength Foundations</x:v>
      </x:c>
      <x:c r="P270" s="12" t="str">
        <x:f>IFERROR(VLOOKUP($D270&amp;"|"&amp;$K270,Recommendation_Lookup!$A$2:$H$19,6,FALSE),"")</x:f>
        <x:v>RVX Lower-Body Capacity</x:v>
      </x:c>
      <x:c r="Q270" s="12" t="str">
        <x:f>IFERROR(VLOOKUP($D270&amp;"|"&amp;$K270,Recommendation_Lookup!$A$2:$H$19,7,FALSE),"")</x:f>
        <x:v>Own the position first, then increase force with consistent intent.</x:v>
      </x:c>
      <x:c r="R270" s="12" t="str">
        <x:f>IFERROR(VLOOKUP($D270&amp;"|"&amp;$K270,Recommendation_Lookup!$A$2:$H$19,8,FALSE),"")</x:f>
        <x:v>Retest after 4–6 weeks; review body-mass-relative force when possible.</x:v>
      </x:c>
      <x:c r="S270" s="12"/>
      <x:c r="T270" s="12"/>
      <x:c r="U270" s="12"/>
      <x:c r="V270" s="12"/>
      <x:c r="W270" s="12" t="str">
        <x:f>IF($S270&lt;&gt;"",$S270,$K270)</x:f>
        <x:v>Below Norm</x:v>
      </x:c>
      <x:c r="X270" s="12" t="str">
        <x:f>IF($T270&lt;&gt;"",$T270,$L270)</x:f>
        <x:v>Build foundational force production</x:v>
      </x:c>
      <x:c r="Y270" s="12" t="str">
        <x:f>IF($U270&lt;&gt;"",$U270,$N270)</x:f>
        <x:v>Prioritize foundational strength and positional competency. Use progressive resistance, isometrics and unilateral patterns before advanced power methods.</x:v>
      </x:c>
      <x:c r="Z270" s="12" t="str">
        <x:f>IF($V270&lt;&gt;"",$V270,$O270)</x:f>
        <x:v>RVX Strength Foundations</x:v>
      </x:c>
      <x:c r="AA270" s="12"/>
    </x:row>
    <x:row r="271">
      <x:c r="A271" s="12" t="str">
        <x:v>RVX-00045</x:v>
      </x:c>
      <x:c r="B271" s="12" t="str">
        <x:f>IFERROR(VLOOKUP($A271,Athlete_Profile!$A$2:$L$51,6,FALSE),"")</x:f>
        <x:v>Soccer</x:v>
      </x:c>
      <x:c r="C271" s="12" t="str">
        <x:f>IFERROR(VLOOKUP($A271,Athlete_Profile!$A$2:$L$51,5,FALSE),"")</x:f>
        <x:v>Female</x:v>
      </x:c>
      <x:c r="D271" s="12" t="str">
        <x:v>impulse</x:v>
      </x:c>
      <x:c r="E271" s="12" t="str">
        <x:f>IFERROR(VLOOKUP($D271,Dropdown_Lists!$K$2:$N$7,2,FALSE),"")</x:f>
        <x:v>Impulse-Momentum</x:v>
      </x:c>
      <x:c r="F271" s="12" t="str">
        <x:f>IFERROR(VLOOKUP($D271,Dropdown_Lists!$K$2:$N$7,3,FALSE),"")</x:f>
        <x:v>higher</x:v>
      </x:c>
      <x:c r="G271" s="17" t="n">
        <x:f>IFERROR(LOOKUP(2,1/((Performance_Metrics!$A$2:$A$3000=$A271)*(Performance_Metrics!$D$2:$D$3000=$D271)),Performance_Metrics!$C$2:$C$3000),"")</x:f>
        <x:v>46230</x:v>
      </x:c>
      <x:c r="H271" s="12" t="n">
        <x:f>IFERROR(LOOKUP(2,1/((Performance_Metrics!$A$2:$A$3000=$A271)*(Performance_Metrics!$D$2:$D$3000=$D271)),Performance_Metrics!$G$2:$G$3000),"")</x:f>
        <x:v>190.1</x:v>
      </x:c>
      <x:c r="I271" s="12" t="n">
        <x:f>IFERROR(SUMIFS(Normative_Data!$G$2:$G$1000,Normative_Data!$A$2:$A$1000,$B271,Normative_Data!$B$2:$B$1000,$C271,Normative_Data!$E$2:$E$1000,$D271),"")</x:f>
        <x:v>204.25</x:v>
      </x:c>
      <x:c r="J271" s="18" t="n">
        <x:f>IF(OR($H271="",$I271=""),"",($H271-$I271)/$I271)</x:f>
        <x:v>-0.06927784577723381</x:v>
      </x:c>
      <x:c r="K271" s="12" t="str">
        <x:f>IF(OR($H271="",$I271="",$F271=""),"",IF(ABS($J271)&lt;=0.05,"Equal to Norm",IF($F271="lower",IF($H271&lt;$I271,"Above Norm","Below Norm"),IF($H271&gt;$I271,"Above Norm","Below Norm"))))</x:f>
        <x:v>Below Norm</x:v>
      </x:c>
      <x:c r="L271" s="12" t="str">
        <x:f>IFERROR(VLOOKUP($D271&amp;"|"&amp;$K271,Recommendation_Lookup!$A$2:$H$19,2,FALSE),"")</x:f>
        <x:v>Develop force-time capacity</x:v>
      </x:c>
      <x:c r="M271" s="12" t="str">
        <x:f>IFERROR(VLOOKUP($D271&amp;"|"&amp;$K271,Recommendation_Lookup!$A$2:$H$19,3,FALSE),"")</x:f>
        <x:v>Maximal strength; eccentric control; concentric force; movement coordination</x:v>
      </x:c>
      <x:c r="N271" s="12" t="str">
        <x:f>IFERROR(VLOOKUP($D271&amp;"|"&amp;$K271,Recommendation_Lookup!$A$2:$H$19,4,FALSE),"")</x:f>
        <x:v>Build foundational force production before progressing to advanced plyometrics. Pair strength work with controlled jumps and explosive intent at appropriate loads.</x:v>
      </x:c>
      <x:c r="O271" s="12" t="str">
        <x:f>IFERROR(VLOOKUP($D271&amp;"|"&amp;$K271,Recommendation_Lookup!$A$2:$H$19,5,FALSE),"")</x:f>
        <x:v>RVX Power Foundations</x:v>
      </x:c>
      <x:c r="P271" s="12" t="str">
        <x:f>IFERROR(VLOOKUP($D271&amp;"|"&amp;$K271,Recommendation_Lookup!$A$2:$H$19,6,FALSE),"")</x:f>
        <x:v>RVX Strength Foundations</x:v>
      </x:c>
      <x:c r="Q271" s="12" t="str">
        <x:f>IFERROR(VLOOKUP($D271&amp;"|"&amp;$K271,Recommendation_Lookup!$A$2:$H$19,7,FALSE),"")</x:f>
        <x:v>Control the loading phase, then drive through the entire push with intent.</x:v>
      </x:c>
      <x:c r="R271" s="12" t="str">
        <x:f>IFERROR(VLOOKUP($D271&amp;"|"&amp;$K271,Recommendation_Lookup!$A$2:$H$19,8,FALSE),"")</x:f>
        <x:v>Retest after 4 weeks and review peak force, depth and movement time together.</x:v>
      </x:c>
      <x:c r="S271" s="12"/>
      <x:c r="T271" s="12"/>
      <x:c r="U271" s="12"/>
      <x:c r="V271" s="12"/>
      <x:c r="W271" s="12" t="str">
        <x:f>IF($S271&lt;&gt;"",$S271,$K271)</x:f>
        <x:v>Below Norm</x:v>
      </x:c>
      <x:c r="X271" s="12" t="str">
        <x:f>IF($T271&lt;&gt;"",$T271,$L271)</x:f>
        <x:v>Develop force-time capacity</x:v>
      </x:c>
      <x:c r="Y271" s="12" t="str">
        <x:f>IF($U271&lt;&gt;"",$U271,$N271)</x:f>
        <x:v>Build foundational force production before progressing to advanced plyometrics. Pair strength work with controlled jumps and explosive intent at appropriate loads.</x:v>
      </x:c>
      <x:c r="Z271" s="12" t="str">
        <x:f>IF($V271&lt;&gt;"",$V271,$O271)</x:f>
        <x:v>RVX Power Foundations</x:v>
      </x:c>
      <x:c r="AA271" s="12"/>
    </x:row>
    <x:row r="272">
      <x:c r="A272" s="12" t="str">
        <x:v>RVX-00046</x:v>
      </x:c>
      <x:c r="B272" s="12" t="str">
        <x:f>IFERROR(VLOOKUP($A272,Athlete_Profile!$A$2:$L$51,6,FALSE),"")</x:f>
        <x:v>Soccer</x:v>
      </x:c>
      <x:c r="C272" s="12" t="str">
        <x:f>IFERROR(VLOOKUP($A272,Athlete_Profile!$A$2:$L$51,5,FALSE),"")</x:f>
        <x:v>Male</x:v>
      </x:c>
      <x:c r="D272" s="12" t="str">
        <x:v>sprint_5m</x:v>
      </x:c>
      <x:c r="E272" s="12" t="str">
        <x:f>IFERROR(VLOOKUP($D272,Dropdown_Lists!$K$2:$N$7,2,FALSE),"")</x:f>
        <x:v>5m Sprint</x:v>
      </x:c>
      <x:c r="F272" s="12" t="str">
        <x:f>IFERROR(VLOOKUP($D272,Dropdown_Lists!$K$2:$N$7,3,FALSE),"")</x:f>
        <x:v>lower</x:v>
      </x:c>
      <x:c r="G272" s="17" t="n">
        <x:f>IFERROR(LOOKUP(2,1/((Performance_Metrics!$A$2:$A$3000=$A272)*(Performance_Metrics!$D$2:$D$3000=$D272)),Performance_Metrics!$C$2:$C$3000),"")</x:f>
        <x:v>46230</x:v>
      </x:c>
      <x:c r="H272" s="12" t="n">
        <x:f>IFERROR(LOOKUP(2,1/((Performance_Metrics!$A$2:$A$3000=$A272)*(Performance_Metrics!$D$2:$D$3000=$D272)),Performance_Metrics!$G$2:$G$3000),"")</x:f>
        <x:v>0.94</x:v>
      </x:c>
      <x:c r="I272" s="12" t="n">
        <x:f>IFERROR(SUMIFS(Normative_Data!$G$2:$G$1000,Normative_Data!$A$2:$A$1000,$B272,Normative_Data!$B$2:$B$1000,$C272,Normative_Data!$E$2:$E$1000,$D272),"")</x:f>
        <x:v>1.09</x:v>
      </x:c>
      <x:c r="J272" s="18" t="n">
        <x:f>IF(OR($H272="",$I272=""),"",($H272-$I272)/$I272)</x:f>
        <x:v>-0.1376146788990827</x:v>
      </x:c>
      <x:c r="K272" s="12" t="str">
        <x:f>IF(OR($H272="",$I272="",$F272=""),"",IF(ABS($J272)&lt;=0.05,"Equal to Norm",IF($F272="lower",IF($H272&lt;$I272,"Above Norm","Below Norm"),IF($H272&gt;$I272,"Above Norm","Below Norm"))))</x:f>
        <x:v>Above Norm</x:v>
      </x:c>
      <x:c r="L272" s="12" t="str">
        <x:f>IFERROR(VLOOKUP($D272&amp;"|"&amp;$K272,Recommendation_Lookup!$A$2:$H$19,2,FALSE),"")</x:f>
        <x:v>Maintain first-step explosiveness</x:v>
      </x:c>
      <x:c r="M272" s="12" t="str">
        <x:f>IFERROR(VLOOKUP($D272&amp;"|"&amp;$K272,Recommendation_Lookup!$A$2:$H$19,3,FALSE),"")</x:f>
        <x:v>Start consistency; projection angle; horizontal force; reaction quality</x:v>
      </x:c>
      <x:c r="N272" s="12" t="str">
        <x:f>IFERROR(VLOOKUP($D272&amp;"|"&amp;$K272,Recommendation_Lookup!$A$2:$H$19,4,FALSE),"")</x:f>
        <x:v>Maintain speed with low-volume, high-quality acceleration exposures. Avoid unnecessary volume that could reduce sprint quality. Progress through resisted and reactive starts while preserving mechanics.</x:v>
      </x:c>
      <x:c r="O272" s="12" t="str">
        <x:f>IFERROR(VLOOKUP($D272&amp;"|"&amp;$K272,Recommendation_Lookup!$A$2:$H$19,5,FALSE),"")</x:f>
        <x:v>RVX Advanced Acceleration</x:v>
      </x:c>
      <x:c r="P272" s="12" t="str">
        <x:f>IFERROR(VLOOKUP($D272&amp;"|"&amp;$K272,Recommendation_Lookup!$A$2:$H$19,6,FALSE),"")</x:f>
        <x:v>RVX Explosive Starts Microdose</x:v>
      </x:c>
      <x:c r="Q272" s="12" t="str">
        <x:f>IFERROR(VLOOKUP($D272&amp;"|"&amp;$K272,Recommendation_Lookup!$A$2:$H$19,7,FALSE),"")</x:f>
        <x:v>Project forward, push the ground back, and win the first three steps.</x:v>
      </x:c>
      <x:c r="R272" s="12" t="str">
        <x:f>IFERROR(VLOOKUP($D272&amp;"|"&amp;$K272,Recommendation_Lookup!$A$2:$H$19,8,FALSE),"")</x:f>
        <x:v>Retest every 6–8 weeks or after a dedicated acceleration block.</x:v>
      </x:c>
      <x:c r="S272" s="12"/>
      <x:c r="T272" s="12"/>
      <x:c r="U272" s="12"/>
      <x:c r="V272" s="12"/>
      <x:c r="W272" s="12" t="str">
        <x:f>IF($S272&lt;&gt;"",$S272,$K272)</x:f>
        <x:v>Above Norm</x:v>
      </x:c>
      <x:c r="X272" s="12" t="str">
        <x:f>IF($T272&lt;&gt;"",$T272,$L272)</x:f>
        <x:v>Maintain first-step explosiveness</x:v>
      </x:c>
      <x:c r="Y272" s="12" t="str">
        <x:f>IF($U272&lt;&gt;"",$U272,$N272)</x:f>
        <x:v>Maintain speed with low-volume, high-quality acceleration exposures. Avoid unnecessary volume that could reduce sprint quality. Progress through resisted and reactive starts while preserving mechanics.</x:v>
      </x:c>
      <x:c r="Z272" s="12" t="str">
        <x:f>IF($V272&lt;&gt;"",$V272,$O272)</x:f>
        <x:v>RVX Advanced Acceleration</x:v>
      </x:c>
      <x:c r="AA272" s="12"/>
    </x:row>
    <x:row r="273">
      <x:c r="A273" s="12" t="str">
        <x:v>RVX-00046</x:v>
      </x:c>
      <x:c r="B273" s="12" t="str">
        <x:f>IFERROR(VLOOKUP($A273,Athlete_Profile!$A$2:$L$51,6,FALSE),"")</x:f>
        <x:v>Soccer</x:v>
      </x:c>
      <x:c r="C273" s="12" t="str">
        <x:f>IFERROR(VLOOKUP($A273,Athlete_Profile!$A$2:$L$51,5,FALSE),"")</x:f>
        <x:v>Male</x:v>
      </x:c>
      <x:c r="D273" s="12" t="str">
        <x:v>sprint_10m</x:v>
      </x:c>
      <x:c r="E273" s="12" t="str">
        <x:f>IFERROR(VLOOKUP($D273,Dropdown_Lists!$K$2:$N$7,2,FALSE),"")</x:f>
        <x:v>10m Sprint</x:v>
      </x:c>
      <x:c r="F273" s="12" t="str">
        <x:f>IFERROR(VLOOKUP($D273,Dropdown_Lists!$K$2:$N$7,3,FALSE),"")</x:f>
        <x:v>lower</x:v>
      </x:c>
      <x:c r="G273" s="17" t="n">
        <x:f>IFERROR(LOOKUP(2,1/((Performance_Metrics!$A$2:$A$3000=$A273)*(Performance_Metrics!$D$2:$D$3000=$D273)),Performance_Metrics!$C$2:$C$3000),"")</x:f>
        <x:v>46230</x:v>
      </x:c>
      <x:c r="H273" s="12" t="n">
        <x:f>IFERROR(LOOKUP(2,1/((Performance_Metrics!$A$2:$A$3000=$A273)*(Performance_Metrics!$D$2:$D$3000=$D273)),Performance_Metrics!$G$2:$G$3000),"")</x:f>
        <x:v>1.52</x:v>
      </x:c>
      <x:c r="I273" s="12" t="n">
        <x:f>IFERROR(SUMIFS(Normative_Data!$G$2:$G$1000,Normative_Data!$A$2:$A$1000,$B273,Normative_Data!$B$2:$B$1000,$C273,Normative_Data!$E$2:$E$1000,$D273),"")</x:f>
        <x:v>1.83</x:v>
      </x:c>
      <x:c r="J273" s="18" t="n">
        <x:f>IF(OR($H273="",$I273=""),"",($H273-$I273)/$I273)</x:f>
        <x:v>-0.16939890710382516</x:v>
      </x:c>
      <x:c r="K273" s="12" t="str">
        <x:f>IF(OR($H273="",$I273="",$F273=""),"",IF(ABS($J273)&lt;=0.05,"Equal to Norm",IF($F273="lower",IF($H273&lt;$I273,"Above Norm","Below Norm"),IF($H273&gt;$I273,"Above Norm","Below Norm"))))</x:f>
        <x:v>Above Norm</x:v>
      </x:c>
      <x:c r="L273" s="12" t="str">
        <x:f>IFERROR(VLOOKUP($D273&amp;"|"&amp;$K273,Recommendation_Lookup!$A$2:$H$19,2,FALSE),"")</x:f>
        <x:v>Maintain acceleration through 10 m</x:v>
      </x:c>
      <x:c r="M273" s="12" t="str">
        <x:f>IFERROR(VLOOKUP($D273&amp;"|"&amp;$K273,Recommendation_Lookup!$A$2:$H$19,3,FALSE),"")</x:f>
        <x:v>Transition mechanics; stride rhythm; stiffness; repeatability</x:v>
      </x:c>
      <x:c r="N273" s="12" t="str">
        <x:f>IFERROR(VLOOKUP($D273&amp;"|"&amp;$K273,Recommendation_Lookup!$A$2:$H$19,4,FALSE),"")</x:f>
        <x:v>Maintain one to two weekly high-quality acceleration exposures. Add varied starts and light resistance while monitoring consistency across trials.</x:v>
      </x:c>
      <x:c r="O273" s="12" t="str">
        <x:f>IFERROR(VLOOKUP($D273&amp;"|"&amp;$K273,Recommendation_Lookup!$A$2:$H$19,5,FALSE),"")</x:f>
        <x:v>RVX Advanced Acceleration</x:v>
      </x:c>
      <x:c r="P273" s="12" t="str">
        <x:f>IFERROR(VLOOKUP($D273&amp;"|"&amp;$K273,Recommendation_Lookup!$A$2:$H$19,6,FALSE),"")</x:f>
        <x:v>RVX Speed Maintenance Microdose</x:v>
      </x:c>
      <x:c r="Q273" s="12" t="str">
        <x:f>IFERROR(VLOOKUP($D273&amp;"|"&amp;$K273,Recommendation_Lookup!$A$2:$H$19,7,FALSE),"")</x:f>
        <x:v>Stay patient through acceleration and keep pushing behind the body.</x:v>
      </x:c>
      <x:c r="R273" s="12" t="str">
        <x:f>IFERROR(VLOOKUP($D273&amp;"|"&amp;$K273,Recommendation_Lookup!$A$2:$H$19,8,FALSE),"")</x:f>
        <x:v>Retest every 6–8 weeks or after a speed block.</x:v>
      </x:c>
      <x:c r="S273" s="12"/>
      <x:c r="T273" s="12"/>
      <x:c r="U273" s="12"/>
      <x:c r="V273" s="12"/>
      <x:c r="W273" s="12" t="str">
        <x:f>IF($S273&lt;&gt;"",$S273,$K273)</x:f>
        <x:v>Above Norm</x:v>
      </x:c>
      <x:c r="X273" s="12" t="str">
        <x:f>IF($T273&lt;&gt;"",$T273,$L273)</x:f>
        <x:v>Maintain acceleration through 10 m</x:v>
      </x:c>
      <x:c r="Y273" s="12" t="str">
        <x:f>IF($U273&lt;&gt;"",$U273,$N273)</x:f>
        <x:v>Maintain one to two weekly high-quality acceleration exposures. Add varied starts and light resistance while monitoring consistency across trials.</x:v>
      </x:c>
      <x:c r="Z273" s="12" t="str">
        <x:f>IF($V273&lt;&gt;"",$V273,$O273)</x:f>
        <x:v>RVX Advanced Acceleration</x:v>
      </x:c>
      <x:c r="AA273" s="12"/>
    </x:row>
    <x:row r="274">
      <x:c r="A274" s="12" t="str">
        <x:v>RVX-00046</x:v>
      </x:c>
      <x:c r="B274" s="12" t="str">
        <x:f>IFERROR(VLOOKUP($A274,Athlete_Profile!$A$2:$L$51,6,FALSE),"")</x:f>
        <x:v>Soccer</x:v>
      </x:c>
      <x:c r="C274" s="12" t="str">
        <x:f>IFERROR(VLOOKUP($A274,Athlete_Profile!$A$2:$L$51,5,FALSE),"")</x:f>
        <x:v>Male</x:v>
      </x:c>
      <x:c r="D274" s="12" t="str">
        <x:v>pro_agility</x:v>
      </x:c>
      <x:c r="E274" s="12" t="str">
        <x:f>IFERROR(VLOOKUP($D274,Dropdown_Lists!$K$2:$N$7,2,FALSE),"")</x:f>
        <x:v>5-10-5 Pro Agility</x:v>
      </x:c>
      <x:c r="F274" s="12" t="str">
        <x:f>IFERROR(VLOOKUP($D274,Dropdown_Lists!$K$2:$N$7,3,FALSE),"")</x:f>
        <x:v>lower</x:v>
      </x:c>
      <x:c r="G274" s="17" t="n">
        <x:f>IFERROR(LOOKUP(2,1/((Performance_Metrics!$A$2:$A$3000=$A274)*(Performance_Metrics!$D$2:$D$3000=$D274)),Performance_Metrics!$C$2:$C$3000),"")</x:f>
        <x:v>46230</x:v>
      </x:c>
      <x:c r="H274" s="12" t="n">
        <x:f>IFERROR(LOOKUP(2,1/((Performance_Metrics!$A$2:$A$3000=$A274)*(Performance_Metrics!$D$2:$D$3000=$D274)),Performance_Metrics!$G$2:$G$3000),"")</x:f>
        <x:v>4</x:v>
      </x:c>
      <x:c r="I274" s="12" t="n">
        <x:f>IFERROR(SUMIFS(Normative_Data!$G$2:$G$1000,Normative_Data!$A$2:$A$1000,$B274,Normative_Data!$B$2:$B$1000,$C274,Normative_Data!$E$2:$E$1000,$D274),"")</x:f>
        <x:v>4.7</x:v>
      </x:c>
      <x:c r="J274" s="18" t="n">
        <x:f>IF(OR($H274="",$I274=""),"",($H274-$I274)/$I274)</x:f>
        <x:v>-0.14893617021276598</x:v>
      </x:c>
      <x:c r="K274" s="12" t="str">
        <x:f>IF(OR($H274="",$I274="",$F274=""),"",IF(ABS($J274)&lt;=0.05,"Equal to Norm",IF($F274="lower",IF($H274&lt;$I274,"Above Norm","Below Norm"),IF($H274&gt;$I274,"Above Norm","Below Norm"))))</x:f>
        <x:v>Above Norm</x:v>
      </x:c>
      <x:c r="L274" s="12" t="str">
        <x:f>IFERROR(VLOOKUP($D274&amp;"|"&amp;$K274,Recommendation_Lookup!$A$2:$H$19,2,FALSE),"")</x:f>
        <x:v>Maintain change-of-direction performance</x:v>
      </x:c>
      <x:c r="M274" s="12" t="str">
        <x:f>IFERROR(VLOOKUP($D274&amp;"|"&amp;$K274,Recommendation_Lookup!$A$2:$H$19,3,FALSE),"")</x:f>
        <x:v>Reactive decision-making; braking tolerance; bilateral symmetry; movement variability</x:v>
      </x:c>
      <x:c r="N274" s="12" t="str">
        <x:f>IFERROR(VLOOKUP($D274&amp;"|"&amp;$K274,Recommendation_Lookup!$A$2:$H$19,4,FALSE),"")</x:f>
        <x:v>Maintain planned change-of-direction work and progress toward reactive agility. Use low-volume, high-quality exposures with multiple starting and turning strategies.</x:v>
      </x:c>
      <x:c r="O274" s="12" t="str">
        <x:f>IFERROR(VLOOKUP($D274&amp;"|"&amp;$K274,Recommendation_Lookup!$A$2:$H$19,5,FALSE),"")</x:f>
        <x:v>RVX Advanced Change of Direction</x:v>
      </x:c>
      <x:c r="P274" s="12" t="str">
        <x:f>IFERROR(VLOOKUP($D274&amp;"|"&amp;$K274,Recommendation_Lookup!$A$2:$H$19,6,FALSE),"")</x:f>
        <x:v>RVX Reactive Agility</x:v>
      </x:c>
      <x:c r="Q274" s="12" t="str">
        <x:f>IFERROR(VLOOKUP($D274&amp;"|"&amp;$K274,Recommendation_Lookup!$A$2:$H$19,7,FALSE),"")</x:f>
        <x:v>Brake under control, own the plant and accelerate out immediately.</x:v>
      </x:c>
      <x:c r="R274" s="12" t="str">
        <x:f>IFERROR(VLOOKUP($D274&amp;"|"&amp;$K274,Recommendation_Lookup!$A$2:$H$19,8,FALSE),"")</x:f>
        <x:v>Retest every 6–8 weeks with left and right trial review.</x:v>
      </x:c>
      <x:c r="S274" s="12"/>
      <x:c r="T274" s="12"/>
      <x:c r="U274" s="12"/>
      <x:c r="V274" s="12"/>
      <x:c r="W274" s="12" t="str">
        <x:f>IF($S274&lt;&gt;"",$S274,$K274)</x:f>
        <x:v>Above Norm</x:v>
      </x:c>
      <x:c r="X274" s="12" t="str">
        <x:f>IF($T274&lt;&gt;"",$T274,$L274)</x:f>
        <x:v>Maintain change-of-direction performance</x:v>
      </x:c>
      <x:c r="Y274" s="12" t="str">
        <x:f>IF($U274&lt;&gt;"",$U274,$N274)</x:f>
        <x:v>Maintain planned change-of-direction work and progress toward reactive agility. Use low-volume, high-quality exposures with multiple starting and turning strategies.</x:v>
      </x:c>
      <x:c r="Z274" s="12" t="str">
        <x:f>IF($V274&lt;&gt;"",$V274,$O274)</x:f>
        <x:v>RVX Advanced Change of Direction</x:v>
      </x:c>
      <x:c r="AA274" s="12"/>
    </x:row>
    <x:row r="275">
      <x:c r="A275" s="12" t="str">
        <x:v>RVX-00046</x:v>
      </x:c>
      <x:c r="B275" s="12" t="str">
        <x:f>IFERROR(VLOOKUP($A275,Athlete_Profile!$A$2:$L$51,6,FALSE),"")</x:f>
        <x:v>Soccer</x:v>
      </x:c>
      <x:c r="C275" s="12" t="str">
        <x:f>IFERROR(VLOOKUP($A275,Athlete_Profile!$A$2:$L$51,5,FALSE),"")</x:f>
        <x:v>Male</x:v>
      </x:c>
      <x:c r="D275" s="12" t="str">
        <x:v>cmj_depth</x:v>
      </x:c>
      <x:c r="E275" s="12" t="str">
        <x:f>IFERROR(VLOOKUP($D275,Dropdown_Lists!$K$2:$N$7,2,FALSE),"")</x:f>
        <x:v>Countermovement Depth</x:v>
      </x:c>
      <x:c r="F275" s="12" t="str">
        <x:f>IFERROR(VLOOKUP($D275,Dropdown_Lists!$K$2:$N$7,3,FALSE),"")</x:f>
        <x:v>higher</x:v>
      </x:c>
      <x:c r="G275" s="17" t="n">
        <x:f>IFERROR(LOOKUP(2,1/((Performance_Metrics!$A$2:$A$3000=$A275)*(Performance_Metrics!$D$2:$D$3000=$D275)),Performance_Metrics!$C$2:$C$3000),"")</x:f>
        <x:v>46230</x:v>
      </x:c>
      <x:c r="H275" s="12" t="n">
        <x:f>IFERROR(LOOKUP(2,1/((Performance_Metrics!$A$2:$A$3000=$A275)*(Performance_Metrics!$D$2:$D$3000=$D275)),Performance_Metrics!$G$2:$G$3000),"")</x:f>
        <x:v>36.1</x:v>
      </x:c>
      <x:c r="I275" s="12" t="n">
        <x:f>IFERROR(SUMIFS(Normative_Data!$G$2:$G$1000,Normative_Data!$A$2:$A$1000,$B275,Normative_Data!$B$2:$B$1000,$C275,Normative_Data!$E$2:$E$1000,$D275),"")</x:f>
        <x:v>31.35</x:v>
      </x:c>
      <x:c r="J275" s="18" t="n">
        <x:f>IF(OR($H275="",$I275=""),"",($H275-$I275)/$I275)</x:f>
        <x:v>0.15151515151515152</x:v>
      </x:c>
      <x:c r="K275" s="12" t="str">
        <x:f>IF(OR($H275="",$I275="",$F275=""),"",IF(ABS($J275)&lt;=0.05,"Equal to Norm",IF($F275="lower",IF($H275&lt;$I275,"Above Norm","Below Norm"),IF($H275&gt;$I275,"Above Norm","Below Norm"))))</x:f>
        <x:v>Above Norm</x:v>
      </x:c>
      <x:c r="L275" s="12" t="str">
        <x:f>IFERROR(VLOOKUP($D275&amp;"|"&amp;$K275,Recommendation_Lookup!$A$2:$H$19,2,FALSE),"")</x:f>
        <x:v>Maintain effective countermovement strategy</x:v>
      </x:c>
      <x:c r="M275" s="12" t="str">
        <x:f>IFERROR(VLOOKUP($D275&amp;"|"&amp;$K275,Recommendation_Lookup!$A$2:$H$19,3,FALSE),"")</x:f>
        <x:v>Movement efficiency; eccentric control; jump consistency; depth-to-output relationship</x:v>
      </x:c>
      <x:c r="N275" s="12" t="str">
        <x:f>IFERROR(VLOOKUP($D275&amp;"|"&amp;$K275,Recommendation_Lookup!$A$2:$H$19,4,FALSE),"")</x:f>
        <x:v>Maintain the athlete’s preferred countermovement strategy while ensuring the additional depth contributes to force and impulse rather than excessive movement time.</x:v>
      </x:c>
      <x:c r="O275" s="12" t="str">
        <x:f>IFERROR(VLOOKUP($D275&amp;"|"&amp;$K275,Recommendation_Lookup!$A$2:$H$19,5,FALSE),"")</x:f>
        <x:v>RVX Jump Performance Advanced</x:v>
      </x:c>
      <x:c r="P275" s="12" t="str">
        <x:f>IFERROR(VLOOKUP($D275&amp;"|"&amp;$K275,Recommendation_Lookup!$A$2:$H$19,6,FALSE),"")</x:f>
        <x:v>RVX Eccentric Strength Microdose</x:v>
      </x:c>
      <x:c r="Q275" s="12" t="str">
        <x:f>IFERROR(VLOOKUP($D275&amp;"|"&amp;$K275,Recommendation_Lookup!$A$2:$H$19,7,FALSE),"")</x:f>
        <x:v>Use the depth you can control, then reverse quickly and aggressively.</x:v>
      </x:c>
      <x:c r="R275" s="12" t="str">
        <x:f>IFERROR(VLOOKUP($D275&amp;"|"&amp;$K275,Recommendation_Lookup!$A$2:$H$19,8,FALSE),"")</x:f>
        <x:v>Retest every 6–8 weeks while monitoring jump height and contraction time.</x:v>
      </x:c>
      <x:c r="S275" s="12"/>
      <x:c r="T275" s="12"/>
      <x:c r="U275" s="12"/>
      <x:c r="V275" s="12"/>
      <x:c r="W275" s="12" t="str">
        <x:f>IF($S275&lt;&gt;"",$S275,$K275)</x:f>
        <x:v>Above Norm</x:v>
      </x:c>
      <x:c r="X275" s="12" t="str">
        <x:f>IF($T275&lt;&gt;"",$T275,$L275)</x:f>
        <x:v>Maintain effective countermovement strategy</x:v>
      </x:c>
      <x:c r="Y275" s="12" t="str">
        <x:f>IF($U275&lt;&gt;"",$U275,$N275)</x:f>
        <x:v>Maintain the athlete’s preferred countermovement strategy while ensuring the additional depth contributes to force and impulse rather than excessive movement time.</x:v>
      </x:c>
      <x:c r="Z275" s="12" t="str">
        <x:f>IF($V275&lt;&gt;"",$V275,$O275)</x:f>
        <x:v>RVX Jump Performance Advanced</x:v>
      </x:c>
      <x:c r="AA275" s="12"/>
    </x:row>
    <x:row r="276">
      <x:c r="A276" s="12" t="str">
        <x:v>RVX-00046</x:v>
      </x:c>
      <x:c r="B276" s="12" t="str">
        <x:f>IFERROR(VLOOKUP($A276,Athlete_Profile!$A$2:$L$51,6,FALSE),"")</x:f>
        <x:v>Soccer</x:v>
      </x:c>
      <x:c r="C276" s="12" t="str">
        <x:f>IFERROR(VLOOKUP($A276,Athlete_Profile!$A$2:$L$51,5,FALSE),"")</x:f>
        <x:v>Male</x:v>
      </x:c>
      <x:c r="D276" s="12" t="str">
        <x:v>peak_force</x:v>
      </x:c>
      <x:c r="E276" s="12" t="str">
        <x:f>IFERROR(VLOOKUP($D276,Dropdown_Lists!$K$2:$N$7,2,FALSE),"")</x:f>
        <x:v>Peak Force</x:v>
      </x:c>
      <x:c r="F276" s="12" t="str">
        <x:f>IFERROR(VLOOKUP($D276,Dropdown_Lists!$K$2:$N$7,3,FALSE),"")</x:f>
        <x:v>higher</x:v>
      </x:c>
      <x:c r="G276" s="17" t="n">
        <x:f>IFERROR(LOOKUP(2,1/((Performance_Metrics!$A$2:$A$3000=$A276)*(Performance_Metrics!$D$2:$D$3000=$D276)),Performance_Metrics!$C$2:$C$3000),"")</x:f>
        <x:v>46230</x:v>
      </x:c>
      <x:c r="H276" s="12" t="n">
        <x:f>IFERROR(LOOKUP(2,1/((Performance_Metrics!$A$2:$A$3000=$A276)*(Performance_Metrics!$D$2:$D$3000=$D276)),Performance_Metrics!$G$2:$G$3000),"")</x:f>
        <x:v>2141</x:v>
      </x:c>
      <x:c r="I276" s="12" t="n">
        <x:f>IFERROR(SUMIFS(Normative_Data!$G$2:$G$1000,Normative_Data!$A$2:$A$1000,$B276,Normative_Data!$B$2:$B$1000,$C276,Normative_Data!$E$2:$E$1000,$D276),"")</x:f>
        <x:v>1828.75</x:v>
      </x:c>
      <x:c r="J276" s="18" t="n">
        <x:f>IF(OR($H276="",$I276=""),"",($H276-$I276)/$I276)</x:f>
        <x:v>0.17074504442925495</x:v>
      </x:c>
      <x:c r="K276" s="12" t="str">
        <x:f>IF(OR($H276="",$I276="",$F276=""),"",IF(ABS($J276)&lt;=0.05,"Equal to Norm",IF($F276="lower",IF($H276&lt;$I276,"Above Norm","Below Norm"),IF($H276&gt;$I276,"Above Norm","Below Norm"))))</x:f>
        <x:v>Above Norm</x:v>
      </x:c>
      <x:c r="L276" s="12" t="str">
        <x:f>IFERROR(VLOOKUP($D276&amp;"|"&amp;$K276,Recommendation_Lookup!$A$2:$H$19,2,FALSE),"")</x:f>
        <x:v>Maintain maximal force qualities</x:v>
      </x:c>
      <x:c r="M276" s="12" t="str">
        <x:f>IFERROR(VLOOKUP($D276&amp;"|"&amp;$K276,Recommendation_Lookup!$A$2:$H$19,3,FALSE),"")</x:f>
        <x:v>Force application speed; asymmetry; fatigue management; sport transfer</x:v>
      </x:c>
      <x:c r="N276" s="12" t="str">
        <x:f>IFERROR(VLOOKUP($D276&amp;"|"&amp;$K276,Recommendation_Lookup!$A$2:$H$19,4,FALSE),"")</x:f>
        <x:v>Maintain maximal force with low-volume strength exposure while shifting selected work toward power and sport-specific application. Monitor asymmetry and fatigue.</x:v>
      </x:c>
      <x:c r="O276" s="12" t="str">
        <x:f>IFERROR(VLOOKUP($D276&amp;"|"&amp;$K276,Recommendation_Lookup!$A$2:$H$19,5,FALSE),"")</x:f>
        <x:v>RVX Advanced Strength-Power</x:v>
      </x:c>
      <x:c r="P276" s="12" t="str">
        <x:f>IFERROR(VLOOKUP($D276&amp;"|"&amp;$K276,Recommendation_Lookup!$A$2:$H$19,6,FALSE),"")</x:f>
        <x:v>RVX Force Maintenance Microdose</x:v>
      </x:c>
      <x:c r="Q276" s="12" t="str">
        <x:f>IFERROR(VLOOKUP($D276&amp;"|"&amp;$K276,Recommendation_Lookup!$A$2:$H$19,7,FALSE),"")</x:f>
        <x:v>Produce high force without losing position or movement speed.</x:v>
      </x:c>
      <x:c r="R276" s="12" t="str">
        <x:f>IFERROR(VLOOKUP($D276&amp;"|"&amp;$K276,Recommendation_Lookup!$A$2:$H$19,8,FALSE),"")</x:f>
        <x:v>Retest every 6–8 weeks or following a strength-power phase.</x:v>
      </x:c>
      <x:c r="S276" s="12"/>
      <x:c r="T276" s="12"/>
      <x:c r="U276" s="12"/>
      <x:c r="V276" s="12"/>
      <x:c r="W276" s="12" t="str">
        <x:f>IF($S276&lt;&gt;"",$S276,$K276)</x:f>
        <x:v>Above Norm</x:v>
      </x:c>
      <x:c r="X276" s="12" t="str">
        <x:f>IF($T276&lt;&gt;"",$T276,$L276)</x:f>
        <x:v>Maintain maximal force qualities</x:v>
      </x:c>
      <x:c r="Y276" s="12" t="str">
        <x:f>IF($U276&lt;&gt;"",$U276,$N276)</x:f>
        <x:v>Maintain maximal force with low-volume strength exposure while shifting selected work toward power and sport-specific application. Monitor asymmetry and fatigue.</x:v>
      </x:c>
      <x:c r="Z276" s="12" t="str">
        <x:f>IF($V276&lt;&gt;"",$V276,$O276)</x:f>
        <x:v>RVX Advanced Strength-Power</x:v>
      </x:c>
      <x:c r="AA276" s="12"/>
    </x:row>
    <x:row r="277">
      <x:c r="A277" s="12" t="str">
        <x:v>RVX-00046</x:v>
      </x:c>
      <x:c r="B277" s="12" t="str">
        <x:f>IFERROR(VLOOKUP($A277,Athlete_Profile!$A$2:$L$51,6,FALSE),"")</x:f>
        <x:v>Soccer</x:v>
      </x:c>
      <x:c r="C277" s="12" t="str">
        <x:f>IFERROR(VLOOKUP($A277,Athlete_Profile!$A$2:$L$51,5,FALSE),"")</x:f>
        <x:v>Male</x:v>
      </x:c>
      <x:c r="D277" s="12" t="str">
        <x:v>impulse</x:v>
      </x:c>
      <x:c r="E277" s="12" t="str">
        <x:f>IFERROR(VLOOKUP($D277,Dropdown_Lists!$K$2:$N$7,2,FALSE),"")</x:f>
        <x:v>Impulse-Momentum</x:v>
      </x:c>
      <x:c r="F277" s="12" t="str">
        <x:f>IFERROR(VLOOKUP($D277,Dropdown_Lists!$K$2:$N$7,3,FALSE),"")</x:f>
        <x:v>higher</x:v>
      </x:c>
      <x:c r="G277" s="17" t="n">
        <x:f>IFERROR(LOOKUP(2,1/((Performance_Metrics!$A$2:$A$3000=$A277)*(Performance_Metrics!$D$2:$D$3000=$D277)),Performance_Metrics!$C$2:$C$3000),"")</x:f>
        <x:v>46230</x:v>
      </x:c>
      <x:c r="H277" s="12" t="n">
        <x:f>IFERROR(LOOKUP(2,1/((Performance_Metrics!$A$2:$A$3000=$A277)*(Performance_Metrics!$D$2:$D$3000=$D277)),Performance_Metrics!$G$2:$G$3000),"")</x:f>
        <x:v>255.5</x:v>
      </x:c>
      <x:c r="I277" s="12" t="n">
        <x:f>IFERROR(SUMIFS(Normative_Data!$G$2:$G$1000,Normative_Data!$A$2:$A$1000,$B277,Normative_Data!$B$2:$B$1000,$C277,Normative_Data!$E$2:$E$1000,$D277),"")</x:f>
        <x:v>224.68</x:v>
      </x:c>
      <x:c r="J277" s="18" t="n">
        <x:f>IF(OR($H277="",$I277=""),"",($H277-$I277)/$I277)</x:f>
        <x:v>0.13717286807904572</x:v>
      </x:c>
      <x:c r="K277" s="12" t="str">
        <x:f>IF(OR($H277="",$I277="",$F277=""),"",IF(ABS($J277)&lt;=0.05,"Equal to Norm",IF($F277="lower",IF($H277&lt;$I277,"Above Norm","Below Norm"),IF($H277&gt;$I277,"Above Norm","Below Norm"))))</x:f>
        <x:v>Above Norm</x:v>
      </x:c>
      <x:c r="L277" s="12" t="str">
        <x:f>IFERROR(VLOOKUP($D277&amp;"|"&amp;$K277,Recommendation_Lookup!$A$2:$H$19,2,FALSE),"")</x:f>
        <x:v>Maintain total force-time output</x:v>
      </x:c>
      <x:c r="M277" s="12" t="str">
        <x:f>IFERROR(VLOOKUP($D277&amp;"|"&amp;$K277,Recommendation_Lookup!$A$2:$H$19,3,FALSE),"")</x:f>
        <x:v>Rate of force development; movement time; power transfer; fatigue resistance</x:v>
      </x:c>
      <x:c r="N277" s="12" t="str">
        <x:f>IFERROR(VLOOKUP($D277&amp;"|"&amp;$K277,Recommendation_Lookup!$A$2:$H$19,4,FALSE),"")</x:f>
        <x:v>Maintain impulse with strength-power microdosing and varied jump or sprint exposures. Ensure high impulse is achieved efficiently rather than through excessive movement time.</x:v>
      </x:c>
      <x:c r="O277" s="12" t="str">
        <x:f>IFERROR(VLOOKUP($D277&amp;"|"&amp;$K277,Recommendation_Lookup!$A$2:$H$19,5,FALSE),"")</x:f>
        <x:v>RVX Advanced Power Development</x:v>
      </x:c>
      <x:c r="P277" s="12" t="str">
        <x:f>IFERROR(VLOOKUP($D277&amp;"|"&amp;$K277,Recommendation_Lookup!$A$2:$H$19,6,FALSE),"")</x:f>
        <x:v>RVX Elastic Power Microdose</x:v>
      </x:c>
      <x:c r="Q277" s="12" t="str">
        <x:f>IFERROR(VLOOKUP($D277&amp;"|"&amp;$K277,Recommendation_Lookup!$A$2:$H$19,7,FALSE),"")</x:f>
        <x:v>Build force quickly and keep applying it through the full movement.</x:v>
      </x:c>
      <x:c r="R277" s="12" t="str">
        <x:f>IFERROR(VLOOKUP($D277&amp;"|"&amp;$K277,Recommendation_Lookup!$A$2:$H$19,8,FALSE),"")</x:f>
        <x:v>Retest every 6–8 weeks while reviewing contraction time and jump outcome.</x:v>
      </x:c>
      <x:c r="S277" s="12"/>
      <x:c r="T277" s="12"/>
      <x:c r="U277" s="12"/>
      <x:c r="V277" s="12"/>
      <x:c r="W277" s="12" t="str">
        <x:f>IF($S277&lt;&gt;"",$S277,$K277)</x:f>
        <x:v>Above Norm</x:v>
      </x:c>
      <x:c r="X277" s="12" t="str">
        <x:f>IF($T277&lt;&gt;"",$T277,$L277)</x:f>
        <x:v>Maintain total force-time output</x:v>
      </x:c>
      <x:c r="Y277" s="12" t="str">
        <x:f>IF($U277&lt;&gt;"",$U277,$N277)</x:f>
        <x:v>Maintain impulse with strength-power microdosing and varied jump or sprint exposures. Ensure high impulse is achieved efficiently rather than through excessive movement time.</x:v>
      </x:c>
      <x:c r="Z277" s="12" t="str">
        <x:f>IF($V277&lt;&gt;"",$V277,$O277)</x:f>
        <x:v>RVX Advanced Power Development</x:v>
      </x:c>
      <x:c r="AA277" s="12"/>
    </x:row>
    <x:row r="278">
      <x:c r="A278" s="12" t="str">
        <x:v>RVX-00047</x:v>
      </x:c>
      <x:c r="B278" s="12" t="str">
        <x:f>IFERROR(VLOOKUP($A278,Athlete_Profile!$A$2:$L$51,6,FALSE),"")</x:f>
        <x:v>Soccer</x:v>
      </x:c>
      <x:c r="C278" s="12" t="str">
        <x:f>IFERROR(VLOOKUP($A278,Athlete_Profile!$A$2:$L$51,5,FALSE),"")</x:f>
        <x:v>Female</x:v>
      </x:c>
      <x:c r="D278" s="12" t="str">
        <x:v>sprint_5m</x:v>
      </x:c>
      <x:c r="E278" s="12" t="str">
        <x:f>IFERROR(VLOOKUP($D278,Dropdown_Lists!$K$2:$N$7,2,FALSE),"")</x:f>
        <x:v>5m Sprint</x:v>
      </x:c>
      <x:c r="F278" s="12" t="str">
        <x:f>IFERROR(VLOOKUP($D278,Dropdown_Lists!$K$2:$N$7,3,FALSE),"")</x:f>
        <x:v>lower</x:v>
      </x:c>
      <x:c r="G278" s="17" t="n">
        <x:f>IFERROR(LOOKUP(2,1/((Performance_Metrics!$A$2:$A$3000=$A278)*(Performance_Metrics!$D$2:$D$3000=$D278)),Performance_Metrics!$C$2:$C$3000),"")</x:f>
        <x:v>46230</x:v>
      </x:c>
      <x:c r="H278" s="12" t="n">
        <x:f>IFERROR(LOOKUP(2,1/((Performance_Metrics!$A$2:$A$3000=$A278)*(Performance_Metrics!$D$2:$D$3000=$D278)),Performance_Metrics!$G$2:$G$3000),"")</x:f>
        <x:v>1.07</x:v>
      </x:c>
      <x:c r="I278" s="12" t="n">
        <x:f>IFERROR(SUMIFS(Normative_Data!$G$2:$G$1000,Normative_Data!$A$2:$A$1000,$B278,Normative_Data!$B$2:$B$1000,$C278,Normative_Data!$E$2:$E$1000,$D278),"")</x:f>
        <x:v>1.14</x:v>
      </x:c>
      <x:c r="J278" s="18" t="n">
        <x:f>IF(OR($H278="",$I278=""),"",($H278-$I278)/$I278)</x:f>
        <x:v>-0.06140350877192969</x:v>
      </x:c>
      <x:c r="K278" s="12" t="str">
        <x:f>IF(OR($H278="",$I278="",$F278=""),"",IF(ABS($J278)&lt;=0.05,"Equal to Norm",IF($F278="lower",IF($H278&lt;$I278,"Above Norm","Below Norm"),IF($H278&gt;$I278,"Above Norm","Below Norm"))))</x:f>
        <x:v>Above Norm</x:v>
      </x:c>
      <x:c r="L278" s="12" t="str">
        <x:f>IFERROR(VLOOKUP($D278&amp;"|"&amp;$K278,Recommendation_Lookup!$A$2:$H$19,2,FALSE),"")</x:f>
        <x:v>Maintain first-step explosiveness</x:v>
      </x:c>
      <x:c r="M278" s="12" t="str">
        <x:f>IFERROR(VLOOKUP($D278&amp;"|"&amp;$K278,Recommendation_Lookup!$A$2:$H$19,3,FALSE),"")</x:f>
        <x:v>Start consistency; projection angle; horizontal force; reaction quality</x:v>
      </x:c>
      <x:c r="N278" s="12" t="str">
        <x:f>IFERROR(VLOOKUP($D278&amp;"|"&amp;$K278,Recommendation_Lookup!$A$2:$H$19,4,FALSE),"")</x:f>
        <x:v>Maintain speed with low-volume, high-quality acceleration exposures. Avoid unnecessary volume that could reduce sprint quality. Progress through resisted and reactive starts while preserving mechanics.</x:v>
      </x:c>
      <x:c r="O278" s="12" t="str">
        <x:f>IFERROR(VLOOKUP($D278&amp;"|"&amp;$K278,Recommendation_Lookup!$A$2:$H$19,5,FALSE),"")</x:f>
        <x:v>RVX Advanced Acceleration</x:v>
      </x:c>
      <x:c r="P278" s="12" t="str">
        <x:f>IFERROR(VLOOKUP($D278&amp;"|"&amp;$K278,Recommendation_Lookup!$A$2:$H$19,6,FALSE),"")</x:f>
        <x:v>RVX Explosive Starts Microdose</x:v>
      </x:c>
      <x:c r="Q278" s="12" t="str">
        <x:f>IFERROR(VLOOKUP($D278&amp;"|"&amp;$K278,Recommendation_Lookup!$A$2:$H$19,7,FALSE),"")</x:f>
        <x:v>Project forward, push the ground back, and win the first three steps.</x:v>
      </x:c>
      <x:c r="R278" s="12" t="str">
        <x:f>IFERROR(VLOOKUP($D278&amp;"|"&amp;$K278,Recommendation_Lookup!$A$2:$H$19,8,FALSE),"")</x:f>
        <x:v>Retest every 6–8 weeks or after a dedicated acceleration block.</x:v>
      </x:c>
      <x:c r="S278" s="12"/>
      <x:c r="T278" s="12"/>
      <x:c r="U278" s="12"/>
      <x:c r="V278" s="12"/>
      <x:c r="W278" s="12" t="str">
        <x:f>IF($S278&lt;&gt;"",$S278,$K278)</x:f>
        <x:v>Above Norm</x:v>
      </x:c>
      <x:c r="X278" s="12" t="str">
        <x:f>IF($T278&lt;&gt;"",$T278,$L278)</x:f>
        <x:v>Maintain first-step explosiveness</x:v>
      </x:c>
      <x:c r="Y278" s="12" t="str">
        <x:f>IF($U278&lt;&gt;"",$U278,$N278)</x:f>
        <x:v>Maintain speed with low-volume, high-quality acceleration exposures. Avoid unnecessary volume that could reduce sprint quality. Progress through resisted and reactive starts while preserving mechanics.</x:v>
      </x:c>
      <x:c r="Z278" s="12" t="str">
        <x:f>IF($V278&lt;&gt;"",$V278,$O278)</x:f>
        <x:v>RVX Advanced Acceleration</x:v>
      </x:c>
      <x:c r="AA278" s="12"/>
    </x:row>
    <x:row r="279">
      <x:c r="A279" s="12" t="str">
        <x:v>RVX-00047</x:v>
      </x:c>
      <x:c r="B279" s="12" t="str">
        <x:f>IFERROR(VLOOKUP($A279,Athlete_Profile!$A$2:$L$51,6,FALSE),"")</x:f>
        <x:v>Soccer</x:v>
      </x:c>
      <x:c r="C279" s="12" t="str">
        <x:f>IFERROR(VLOOKUP($A279,Athlete_Profile!$A$2:$L$51,5,FALSE),"")</x:f>
        <x:v>Female</x:v>
      </x:c>
      <x:c r="D279" s="12" t="str">
        <x:v>sprint_10m</x:v>
      </x:c>
      <x:c r="E279" s="12" t="str">
        <x:f>IFERROR(VLOOKUP($D279,Dropdown_Lists!$K$2:$N$7,2,FALSE),"")</x:f>
        <x:v>10m Sprint</x:v>
      </x:c>
      <x:c r="F279" s="12" t="str">
        <x:f>IFERROR(VLOOKUP($D279,Dropdown_Lists!$K$2:$N$7,3,FALSE),"")</x:f>
        <x:v>lower</x:v>
      </x:c>
      <x:c r="G279" s="17" t="n">
        <x:f>IFERROR(LOOKUP(2,1/((Performance_Metrics!$A$2:$A$3000=$A279)*(Performance_Metrics!$D$2:$D$3000=$D279)),Performance_Metrics!$C$2:$C$3000),"")</x:f>
        <x:v>46230</x:v>
      </x:c>
      <x:c r="H279" s="12" t="n">
        <x:f>IFERROR(LOOKUP(2,1/((Performance_Metrics!$A$2:$A$3000=$A279)*(Performance_Metrics!$D$2:$D$3000=$D279)),Performance_Metrics!$G$2:$G$3000),"")</x:f>
        <x:v>1.78</x:v>
      </x:c>
      <x:c r="I279" s="12" t="n">
        <x:f>IFERROR(SUMIFS(Normative_Data!$G$2:$G$1000,Normative_Data!$A$2:$A$1000,$B279,Normative_Data!$B$2:$B$1000,$C279,Normative_Data!$E$2:$E$1000,$D279),"")</x:f>
        <x:v>1.91</x:v>
      </x:c>
      <x:c r="J279" s="18" t="n">
        <x:f>IF(OR($H279="",$I279=""),"",($H279-$I279)/$I279)</x:f>
        <x:v>-0.06806282722513084</x:v>
      </x:c>
      <x:c r="K279" s="12" t="str">
        <x:f>IF(OR($H279="",$I279="",$F279=""),"",IF(ABS($J279)&lt;=0.05,"Equal to Norm",IF($F279="lower",IF($H279&lt;$I279,"Above Norm","Below Norm"),IF($H279&gt;$I279,"Above Norm","Below Norm"))))</x:f>
        <x:v>Above Norm</x:v>
      </x:c>
      <x:c r="L279" s="12" t="str">
        <x:f>IFERROR(VLOOKUP($D279&amp;"|"&amp;$K279,Recommendation_Lookup!$A$2:$H$19,2,FALSE),"")</x:f>
        <x:v>Maintain acceleration through 10 m</x:v>
      </x:c>
      <x:c r="M279" s="12" t="str">
        <x:f>IFERROR(VLOOKUP($D279&amp;"|"&amp;$K279,Recommendation_Lookup!$A$2:$H$19,3,FALSE),"")</x:f>
        <x:v>Transition mechanics; stride rhythm; stiffness; repeatability</x:v>
      </x:c>
      <x:c r="N279" s="12" t="str">
        <x:f>IFERROR(VLOOKUP($D279&amp;"|"&amp;$K279,Recommendation_Lookup!$A$2:$H$19,4,FALSE),"")</x:f>
        <x:v>Maintain one to two weekly high-quality acceleration exposures. Add varied starts and light resistance while monitoring consistency across trials.</x:v>
      </x:c>
      <x:c r="O279" s="12" t="str">
        <x:f>IFERROR(VLOOKUP($D279&amp;"|"&amp;$K279,Recommendation_Lookup!$A$2:$H$19,5,FALSE),"")</x:f>
        <x:v>RVX Advanced Acceleration</x:v>
      </x:c>
      <x:c r="P279" s="12" t="str">
        <x:f>IFERROR(VLOOKUP($D279&amp;"|"&amp;$K279,Recommendation_Lookup!$A$2:$H$19,6,FALSE),"")</x:f>
        <x:v>RVX Speed Maintenance Microdose</x:v>
      </x:c>
      <x:c r="Q279" s="12" t="str">
        <x:f>IFERROR(VLOOKUP($D279&amp;"|"&amp;$K279,Recommendation_Lookup!$A$2:$H$19,7,FALSE),"")</x:f>
        <x:v>Stay patient through acceleration and keep pushing behind the body.</x:v>
      </x:c>
      <x:c r="R279" s="12" t="str">
        <x:f>IFERROR(VLOOKUP($D279&amp;"|"&amp;$K279,Recommendation_Lookup!$A$2:$H$19,8,FALSE),"")</x:f>
        <x:v>Retest every 6–8 weeks or after a speed block.</x:v>
      </x:c>
      <x:c r="S279" s="12"/>
      <x:c r="T279" s="12"/>
      <x:c r="U279" s="12"/>
      <x:c r="V279" s="12"/>
      <x:c r="W279" s="12" t="str">
        <x:f>IF($S279&lt;&gt;"",$S279,$K279)</x:f>
        <x:v>Above Norm</x:v>
      </x:c>
      <x:c r="X279" s="12" t="str">
        <x:f>IF($T279&lt;&gt;"",$T279,$L279)</x:f>
        <x:v>Maintain acceleration through 10 m</x:v>
      </x:c>
      <x:c r="Y279" s="12" t="str">
        <x:f>IF($U279&lt;&gt;"",$U279,$N279)</x:f>
        <x:v>Maintain one to two weekly high-quality acceleration exposures. Add varied starts and light resistance while monitoring consistency across trials.</x:v>
      </x:c>
      <x:c r="Z279" s="12" t="str">
        <x:f>IF($V279&lt;&gt;"",$V279,$O279)</x:f>
        <x:v>RVX Advanced Acceleration</x:v>
      </x:c>
      <x:c r="AA279" s="12"/>
    </x:row>
    <x:row r="280">
      <x:c r="A280" s="12" t="str">
        <x:v>RVX-00047</x:v>
      </x:c>
      <x:c r="B280" s="12" t="str">
        <x:f>IFERROR(VLOOKUP($A280,Athlete_Profile!$A$2:$L$51,6,FALSE),"")</x:f>
        <x:v>Soccer</x:v>
      </x:c>
      <x:c r="C280" s="12" t="str">
        <x:f>IFERROR(VLOOKUP($A280,Athlete_Profile!$A$2:$L$51,5,FALSE),"")</x:f>
        <x:v>Female</x:v>
      </x:c>
      <x:c r="D280" s="12" t="str">
        <x:v>pro_agility</x:v>
      </x:c>
      <x:c r="E280" s="12" t="str">
        <x:f>IFERROR(VLOOKUP($D280,Dropdown_Lists!$K$2:$N$7,2,FALSE),"")</x:f>
        <x:v>5-10-5 Pro Agility</x:v>
      </x:c>
      <x:c r="F280" s="12" t="str">
        <x:f>IFERROR(VLOOKUP($D280,Dropdown_Lists!$K$2:$N$7,3,FALSE),"")</x:f>
        <x:v>lower</x:v>
      </x:c>
      <x:c r="G280" s="17" t="n">
        <x:f>IFERROR(LOOKUP(2,1/((Performance_Metrics!$A$2:$A$3000=$A280)*(Performance_Metrics!$D$2:$D$3000=$D280)),Performance_Metrics!$C$2:$C$3000),"")</x:f>
        <x:v>46230</x:v>
      </x:c>
      <x:c r="H280" s="12" t="n">
        <x:f>IFERROR(LOOKUP(2,1/((Performance_Metrics!$A$2:$A$3000=$A280)*(Performance_Metrics!$D$2:$D$3000=$D280)),Performance_Metrics!$G$2:$G$3000),"")</x:f>
        <x:v>4.7</x:v>
      </x:c>
      <x:c r="I280" s="12" t="n">
        <x:f>IFERROR(SUMIFS(Normative_Data!$G$2:$G$1000,Normative_Data!$A$2:$A$1000,$B280,Normative_Data!$B$2:$B$1000,$C280,Normative_Data!$E$2:$E$1000,$D280),"")</x:f>
        <x:v>4.89</x:v>
      </x:c>
      <x:c r="J280" s="18" t="n">
        <x:f>IF(OR($H280="",$I280=""),"",($H280-$I280)/$I280)</x:f>
        <x:v>-0.03885480572597127</x:v>
      </x:c>
      <x:c r="K280" s="12" t="str">
        <x:f>IF(OR($H280="",$I280="",$F280=""),"",IF(ABS($J280)&lt;=0.05,"Equal to Norm",IF($F280="lower",IF($H280&lt;$I280,"Above Norm","Below Norm"),IF($H280&gt;$I280,"Above Norm","Below Norm"))))</x:f>
        <x:v>Equal to Norm</x:v>
      </x:c>
      <x:c r="L280" s="12" t="str">
        <x:f>IFERROR(VLOOKUP($D280&amp;"|"&amp;$K280,Recommendation_Lookup!$A$2:$H$19,2,FALSE),"")</x:f>
        <x:v>Improve braking and re-acceleration</x:v>
      </x:c>
      <x:c r="M280" s="12" t="str">
        <x:f>IFERROR(VLOOKUP($D280&amp;"|"&amp;$K280,Recommendation_Lookup!$A$2:$H$19,3,FALSE),"")</x:f>
        <x:v>Deceleration mechanics; foot placement; hip position; crossover efficiency</x:v>
      </x:c>
      <x:c r="N280" s="12" t="str">
        <x:f>IFERROR(VLOOKUP($D280&amp;"|"&amp;$K280,Recommendation_Lookup!$A$2:$H$19,4,FALSE),"")</x:f>
        <x:v>Use a structured change-of-direction block emphasizing braking positions, plant-foot control and efficient re-acceleration on both sides.</x:v>
      </x:c>
      <x:c r="O280" s="12" t="str">
        <x:f>IFERROR(VLOOKUP($D280&amp;"|"&amp;$K280,Recommendation_Lookup!$A$2:$H$19,5,FALSE),"")</x:f>
        <x:v>RVX Change of Direction Development</x:v>
      </x:c>
      <x:c r="P280" s="12" t="str">
        <x:f>IFERROR(VLOOKUP($D280&amp;"|"&amp;$K280,Recommendation_Lookup!$A$2:$H$19,6,FALSE),"")</x:f>
        <x:v>RVX Deceleration Mechanics</x:v>
      </x:c>
      <x:c r="Q280" s="12" t="str">
        <x:f>IFERROR(VLOOKUP($D280&amp;"|"&amp;$K280,Recommendation_Lookup!$A$2:$H$19,7,FALSE),"")</x:f>
        <x:v>Lower the centre of mass before the turn and push away from the plant.</x:v>
      </x:c>
      <x:c r="R280" s="12" t="str">
        <x:f>IFERROR(VLOOKUP($D280&amp;"|"&amp;$K280,Recommendation_Lookup!$A$2:$H$19,8,FALSE),"")</x:f>
        <x:v>Retest after 4–6 weeks and review directional splits if available.</x:v>
      </x:c>
      <x:c r="S280" s="12"/>
      <x:c r="T280" s="12"/>
      <x:c r="U280" s="12"/>
      <x:c r="V280" s="12"/>
      <x:c r="W280" s="12" t="str">
        <x:f>IF($S280&lt;&gt;"",$S280,$K280)</x:f>
        <x:v>Equal to Norm</x:v>
      </x:c>
      <x:c r="X280" s="12" t="str">
        <x:f>IF($T280&lt;&gt;"",$T280,$L280)</x:f>
        <x:v>Improve braking and re-acceleration</x:v>
      </x:c>
      <x:c r="Y280" s="12" t="str">
        <x:f>IF($U280&lt;&gt;"",$U280,$N280)</x:f>
        <x:v>Use a structured change-of-direction block emphasizing braking positions, plant-foot control and efficient re-acceleration on both sides.</x:v>
      </x:c>
      <x:c r="Z280" s="12" t="str">
        <x:f>IF($V280&lt;&gt;"",$V280,$O280)</x:f>
        <x:v>RVX Change of Direction Development</x:v>
      </x:c>
      <x:c r="AA280" s="12"/>
    </x:row>
    <x:row r="281">
      <x:c r="A281" s="12" t="str">
        <x:v>RVX-00047</x:v>
      </x:c>
      <x:c r="B281" s="12" t="str">
        <x:f>IFERROR(VLOOKUP($A281,Athlete_Profile!$A$2:$L$51,6,FALSE),"")</x:f>
        <x:v>Soccer</x:v>
      </x:c>
      <x:c r="C281" s="12" t="str">
        <x:f>IFERROR(VLOOKUP($A281,Athlete_Profile!$A$2:$L$51,5,FALSE),"")</x:f>
        <x:v>Female</x:v>
      </x:c>
      <x:c r="D281" s="12" t="str">
        <x:v>cmj_depth</x:v>
      </x:c>
      <x:c r="E281" s="12" t="str">
        <x:f>IFERROR(VLOOKUP($D281,Dropdown_Lists!$K$2:$N$7,2,FALSE),"")</x:f>
        <x:v>Countermovement Depth</x:v>
      </x:c>
      <x:c r="F281" s="12" t="str">
        <x:f>IFERROR(VLOOKUP($D281,Dropdown_Lists!$K$2:$N$7,3,FALSE),"")</x:f>
        <x:v>higher</x:v>
      </x:c>
      <x:c r="G281" s="17" t="n">
        <x:f>IFERROR(LOOKUP(2,1/((Performance_Metrics!$A$2:$A$3000=$A281)*(Performance_Metrics!$D$2:$D$3000=$D281)),Performance_Metrics!$C$2:$C$3000),"")</x:f>
        <x:v>46230</x:v>
      </x:c>
      <x:c r="H281" s="12" t="n">
        <x:f>IFERROR(LOOKUP(2,1/((Performance_Metrics!$A$2:$A$3000=$A281)*(Performance_Metrics!$D$2:$D$3000=$D281)),Performance_Metrics!$G$2:$G$3000),"")</x:f>
        <x:v>30.5</x:v>
      </x:c>
      <x:c r="I281" s="12" t="n">
        <x:f>IFERROR(SUMIFS(Normative_Data!$G$2:$G$1000,Normative_Data!$A$2:$A$1000,$B281,Normative_Data!$B$2:$B$1000,$C281,Normative_Data!$E$2:$E$1000,$D281),"")</x:f>
        <x:v>28.5</x:v>
      </x:c>
      <x:c r="J281" s="18" t="n">
        <x:f>IF(OR($H281="",$I281=""),"",($H281-$I281)/$I281)</x:f>
        <x:v>0.07017543859649122</x:v>
      </x:c>
      <x:c r="K281" s="12" t="str">
        <x:f>IF(OR($H281="",$I281="",$F281=""),"",IF(ABS($J281)&lt;=0.05,"Equal to Norm",IF($F281="lower",IF($H281&lt;$I281,"Above Norm","Below Norm"),IF($H281&gt;$I281,"Above Norm","Below Norm"))))</x:f>
        <x:v>Above Norm</x:v>
      </x:c>
      <x:c r="L281" s="12" t="str">
        <x:f>IFERROR(VLOOKUP($D281&amp;"|"&amp;$K281,Recommendation_Lookup!$A$2:$H$19,2,FALSE),"")</x:f>
        <x:v>Maintain effective countermovement strategy</x:v>
      </x:c>
      <x:c r="M281" s="12" t="str">
        <x:f>IFERROR(VLOOKUP($D281&amp;"|"&amp;$K281,Recommendation_Lookup!$A$2:$H$19,3,FALSE),"")</x:f>
        <x:v>Movement efficiency; eccentric control; jump consistency; depth-to-output relationship</x:v>
      </x:c>
      <x:c r="N281" s="12" t="str">
        <x:f>IFERROR(VLOOKUP($D281&amp;"|"&amp;$K281,Recommendation_Lookup!$A$2:$H$19,4,FALSE),"")</x:f>
        <x:v>Maintain the athlete’s preferred countermovement strategy while ensuring the additional depth contributes to force and impulse rather than excessive movement time.</x:v>
      </x:c>
      <x:c r="O281" s="12" t="str">
        <x:f>IFERROR(VLOOKUP($D281&amp;"|"&amp;$K281,Recommendation_Lookup!$A$2:$H$19,5,FALSE),"")</x:f>
        <x:v>RVX Jump Performance Advanced</x:v>
      </x:c>
      <x:c r="P281" s="12" t="str">
        <x:f>IFERROR(VLOOKUP($D281&amp;"|"&amp;$K281,Recommendation_Lookup!$A$2:$H$19,6,FALSE),"")</x:f>
        <x:v>RVX Eccentric Strength Microdose</x:v>
      </x:c>
      <x:c r="Q281" s="12" t="str">
        <x:f>IFERROR(VLOOKUP($D281&amp;"|"&amp;$K281,Recommendation_Lookup!$A$2:$H$19,7,FALSE),"")</x:f>
        <x:v>Use the depth you can control, then reverse quickly and aggressively.</x:v>
      </x:c>
      <x:c r="R281" s="12" t="str">
        <x:f>IFERROR(VLOOKUP($D281&amp;"|"&amp;$K281,Recommendation_Lookup!$A$2:$H$19,8,FALSE),"")</x:f>
        <x:v>Retest every 6–8 weeks while monitoring jump height and contraction time.</x:v>
      </x:c>
      <x:c r="S281" s="12"/>
      <x:c r="T281" s="12"/>
      <x:c r="U281" s="12"/>
      <x:c r="V281" s="12"/>
      <x:c r="W281" s="12" t="str">
        <x:f>IF($S281&lt;&gt;"",$S281,$K281)</x:f>
        <x:v>Above Norm</x:v>
      </x:c>
      <x:c r="X281" s="12" t="str">
        <x:f>IF($T281&lt;&gt;"",$T281,$L281)</x:f>
        <x:v>Maintain effective countermovement strategy</x:v>
      </x:c>
      <x:c r="Y281" s="12" t="str">
        <x:f>IF($U281&lt;&gt;"",$U281,$N281)</x:f>
        <x:v>Maintain the athlete’s preferred countermovement strategy while ensuring the additional depth contributes to force and impulse rather than excessive movement time.</x:v>
      </x:c>
      <x:c r="Z281" s="12" t="str">
        <x:f>IF($V281&lt;&gt;"",$V281,$O281)</x:f>
        <x:v>RVX Jump Performance Advanced</x:v>
      </x:c>
      <x:c r="AA281" s="12"/>
    </x:row>
    <x:row r="282">
      <x:c r="A282" s="12" t="str">
        <x:v>RVX-00047</x:v>
      </x:c>
      <x:c r="B282" s="12" t="str">
        <x:f>IFERROR(VLOOKUP($A282,Athlete_Profile!$A$2:$L$51,6,FALSE),"")</x:f>
        <x:v>Soccer</x:v>
      </x:c>
      <x:c r="C282" s="12" t="str">
        <x:f>IFERROR(VLOOKUP($A282,Athlete_Profile!$A$2:$L$51,5,FALSE),"")</x:f>
        <x:v>Female</x:v>
      </x:c>
      <x:c r="D282" s="12" t="str">
        <x:v>peak_force</x:v>
      </x:c>
      <x:c r="E282" s="12" t="str">
        <x:f>IFERROR(VLOOKUP($D282,Dropdown_Lists!$K$2:$N$7,2,FALSE),"")</x:f>
        <x:v>Peak Force</x:v>
      </x:c>
      <x:c r="F282" s="12" t="str">
        <x:f>IFERROR(VLOOKUP($D282,Dropdown_Lists!$K$2:$N$7,3,FALSE),"")</x:f>
        <x:v>higher</x:v>
      </x:c>
      <x:c r="G282" s="17" t="n">
        <x:f>IFERROR(LOOKUP(2,1/((Performance_Metrics!$A$2:$A$3000=$A282)*(Performance_Metrics!$D$2:$D$3000=$D282)),Performance_Metrics!$C$2:$C$3000),"")</x:f>
        <x:v>46230</x:v>
      </x:c>
      <x:c r="H282" s="12" t="n">
        <x:f>IFERROR(LOOKUP(2,1/((Performance_Metrics!$A$2:$A$3000=$A282)*(Performance_Metrics!$D$2:$D$3000=$D282)),Performance_Metrics!$G$2:$G$3000),"")</x:f>
        <x:v>1711</x:v>
      </x:c>
      <x:c r="I282" s="12" t="n">
        <x:f>IFERROR(SUMIFS(Normative_Data!$G$2:$G$1000,Normative_Data!$A$2:$A$1000,$B282,Normative_Data!$B$2:$B$1000,$C282,Normative_Data!$E$2:$E$1000,$D282),"")</x:f>
        <x:v>1662.5</x:v>
      </x:c>
      <x:c r="J282" s="18" t="n">
        <x:f>IF(OR($H282="",$I282=""),"",($H282-$I282)/$I282)</x:f>
        <x:v>0.02917293233082707</x:v>
      </x:c>
      <x:c r="K282" s="12" t="str">
        <x:f>IF(OR($H282="",$I282="",$F282=""),"",IF(ABS($J282)&lt;=0.05,"Equal to Norm",IF($F282="lower",IF($H282&lt;$I282,"Above Norm","Below Norm"),IF($H282&gt;$I282,"Above Norm","Below Norm"))))</x:f>
        <x:v>Equal to Norm</x:v>
      </x:c>
      <x:c r="L282" s="12" t="str">
        <x:f>IFERROR(VLOOKUP($D282&amp;"|"&amp;$K282,Recommendation_Lookup!$A$2:$H$19,2,FALSE),"")</x:f>
        <x:v>Increase force capacity</x:v>
      </x:c>
      <x:c r="M282" s="12" t="str">
        <x:f>IFERROR(VLOOKUP($D282&amp;"|"&amp;$K282,Recommendation_Lookup!$A$2:$H$19,3,FALSE),"")</x:f>
        <x:v>Relative strength; bracing; lower-body strength; isometric force</x:v>
      </x:c>
      <x:c r="N282" s="12" t="str">
        <x:f>IFERROR(VLOOKUP($D282&amp;"|"&amp;$K282,Recommendation_Lookup!$A$2:$H$19,4,FALSE),"")</x:f>
        <x:v>Use progressive lower-body strength training with compound lifts, isometrics and unilateral work. Maintain technical quality and appropriate loading progression.</x:v>
      </x:c>
      <x:c r="O282" s="12" t="str">
        <x:f>IFERROR(VLOOKUP($D282&amp;"|"&amp;$K282,Recommendation_Lookup!$A$2:$H$19,5,FALSE),"")</x:f>
        <x:v>RVX Strength Development</x:v>
      </x:c>
      <x:c r="P282" s="12" t="str">
        <x:f>IFERROR(VLOOKUP($D282&amp;"|"&amp;$K282,Recommendation_Lookup!$A$2:$H$19,6,FALSE),"")</x:f>
        <x:v>RVX Isometric Force Builder</x:v>
      </x:c>
      <x:c r="Q282" s="12" t="str">
        <x:f>IFERROR(VLOOKUP($D282&amp;"|"&amp;$K282,Recommendation_Lookup!$A$2:$H$19,7,FALSE),"")</x:f>
        <x:v>Create full-body tension and push through the floor with intent.</x:v>
      </x:c>
      <x:c r="R282" s="12" t="str">
        <x:f>IFERROR(VLOOKUP($D282&amp;"|"&amp;$K282,Recommendation_Lookup!$A$2:$H$19,8,FALSE),"")</x:f>
        <x:v>Retest after 4–6 weeks.</x:v>
      </x:c>
      <x:c r="S282" s="12"/>
      <x:c r="T282" s="12"/>
      <x:c r="U282" s="12"/>
      <x:c r="V282" s="12"/>
      <x:c r="W282" s="12" t="str">
        <x:f>IF($S282&lt;&gt;"",$S282,$K282)</x:f>
        <x:v>Equal to Norm</x:v>
      </x:c>
      <x:c r="X282" s="12" t="str">
        <x:f>IF($T282&lt;&gt;"",$T282,$L282)</x:f>
        <x:v>Increase force capacity</x:v>
      </x:c>
      <x:c r="Y282" s="12" t="str">
        <x:f>IF($U282&lt;&gt;"",$U282,$N282)</x:f>
        <x:v>Use progressive lower-body strength training with compound lifts, isometrics and unilateral work. Maintain technical quality and appropriate loading progression.</x:v>
      </x:c>
      <x:c r="Z282" s="12" t="str">
        <x:f>IF($V282&lt;&gt;"",$V282,$O282)</x:f>
        <x:v>RVX Strength Development</x:v>
      </x:c>
      <x:c r="AA282" s="12"/>
    </x:row>
    <x:row r="283">
      <x:c r="A283" s="12" t="str">
        <x:v>RVX-00047</x:v>
      </x:c>
      <x:c r="B283" s="12" t="str">
        <x:f>IFERROR(VLOOKUP($A283,Athlete_Profile!$A$2:$L$51,6,FALSE),"")</x:f>
        <x:v>Soccer</x:v>
      </x:c>
      <x:c r="C283" s="12" t="str">
        <x:f>IFERROR(VLOOKUP($A283,Athlete_Profile!$A$2:$L$51,5,FALSE),"")</x:f>
        <x:v>Female</x:v>
      </x:c>
      <x:c r="D283" s="12" t="str">
        <x:v>impulse</x:v>
      </x:c>
      <x:c r="E283" s="12" t="str">
        <x:f>IFERROR(VLOOKUP($D283,Dropdown_Lists!$K$2:$N$7,2,FALSE),"")</x:f>
        <x:v>Impulse-Momentum</x:v>
      </x:c>
      <x:c r="F283" s="12" t="str">
        <x:f>IFERROR(VLOOKUP($D283,Dropdown_Lists!$K$2:$N$7,3,FALSE),"")</x:f>
        <x:v>higher</x:v>
      </x:c>
      <x:c r="G283" s="17" t="n">
        <x:f>IFERROR(LOOKUP(2,1/((Performance_Metrics!$A$2:$A$3000=$A283)*(Performance_Metrics!$D$2:$D$3000=$D283)),Performance_Metrics!$C$2:$C$3000),"")</x:f>
        <x:v>46230</x:v>
      </x:c>
      <x:c r="H283" s="12" t="n">
        <x:f>IFERROR(LOOKUP(2,1/((Performance_Metrics!$A$2:$A$3000=$A283)*(Performance_Metrics!$D$2:$D$3000=$D283)),Performance_Metrics!$G$2:$G$3000),"")</x:f>
        <x:v>219</x:v>
      </x:c>
      <x:c r="I283" s="12" t="n">
        <x:f>IFERROR(SUMIFS(Normative_Data!$G$2:$G$1000,Normative_Data!$A$2:$A$1000,$B283,Normative_Data!$B$2:$B$1000,$C283,Normative_Data!$E$2:$E$1000,$D283),"")</x:f>
        <x:v>204.25</x:v>
      </x:c>
      <x:c r="J283" s="18" t="n">
        <x:f>IF(OR($H283="",$I283=""),"",($H283-$I283)/$I283)</x:f>
        <x:v>0.07221542227662178</x:v>
      </x:c>
      <x:c r="K283" s="12" t="str">
        <x:f>IF(OR($H283="",$I283="",$F283=""),"",IF(ABS($J283)&lt;=0.05,"Equal to Norm",IF($F283="lower",IF($H283&lt;$I283,"Above Norm","Below Norm"),IF($H283&gt;$I283,"Above Norm","Below Norm"))))</x:f>
        <x:v>Above Norm</x:v>
      </x:c>
      <x:c r="L283" s="12" t="str">
        <x:f>IFERROR(VLOOKUP($D283&amp;"|"&amp;$K283,Recommendation_Lookup!$A$2:$H$19,2,FALSE),"")</x:f>
        <x:v>Maintain total force-time output</x:v>
      </x:c>
      <x:c r="M283" s="12" t="str">
        <x:f>IFERROR(VLOOKUP($D283&amp;"|"&amp;$K283,Recommendation_Lookup!$A$2:$H$19,3,FALSE),"")</x:f>
        <x:v>Rate of force development; movement time; power transfer; fatigue resistance</x:v>
      </x:c>
      <x:c r="N283" s="12" t="str">
        <x:f>IFERROR(VLOOKUP($D283&amp;"|"&amp;$K283,Recommendation_Lookup!$A$2:$H$19,4,FALSE),"")</x:f>
        <x:v>Maintain impulse with strength-power microdosing and varied jump or sprint exposures. Ensure high impulse is achieved efficiently rather than through excessive movement time.</x:v>
      </x:c>
      <x:c r="O283" s="12" t="str">
        <x:f>IFERROR(VLOOKUP($D283&amp;"|"&amp;$K283,Recommendation_Lookup!$A$2:$H$19,5,FALSE),"")</x:f>
        <x:v>RVX Advanced Power Development</x:v>
      </x:c>
      <x:c r="P283" s="12" t="str">
        <x:f>IFERROR(VLOOKUP($D283&amp;"|"&amp;$K283,Recommendation_Lookup!$A$2:$H$19,6,FALSE),"")</x:f>
        <x:v>RVX Elastic Power Microdose</x:v>
      </x:c>
      <x:c r="Q283" s="12" t="str">
        <x:f>IFERROR(VLOOKUP($D283&amp;"|"&amp;$K283,Recommendation_Lookup!$A$2:$H$19,7,FALSE),"")</x:f>
        <x:v>Build force quickly and keep applying it through the full movement.</x:v>
      </x:c>
      <x:c r="R283" s="12" t="str">
        <x:f>IFERROR(VLOOKUP($D283&amp;"|"&amp;$K283,Recommendation_Lookup!$A$2:$H$19,8,FALSE),"")</x:f>
        <x:v>Retest every 6–8 weeks while reviewing contraction time and jump outcome.</x:v>
      </x:c>
      <x:c r="S283" s="12"/>
      <x:c r="T283" s="12"/>
      <x:c r="U283" s="12"/>
      <x:c r="V283" s="12"/>
      <x:c r="W283" s="12" t="str">
        <x:f>IF($S283&lt;&gt;"",$S283,$K283)</x:f>
        <x:v>Above Norm</x:v>
      </x:c>
      <x:c r="X283" s="12" t="str">
        <x:f>IF($T283&lt;&gt;"",$T283,$L283)</x:f>
        <x:v>Maintain total force-time output</x:v>
      </x:c>
      <x:c r="Y283" s="12" t="str">
        <x:f>IF($U283&lt;&gt;"",$U283,$N283)</x:f>
        <x:v>Maintain impulse with strength-power microdosing and varied jump or sprint exposures. Ensure high impulse is achieved efficiently rather than through excessive movement time.</x:v>
      </x:c>
      <x:c r="Z283" s="12" t="str">
        <x:f>IF($V283&lt;&gt;"",$V283,$O283)</x:f>
        <x:v>RVX Advanced Power Development</x:v>
      </x:c>
      <x:c r="AA283" s="12"/>
    </x:row>
    <x:row r="284">
      <x:c r="A284" s="12" t="str">
        <x:v>RVX-00048</x:v>
      </x:c>
      <x:c r="B284" s="12" t="str">
        <x:f>IFERROR(VLOOKUP($A284,Athlete_Profile!$A$2:$L$51,6,FALSE),"")</x:f>
        <x:v>Soccer</x:v>
      </x:c>
      <x:c r="C284" s="12" t="str">
        <x:f>IFERROR(VLOOKUP($A284,Athlete_Profile!$A$2:$L$51,5,FALSE),"")</x:f>
        <x:v>Male</x:v>
      </x:c>
      <x:c r="D284" s="12" t="str">
        <x:v>sprint_5m</x:v>
      </x:c>
      <x:c r="E284" s="12" t="str">
        <x:f>IFERROR(VLOOKUP($D284,Dropdown_Lists!$K$2:$N$7,2,FALSE),"")</x:f>
        <x:v>5m Sprint</x:v>
      </x:c>
      <x:c r="F284" s="12" t="str">
        <x:f>IFERROR(VLOOKUP($D284,Dropdown_Lists!$K$2:$N$7,3,FALSE),"")</x:f>
        <x:v>lower</x:v>
      </x:c>
      <x:c r="G284" s="17" t="n">
        <x:f>IFERROR(LOOKUP(2,1/((Performance_Metrics!$A$2:$A$3000=$A284)*(Performance_Metrics!$D$2:$D$3000=$D284)),Performance_Metrics!$C$2:$C$3000),"")</x:f>
        <x:v>46230</x:v>
      </x:c>
      <x:c r="H284" s="12" t="n">
        <x:f>IFERROR(LOOKUP(2,1/((Performance_Metrics!$A$2:$A$3000=$A284)*(Performance_Metrics!$D$2:$D$3000=$D284)),Performance_Metrics!$G$2:$G$3000),"")</x:f>
        <x:v>1.13</x:v>
      </x:c>
      <x:c r="I284" s="12" t="n">
        <x:f>IFERROR(SUMIFS(Normative_Data!$G$2:$G$1000,Normative_Data!$A$2:$A$1000,$B284,Normative_Data!$B$2:$B$1000,$C284,Normative_Data!$E$2:$E$1000,$D284),"")</x:f>
        <x:v>1.09</x:v>
      </x:c>
      <x:c r="J284" s="18" t="n">
        <x:f>IF(OR($H284="",$I284=""),"",($H284-$I284)/$I284)</x:f>
        <x:v>0.03669724770642185</x:v>
      </x:c>
      <x:c r="K284" s="12" t="str">
        <x:f>IF(OR($H284="",$I284="",$F284=""),"",IF(ABS($J284)&lt;=0.05,"Equal to Norm",IF($F284="lower",IF($H284&lt;$I284,"Above Norm","Below Norm"),IF($H284&gt;$I284,"Above Norm","Below Norm"))))</x:f>
        <x:v>Equal to Norm</x:v>
      </x:c>
      <x:c r="L284" s="12" t="str">
        <x:f>IFERROR(VLOOKUP($D284&amp;"|"&amp;$K284,Recommendation_Lookup!$A$2:$H$19,2,FALSE),"")</x:f>
        <x:v>Improve acceleration efficiency</x:v>
      </x:c>
      <x:c r="M284" s="12" t="str">
        <x:f>IFERROR(VLOOKUP($D284&amp;"|"&amp;$K284,Recommendation_Lookup!$A$2:$H$19,3,FALSE),"")</x:f>
        <x:v>Starting posture; shin angle; first-step direction; arm action</x:v>
      </x:c>
      <x:c r="N284" s="12" t="str">
        <x:f>IFERROR(VLOOKUP($D284&amp;"|"&amp;$K284,Recommendation_Lookup!$A$2:$H$19,4,FALSE),"")</x:f>
        <x:v>Use a focused acceleration-development block emphasizing starting position, projection and force application. Keep repetitions short with full recovery.</x:v>
      </x:c>
      <x:c r="O284" s="12" t="str">
        <x:f>IFERROR(VLOOKUP($D284&amp;"|"&amp;$K284,Recommendation_Lookup!$A$2:$H$19,5,FALSE),"")</x:f>
        <x:v>RVX Acceleration Foundations</x:v>
      </x:c>
      <x:c r="P284" s="12" t="str">
        <x:f>IFERROR(VLOOKUP($D284&amp;"|"&amp;$K284,Recommendation_Lookup!$A$2:$H$19,6,FALSE),"")</x:f>
        <x:v>RVX Sprint Mechanics</x:v>
      </x:c>
      <x:c r="Q284" s="12" t="str">
        <x:f>IFERROR(VLOOKUP($D284&amp;"|"&amp;$K284,Recommendation_Lookup!$A$2:$H$19,7,FALSE),"")</x:f>
        <x:v>Push out, not up. Keep the first steps powerful and connected.</x:v>
      </x:c>
      <x:c r="R284" s="12" t="str">
        <x:f>IFERROR(VLOOKUP($D284&amp;"|"&amp;$K284,Recommendation_Lookup!$A$2:$H$19,8,FALSE),"")</x:f>
        <x:v>Retest after 4–6 weeks of focused acceleration work.</x:v>
      </x:c>
      <x:c r="S284" s="12"/>
      <x:c r="T284" s="12"/>
      <x:c r="U284" s="12"/>
      <x:c r="V284" s="12"/>
      <x:c r="W284" s="12" t="str">
        <x:f>IF($S284&lt;&gt;"",$S284,$K284)</x:f>
        <x:v>Equal to Norm</x:v>
      </x:c>
      <x:c r="X284" s="12" t="str">
        <x:f>IF($T284&lt;&gt;"",$T284,$L284)</x:f>
        <x:v>Improve acceleration efficiency</x:v>
      </x:c>
      <x:c r="Y284" s="12" t="str">
        <x:f>IF($U284&lt;&gt;"",$U284,$N284)</x:f>
        <x:v>Use a focused acceleration-development block emphasizing starting position, projection and force application. Keep repetitions short with full recovery.</x:v>
      </x:c>
      <x:c r="Z284" s="12" t="str">
        <x:f>IF($V284&lt;&gt;"",$V284,$O284)</x:f>
        <x:v>RVX Acceleration Foundations</x:v>
      </x:c>
      <x:c r="AA284" s="12"/>
    </x:row>
    <x:row r="285">
      <x:c r="A285" s="12" t="str">
        <x:v>RVX-00048</x:v>
      </x:c>
      <x:c r="B285" s="12" t="str">
        <x:f>IFERROR(VLOOKUP($A285,Athlete_Profile!$A$2:$L$51,6,FALSE),"")</x:f>
        <x:v>Soccer</x:v>
      </x:c>
      <x:c r="C285" s="12" t="str">
        <x:f>IFERROR(VLOOKUP($A285,Athlete_Profile!$A$2:$L$51,5,FALSE),"")</x:f>
        <x:v>Male</x:v>
      </x:c>
      <x:c r="D285" s="12" t="str">
        <x:v>sprint_10m</x:v>
      </x:c>
      <x:c r="E285" s="12" t="str">
        <x:f>IFERROR(VLOOKUP($D285,Dropdown_Lists!$K$2:$N$7,2,FALSE),"")</x:f>
        <x:v>10m Sprint</x:v>
      </x:c>
      <x:c r="F285" s="12" t="str">
        <x:f>IFERROR(VLOOKUP($D285,Dropdown_Lists!$K$2:$N$7,3,FALSE),"")</x:f>
        <x:v>lower</x:v>
      </x:c>
      <x:c r="G285" s="17" t="n">
        <x:f>IFERROR(LOOKUP(2,1/((Performance_Metrics!$A$2:$A$3000=$A285)*(Performance_Metrics!$D$2:$D$3000=$D285)),Performance_Metrics!$C$2:$C$3000),"")</x:f>
        <x:v>46230</x:v>
      </x:c>
      <x:c r="H285" s="12" t="n">
        <x:f>IFERROR(LOOKUP(2,1/((Performance_Metrics!$A$2:$A$3000=$A285)*(Performance_Metrics!$D$2:$D$3000=$D285)),Performance_Metrics!$G$2:$G$3000),"")</x:f>
        <x:v>1.93</x:v>
      </x:c>
      <x:c r="I285" s="12" t="n">
        <x:f>IFERROR(SUMIFS(Normative_Data!$G$2:$G$1000,Normative_Data!$A$2:$A$1000,$B285,Normative_Data!$B$2:$B$1000,$C285,Normative_Data!$E$2:$E$1000,$D285),"")</x:f>
        <x:v>1.83</x:v>
      </x:c>
      <x:c r="J285" s="18" t="n">
        <x:f>IF(OR($H285="",$I285=""),"",($H285-$I285)/$I285)</x:f>
        <x:v>0.05464480874316932</x:v>
      </x:c>
      <x:c r="K285" s="12" t="str">
        <x:f>IF(OR($H285="",$I285="",$F285=""),"",IF(ABS($J285)&lt;=0.05,"Equal to Norm",IF($F285="lower",IF($H285&lt;$I285,"Above Norm","Below Norm"),IF($H285&gt;$I285,"Above Norm","Below Norm"))))</x:f>
        <x:v>Below Norm</x:v>
      </x:c>
      <x:c r="L285" s="12" t="str">
        <x:f>IFERROR(VLOOKUP($D285&amp;"|"&amp;$K285,Recommendation_Lookup!$A$2:$H$19,2,FALSE),"")</x:f>
        <x:v>Develop 0–10 m speed</x:v>
      </x:c>
      <x:c r="M285" s="12" t="str">
        <x:f>IFERROR(VLOOKUP($D285&amp;"|"&amp;$K285,Recommendation_Lookup!$A$2:$H$19,3,FALSE),"")</x:f>
        <x:v>Relative strength; first-step mechanics; force application; acceleration endurance</x:v>
      </x:c>
      <x:c r="N285" s="12" t="str">
        <x:f>IFERROR(VLOOKUP($D285&amp;"|"&amp;$K285,Recommendation_Lookup!$A$2:$H$19,4,FALSE),"")</x:f>
        <x:v>Use a foundational acceleration block paired with strength development. Limit sprint distances initially and improve the quality of each step before adding volume.</x:v>
      </x:c>
      <x:c r="O285" s="12" t="str">
        <x:f>IFERROR(VLOOKUP($D285&amp;"|"&amp;$K285,Recommendation_Lookup!$A$2:$H$19,5,FALSE),"")</x:f>
        <x:v>RVX Acceleration Foundations</x:v>
      </x:c>
      <x:c r="P285" s="12" t="str">
        <x:f>IFERROR(VLOOKUP($D285&amp;"|"&amp;$K285,Recommendation_Lookup!$A$2:$H$19,6,FALSE),"")</x:f>
        <x:v>RVX Relative Strength Builder</x:v>
      </x:c>
      <x:c r="Q285" s="12" t="str">
        <x:f>IFERROR(VLOOKUP($D285&amp;"|"&amp;$K285,Recommendation_Lookup!$A$2:$H$19,7,FALSE),"")</x:f>
        <x:v>Push longer, maintain posture and create force in the correct direction.</x:v>
      </x:c>
      <x:c r="R285" s="12" t="str">
        <x:f>IFERROR(VLOOKUP($D285&amp;"|"&amp;$K285,Recommendation_Lookup!$A$2:$H$19,8,FALSE),"")</x:f>
        <x:v>Retest in 4 weeks and compare 5 m versus 10 m split changes.</x:v>
      </x:c>
      <x:c r="S285" s="12"/>
      <x:c r="T285" s="12"/>
      <x:c r="U285" s="12"/>
      <x:c r="V285" s="12"/>
      <x:c r="W285" s="12" t="str">
        <x:f>IF($S285&lt;&gt;"",$S285,$K285)</x:f>
        <x:v>Below Norm</x:v>
      </x:c>
      <x:c r="X285" s="12" t="str">
        <x:f>IF($T285&lt;&gt;"",$T285,$L285)</x:f>
        <x:v>Develop 0–10 m speed</x:v>
      </x:c>
      <x:c r="Y285" s="12" t="str">
        <x:f>IF($U285&lt;&gt;"",$U285,$N285)</x:f>
        <x:v>Use a foundational acceleration block paired with strength development. Limit sprint distances initially and improve the quality of each step before adding volume.</x:v>
      </x:c>
      <x:c r="Z285" s="12" t="str">
        <x:f>IF($V285&lt;&gt;"",$V285,$O285)</x:f>
        <x:v>RVX Acceleration Foundations</x:v>
      </x:c>
      <x:c r="AA285" s="12"/>
    </x:row>
    <x:row r="286">
      <x:c r="A286" s="12" t="str">
        <x:v>RVX-00048</x:v>
      </x:c>
      <x:c r="B286" s="12" t="str">
        <x:f>IFERROR(VLOOKUP($A286,Athlete_Profile!$A$2:$L$51,6,FALSE),"")</x:f>
        <x:v>Soccer</x:v>
      </x:c>
      <x:c r="C286" s="12" t="str">
        <x:f>IFERROR(VLOOKUP($A286,Athlete_Profile!$A$2:$L$51,5,FALSE),"")</x:f>
        <x:v>Male</x:v>
      </x:c>
      <x:c r="D286" s="12" t="str">
        <x:v>pro_agility</x:v>
      </x:c>
      <x:c r="E286" s="12" t="str">
        <x:f>IFERROR(VLOOKUP($D286,Dropdown_Lists!$K$2:$N$7,2,FALSE),"")</x:f>
        <x:v>5-10-5 Pro Agility</x:v>
      </x:c>
      <x:c r="F286" s="12" t="str">
        <x:f>IFERROR(VLOOKUP($D286,Dropdown_Lists!$K$2:$N$7,3,FALSE),"")</x:f>
        <x:v>lower</x:v>
      </x:c>
      <x:c r="G286" s="17" t="n">
        <x:f>IFERROR(LOOKUP(2,1/((Performance_Metrics!$A$2:$A$3000=$A286)*(Performance_Metrics!$D$2:$D$3000=$D286)),Performance_Metrics!$C$2:$C$3000),"")</x:f>
        <x:v>46230</x:v>
      </x:c>
      <x:c r="H286" s="12" t="n">
        <x:f>IFERROR(LOOKUP(2,1/((Performance_Metrics!$A$2:$A$3000=$A286)*(Performance_Metrics!$D$2:$D$3000=$D286)),Performance_Metrics!$G$2:$G$3000),"")</x:f>
        <x:v>4.93</x:v>
      </x:c>
      <x:c r="I286" s="12" t="n">
        <x:f>IFERROR(SUMIFS(Normative_Data!$G$2:$G$1000,Normative_Data!$A$2:$A$1000,$B286,Normative_Data!$B$2:$B$1000,$C286,Normative_Data!$E$2:$E$1000,$D286),"")</x:f>
        <x:v>4.7</x:v>
      </x:c>
      <x:c r="J286" s="18" t="n">
        <x:f>IF(OR($H286="",$I286=""),"",($H286-$I286)/$I286)</x:f>
        <x:v>0.048936170212765855</x:v>
      </x:c>
      <x:c r="K286" s="12" t="str">
        <x:f>IF(OR($H286="",$I286="",$F286=""),"",IF(ABS($J286)&lt;=0.05,"Equal to Norm",IF($F286="lower",IF($H286&lt;$I286,"Above Norm","Below Norm"),IF($H286&gt;$I286,"Above Norm","Below Norm"))))</x:f>
        <x:v>Equal to Norm</x:v>
      </x:c>
      <x:c r="L286" s="12" t="str">
        <x:f>IFERROR(VLOOKUP($D286&amp;"|"&amp;$K286,Recommendation_Lookup!$A$2:$H$19,2,FALSE),"")</x:f>
        <x:v>Improve braking and re-acceleration</x:v>
      </x:c>
      <x:c r="M286" s="12" t="str">
        <x:f>IFERROR(VLOOKUP($D286&amp;"|"&amp;$K286,Recommendation_Lookup!$A$2:$H$19,3,FALSE),"")</x:f>
        <x:v>Deceleration mechanics; foot placement; hip position; crossover efficiency</x:v>
      </x:c>
      <x:c r="N286" s="12" t="str">
        <x:f>IFERROR(VLOOKUP($D286&amp;"|"&amp;$K286,Recommendation_Lookup!$A$2:$H$19,4,FALSE),"")</x:f>
        <x:v>Use a structured change-of-direction block emphasizing braking positions, plant-foot control and efficient re-acceleration on both sides.</x:v>
      </x:c>
      <x:c r="O286" s="12" t="str">
        <x:f>IFERROR(VLOOKUP($D286&amp;"|"&amp;$K286,Recommendation_Lookup!$A$2:$H$19,5,FALSE),"")</x:f>
        <x:v>RVX Change of Direction Development</x:v>
      </x:c>
      <x:c r="P286" s="12" t="str">
        <x:f>IFERROR(VLOOKUP($D286&amp;"|"&amp;$K286,Recommendation_Lookup!$A$2:$H$19,6,FALSE),"")</x:f>
        <x:v>RVX Deceleration Mechanics</x:v>
      </x:c>
      <x:c r="Q286" s="12" t="str">
        <x:f>IFERROR(VLOOKUP($D286&amp;"|"&amp;$K286,Recommendation_Lookup!$A$2:$H$19,7,FALSE),"")</x:f>
        <x:v>Lower the centre of mass before the turn and push away from the plant.</x:v>
      </x:c>
      <x:c r="R286" s="12" t="str">
        <x:f>IFERROR(VLOOKUP($D286&amp;"|"&amp;$K286,Recommendation_Lookup!$A$2:$H$19,8,FALSE),"")</x:f>
        <x:v>Retest after 4–6 weeks and review directional splits if available.</x:v>
      </x:c>
      <x:c r="S286" s="12"/>
      <x:c r="T286" s="12"/>
      <x:c r="U286" s="12"/>
      <x:c r="V286" s="12"/>
      <x:c r="W286" s="12" t="str">
        <x:f>IF($S286&lt;&gt;"",$S286,$K286)</x:f>
        <x:v>Equal to Norm</x:v>
      </x:c>
      <x:c r="X286" s="12" t="str">
        <x:f>IF($T286&lt;&gt;"",$T286,$L286)</x:f>
        <x:v>Improve braking and re-acceleration</x:v>
      </x:c>
      <x:c r="Y286" s="12" t="str">
        <x:f>IF($U286&lt;&gt;"",$U286,$N286)</x:f>
        <x:v>Use a structured change-of-direction block emphasizing braking positions, plant-foot control and efficient re-acceleration on both sides.</x:v>
      </x:c>
      <x:c r="Z286" s="12" t="str">
        <x:f>IF($V286&lt;&gt;"",$V286,$O286)</x:f>
        <x:v>RVX Change of Direction Development</x:v>
      </x:c>
      <x:c r="AA286" s="12"/>
    </x:row>
    <x:row r="287">
      <x:c r="A287" s="12" t="str">
        <x:v>RVX-00048</x:v>
      </x:c>
      <x:c r="B287" s="12" t="str">
        <x:f>IFERROR(VLOOKUP($A287,Athlete_Profile!$A$2:$L$51,6,FALSE),"")</x:f>
        <x:v>Soccer</x:v>
      </x:c>
      <x:c r="C287" s="12" t="str">
        <x:f>IFERROR(VLOOKUP($A287,Athlete_Profile!$A$2:$L$51,5,FALSE),"")</x:f>
        <x:v>Male</x:v>
      </x:c>
      <x:c r="D287" s="12" t="str">
        <x:v>cmj_depth</x:v>
      </x:c>
      <x:c r="E287" s="12" t="str">
        <x:f>IFERROR(VLOOKUP($D287,Dropdown_Lists!$K$2:$N$7,2,FALSE),"")</x:f>
        <x:v>Countermovement Depth</x:v>
      </x:c>
      <x:c r="F287" s="12" t="str">
        <x:f>IFERROR(VLOOKUP($D287,Dropdown_Lists!$K$2:$N$7,3,FALSE),"")</x:f>
        <x:v>higher</x:v>
      </x:c>
      <x:c r="G287" s="17" t="n">
        <x:f>IFERROR(LOOKUP(2,1/((Performance_Metrics!$A$2:$A$3000=$A287)*(Performance_Metrics!$D$2:$D$3000=$D287)),Performance_Metrics!$C$2:$C$3000),"")</x:f>
        <x:v>46230</x:v>
      </x:c>
      <x:c r="H287" s="12" t="n">
        <x:f>IFERROR(LOOKUP(2,1/((Performance_Metrics!$A$2:$A$3000=$A287)*(Performance_Metrics!$D$2:$D$3000=$D287)),Performance_Metrics!$G$2:$G$3000),"")</x:f>
        <x:v>30.3</x:v>
      </x:c>
      <x:c r="I287" s="12" t="n">
        <x:f>IFERROR(SUMIFS(Normative_Data!$G$2:$G$1000,Normative_Data!$A$2:$A$1000,$B287,Normative_Data!$B$2:$B$1000,$C287,Normative_Data!$E$2:$E$1000,$D287),"")</x:f>
        <x:v>31.35</x:v>
      </x:c>
      <x:c r="J287" s="18" t="n">
        <x:f>IF(OR($H287="",$I287=""),"",($H287-$I287)/$I287)</x:f>
        <x:v>-0.0334928229665072</x:v>
      </x:c>
      <x:c r="K287" s="12" t="str">
        <x:f>IF(OR($H287="",$I287="",$F287=""),"",IF(ABS($J287)&lt;=0.05,"Equal to Norm",IF($F287="lower",IF($H287&lt;$I287,"Above Norm","Below Norm"),IF($H287&gt;$I287,"Above Norm","Below Norm"))))</x:f>
        <x:v>Equal to Norm</x:v>
      </x:c>
      <x:c r="L287" s="12" t="str">
        <x:f>IFERROR(VLOOKUP($D287&amp;"|"&amp;$K287,Recommendation_Lookup!$A$2:$H$19,2,FALSE),"")</x:f>
        <x:v>Optimize countermovement strategy</x:v>
      </x:c>
      <x:c r="M287" s="12" t="str">
        <x:f>IFERROR(VLOOKUP($D287&amp;"|"&amp;$K287,Recommendation_Lookup!$A$2:$H$19,3,FALSE),"")</x:f>
        <x:v>Eccentric control; trunk position; reversal timing; mobility</x:v>
      </x:c>
      <x:c r="N287" s="12" t="str">
        <x:f>IFERROR(VLOOKUP($D287&amp;"|"&amp;$K287,Recommendation_Lookup!$A$2:$H$19,4,FALSE),"")</x:f>
        <x:v>Use controlled countermovement drills and landing-to-jump progressions. Determine whether additional or reduced depth improves the athlete’s overall jump output.</x:v>
      </x:c>
      <x:c r="O287" s="12" t="str">
        <x:f>IFERROR(VLOOKUP($D287&amp;"|"&amp;$K287,Recommendation_Lookup!$A$2:$H$19,5,FALSE),"")</x:f>
        <x:v>RVX Jump Mechanics</x:v>
      </x:c>
      <x:c r="P287" s="12" t="str">
        <x:f>IFERROR(VLOOKUP($D287&amp;"|"&amp;$K287,Recommendation_Lookup!$A$2:$H$19,6,FALSE),"")</x:f>
        <x:v>RVX Eccentric Control</x:v>
      </x:c>
      <x:c r="Q287" s="12" t="str">
        <x:f>IFERROR(VLOOKUP($D287&amp;"|"&amp;$K287,Recommendation_Lookup!$A$2:$H$19,7,FALSE),"")</x:f>
        <x:v>Sit into the movement under control and reverse without losing posture.</x:v>
      </x:c>
      <x:c r="R287" s="12" t="str">
        <x:f>IFERROR(VLOOKUP($D287&amp;"|"&amp;$K287,Recommendation_Lookup!$A$2:$H$19,8,FALSE),"")</x:f>
        <x:v>Retest after 4–6 weeks with jump height and impulse reviewed together.</x:v>
      </x:c>
      <x:c r="S287" s="12"/>
      <x:c r="T287" s="12"/>
      <x:c r="U287" s="12"/>
      <x:c r="V287" s="12"/>
      <x:c r="W287" s="12" t="str">
        <x:f>IF($S287&lt;&gt;"",$S287,$K287)</x:f>
        <x:v>Equal to Norm</x:v>
      </x:c>
      <x:c r="X287" s="12" t="str">
        <x:f>IF($T287&lt;&gt;"",$T287,$L287)</x:f>
        <x:v>Optimize countermovement strategy</x:v>
      </x:c>
      <x:c r="Y287" s="12" t="str">
        <x:f>IF($U287&lt;&gt;"",$U287,$N287)</x:f>
        <x:v>Use controlled countermovement drills and landing-to-jump progressions. Determine whether additional or reduced depth improves the athlete’s overall jump output.</x:v>
      </x:c>
      <x:c r="Z287" s="12" t="str">
        <x:f>IF($V287&lt;&gt;"",$V287,$O287)</x:f>
        <x:v>RVX Jump Mechanics</x:v>
      </x:c>
      <x:c r="AA287" s="12"/>
    </x:row>
    <x:row r="288">
      <x:c r="A288" s="12" t="str">
        <x:v>RVX-00048</x:v>
      </x:c>
      <x:c r="B288" s="12" t="str">
        <x:f>IFERROR(VLOOKUP($A288,Athlete_Profile!$A$2:$L$51,6,FALSE),"")</x:f>
        <x:v>Soccer</x:v>
      </x:c>
      <x:c r="C288" s="12" t="str">
        <x:f>IFERROR(VLOOKUP($A288,Athlete_Profile!$A$2:$L$51,5,FALSE),"")</x:f>
        <x:v>Male</x:v>
      </x:c>
      <x:c r="D288" s="12" t="str">
        <x:v>peak_force</x:v>
      </x:c>
      <x:c r="E288" s="12" t="str">
        <x:f>IFERROR(VLOOKUP($D288,Dropdown_Lists!$K$2:$N$7,2,FALSE),"")</x:f>
        <x:v>Peak Force</x:v>
      </x:c>
      <x:c r="F288" s="12" t="str">
        <x:f>IFERROR(VLOOKUP($D288,Dropdown_Lists!$K$2:$N$7,3,FALSE),"")</x:f>
        <x:v>higher</x:v>
      </x:c>
      <x:c r="G288" s="17" t="n">
        <x:f>IFERROR(LOOKUP(2,1/((Performance_Metrics!$A$2:$A$3000=$A288)*(Performance_Metrics!$D$2:$D$3000=$D288)),Performance_Metrics!$C$2:$C$3000),"")</x:f>
        <x:v>46230</x:v>
      </x:c>
      <x:c r="H288" s="12" t="n">
        <x:f>IFERROR(LOOKUP(2,1/((Performance_Metrics!$A$2:$A$3000=$A288)*(Performance_Metrics!$D$2:$D$3000=$D288)),Performance_Metrics!$G$2:$G$3000),"")</x:f>
        <x:v>1704</x:v>
      </x:c>
      <x:c r="I288" s="12" t="n">
        <x:f>IFERROR(SUMIFS(Normative_Data!$G$2:$G$1000,Normative_Data!$A$2:$A$1000,$B288,Normative_Data!$B$2:$B$1000,$C288,Normative_Data!$E$2:$E$1000,$D288),"")</x:f>
        <x:v>1828.75</x:v>
      </x:c>
      <x:c r="J288" s="18" t="n">
        <x:f>IF(OR($H288="",$I288=""),"",($H288-$I288)/$I288)</x:f>
        <x:v>-0.06821599453178401</x:v>
      </x:c>
      <x:c r="K288" s="12" t="str">
        <x:f>IF(OR($H288="",$I288="",$F288=""),"",IF(ABS($J288)&lt;=0.05,"Equal to Norm",IF($F288="lower",IF($H288&lt;$I288,"Above Norm","Below Norm"),IF($H288&gt;$I288,"Above Norm","Below Norm"))))</x:f>
        <x:v>Below Norm</x:v>
      </x:c>
      <x:c r="L288" s="12" t="str">
        <x:f>IFERROR(VLOOKUP($D288&amp;"|"&amp;$K288,Recommendation_Lookup!$A$2:$H$19,2,FALSE),"")</x:f>
        <x:v>Build foundational force production</x:v>
      </x:c>
      <x:c r="M288" s="12" t="str">
        <x:f>IFERROR(VLOOKUP($D288&amp;"|"&amp;$K288,Recommendation_Lookup!$A$2:$H$19,3,FALSE),"")</x:f>
        <x:v>Relative strength; technique; tendon capacity; trunk stability; unilateral strength</x:v>
      </x:c>
      <x:c r="N288" s="12" t="str">
        <x:f>IFERROR(VLOOKUP($D288&amp;"|"&amp;$K288,Recommendation_Lookup!$A$2:$H$19,4,FALSE),"")</x:f>
        <x:v>Prioritize foundational strength and positional competency. Use progressive resistance, isometrics and unilateral patterns before advanced power methods.</x:v>
      </x:c>
      <x:c r="O288" s="12" t="str">
        <x:f>IFERROR(VLOOKUP($D288&amp;"|"&amp;$K288,Recommendation_Lookup!$A$2:$H$19,5,FALSE),"")</x:f>
        <x:v>RVX Strength Foundations</x:v>
      </x:c>
      <x:c r="P288" s="12" t="str">
        <x:f>IFERROR(VLOOKUP($D288&amp;"|"&amp;$K288,Recommendation_Lookup!$A$2:$H$19,6,FALSE),"")</x:f>
        <x:v>RVX Lower-Body Capacity</x:v>
      </x:c>
      <x:c r="Q288" s="12" t="str">
        <x:f>IFERROR(VLOOKUP($D288&amp;"|"&amp;$K288,Recommendation_Lookup!$A$2:$H$19,7,FALSE),"")</x:f>
        <x:v>Own the position first, then increase force with consistent intent.</x:v>
      </x:c>
      <x:c r="R288" s="12" t="str">
        <x:f>IFERROR(VLOOKUP($D288&amp;"|"&amp;$K288,Recommendation_Lookup!$A$2:$H$19,8,FALSE),"")</x:f>
        <x:v>Retest after 4–6 weeks; review body-mass-relative force when possible.</x:v>
      </x:c>
      <x:c r="S288" s="12"/>
      <x:c r="T288" s="12"/>
      <x:c r="U288" s="12"/>
      <x:c r="V288" s="12"/>
      <x:c r="W288" s="12" t="str">
        <x:f>IF($S288&lt;&gt;"",$S288,$K288)</x:f>
        <x:v>Below Norm</x:v>
      </x:c>
      <x:c r="X288" s="12" t="str">
        <x:f>IF($T288&lt;&gt;"",$T288,$L288)</x:f>
        <x:v>Build foundational force production</x:v>
      </x:c>
      <x:c r="Y288" s="12" t="str">
        <x:f>IF($U288&lt;&gt;"",$U288,$N288)</x:f>
        <x:v>Prioritize foundational strength and positional competency. Use progressive resistance, isometrics and unilateral patterns before advanced power methods.</x:v>
      </x:c>
      <x:c r="Z288" s="12" t="str">
        <x:f>IF($V288&lt;&gt;"",$V288,$O288)</x:f>
        <x:v>RVX Strength Foundations</x:v>
      </x:c>
      <x:c r="AA288" s="12"/>
    </x:row>
    <x:row r="289">
      <x:c r="A289" s="12" t="str">
        <x:v>RVX-00048</x:v>
      </x:c>
      <x:c r="B289" s="12" t="str">
        <x:f>IFERROR(VLOOKUP($A289,Athlete_Profile!$A$2:$L$51,6,FALSE),"")</x:f>
        <x:v>Soccer</x:v>
      </x:c>
      <x:c r="C289" s="12" t="str">
        <x:f>IFERROR(VLOOKUP($A289,Athlete_Profile!$A$2:$L$51,5,FALSE),"")</x:f>
        <x:v>Male</x:v>
      </x:c>
      <x:c r="D289" s="12" t="str">
        <x:v>impulse</x:v>
      </x:c>
      <x:c r="E289" s="12" t="str">
        <x:f>IFERROR(VLOOKUP($D289,Dropdown_Lists!$K$2:$N$7,2,FALSE),"")</x:f>
        <x:v>Impulse-Momentum</x:v>
      </x:c>
      <x:c r="F289" s="12" t="str">
        <x:f>IFERROR(VLOOKUP($D289,Dropdown_Lists!$K$2:$N$7,3,FALSE),"")</x:f>
        <x:v>higher</x:v>
      </x:c>
      <x:c r="G289" s="17" t="n">
        <x:f>IFERROR(LOOKUP(2,1/((Performance_Metrics!$A$2:$A$3000=$A289)*(Performance_Metrics!$D$2:$D$3000=$D289)),Performance_Metrics!$C$2:$C$3000),"")</x:f>
        <x:v>46230</x:v>
      </x:c>
      <x:c r="H289" s="12" t="n">
        <x:f>IFERROR(LOOKUP(2,1/((Performance_Metrics!$A$2:$A$3000=$A289)*(Performance_Metrics!$D$2:$D$3000=$D289)),Performance_Metrics!$G$2:$G$3000),"")</x:f>
        <x:v>212.4</x:v>
      </x:c>
      <x:c r="I289" s="12" t="n">
        <x:f>IFERROR(SUMIFS(Normative_Data!$G$2:$G$1000,Normative_Data!$A$2:$A$1000,$B289,Normative_Data!$B$2:$B$1000,$C289,Normative_Data!$E$2:$E$1000,$D289),"")</x:f>
        <x:v>224.68</x:v>
      </x:c>
      <x:c r="J289" s="18" t="n">
        <x:f>IF(OR($H289="",$I289=""),"",($H289-$I289)/$I289)</x:f>
        <x:v>-0.054655510058750224</x:v>
      </x:c>
      <x:c r="K289" s="12" t="str">
        <x:f>IF(OR($H289="",$I289="",$F289=""),"",IF(ABS($J289)&lt;=0.05,"Equal to Norm",IF($F289="lower",IF($H289&lt;$I289,"Above Norm","Below Norm"),IF($H289&gt;$I289,"Above Norm","Below Norm"))))</x:f>
        <x:v>Below Norm</x:v>
      </x:c>
      <x:c r="L289" s="12" t="str">
        <x:f>IFERROR(VLOOKUP($D289&amp;"|"&amp;$K289,Recommendation_Lookup!$A$2:$H$19,2,FALSE),"")</x:f>
        <x:v>Develop force-time capacity</x:v>
      </x:c>
      <x:c r="M289" s="12" t="str">
        <x:f>IFERROR(VLOOKUP($D289&amp;"|"&amp;$K289,Recommendation_Lookup!$A$2:$H$19,3,FALSE),"")</x:f>
        <x:v>Maximal strength; eccentric control; concentric force; movement coordination</x:v>
      </x:c>
      <x:c r="N289" s="12" t="str">
        <x:f>IFERROR(VLOOKUP($D289&amp;"|"&amp;$K289,Recommendation_Lookup!$A$2:$H$19,4,FALSE),"")</x:f>
        <x:v>Build foundational force production before progressing to advanced plyometrics. Pair strength work with controlled jumps and explosive intent at appropriate loads.</x:v>
      </x:c>
      <x:c r="O289" s="12" t="str">
        <x:f>IFERROR(VLOOKUP($D289&amp;"|"&amp;$K289,Recommendation_Lookup!$A$2:$H$19,5,FALSE),"")</x:f>
        <x:v>RVX Power Foundations</x:v>
      </x:c>
      <x:c r="P289" s="12" t="str">
        <x:f>IFERROR(VLOOKUP($D289&amp;"|"&amp;$K289,Recommendation_Lookup!$A$2:$H$19,6,FALSE),"")</x:f>
        <x:v>RVX Strength Foundations</x:v>
      </x:c>
      <x:c r="Q289" s="12" t="str">
        <x:f>IFERROR(VLOOKUP($D289&amp;"|"&amp;$K289,Recommendation_Lookup!$A$2:$H$19,7,FALSE),"")</x:f>
        <x:v>Control the loading phase, then drive through the entire push with intent.</x:v>
      </x:c>
      <x:c r="R289" s="12" t="str">
        <x:f>IFERROR(VLOOKUP($D289&amp;"|"&amp;$K289,Recommendation_Lookup!$A$2:$H$19,8,FALSE),"")</x:f>
        <x:v>Retest after 4 weeks and review peak force, depth and movement time together.</x:v>
      </x:c>
      <x:c r="S289" s="12"/>
      <x:c r="T289" s="12"/>
      <x:c r="U289" s="12"/>
      <x:c r="V289" s="12"/>
      <x:c r="W289" s="12" t="str">
        <x:f>IF($S289&lt;&gt;"",$S289,$K289)</x:f>
        <x:v>Below Norm</x:v>
      </x:c>
      <x:c r="X289" s="12" t="str">
        <x:f>IF($T289&lt;&gt;"",$T289,$L289)</x:f>
        <x:v>Develop force-time capacity</x:v>
      </x:c>
      <x:c r="Y289" s="12" t="str">
        <x:f>IF($U289&lt;&gt;"",$U289,$N289)</x:f>
        <x:v>Build foundational force production before progressing to advanced plyometrics. Pair strength work with controlled jumps and explosive intent at appropriate loads.</x:v>
      </x:c>
      <x:c r="Z289" s="12" t="str">
        <x:f>IF($V289&lt;&gt;"",$V289,$O289)</x:f>
        <x:v>RVX Power Foundations</x:v>
      </x:c>
      <x:c r="AA289" s="12"/>
    </x:row>
    <x:row r="290">
      <x:c r="A290" s="12" t="str">
        <x:v>RVX-00049</x:v>
      </x:c>
      <x:c r="B290" s="12" t="str">
        <x:f>IFERROR(VLOOKUP($A290,Athlete_Profile!$A$2:$L$51,6,FALSE),"")</x:f>
        <x:v>Soccer</x:v>
      </x:c>
      <x:c r="C290" s="12" t="str">
        <x:f>IFERROR(VLOOKUP($A290,Athlete_Profile!$A$2:$L$51,5,FALSE),"")</x:f>
        <x:v>Female</x:v>
      </x:c>
      <x:c r="D290" s="12" t="str">
        <x:v>sprint_5m</x:v>
      </x:c>
      <x:c r="E290" s="12" t="str">
        <x:f>IFERROR(VLOOKUP($D290,Dropdown_Lists!$K$2:$N$7,2,FALSE),"")</x:f>
        <x:v>5m Sprint</x:v>
      </x:c>
      <x:c r="F290" s="12" t="str">
        <x:f>IFERROR(VLOOKUP($D290,Dropdown_Lists!$K$2:$N$7,3,FALSE),"")</x:f>
        <x:v>lower</x:v>
      </x:c>
      <x:c r="G290" s="17" t="n">
        <x:f>IFERROR(LOOKUP(2,1/((Performance_Metrics!$A$2:$A$3000=$A290)*(Performance_Metrics!$D$2:$D$3000=$D290)),Performance_Metrics!$C$2:$C$3000),"")</x:f>
        <x:v>46230</x:v>
      </x:c>
      <x:c r="H290" s="12" t="n">
        <x:f>IFERROR(LOOKUP(2,1/((Performance_Metrics!$A$2:$A$3000=$A290)*(Performance_Metrics!$D$2:$D$3000=$D290)),Performance_Metrics!$G$2:$G$3000),"")</x:f>
        <x:v>0.96</x:v>
      </x:c>
      <x:c r="I290" s="12" t="n">
        <x:f>IFERROR(SUMIFS(Normative_Data!$G$2:$G$1000,Normative_Data!$A$2:$A$1000,$B290,Normative_Data!$B$2:$B$1000,$C290,Normative_Data!$E$2:$E$1000,$D290),"")</x:f>
        <x:v>1.14</x:v>
      </x:c>
      <x:c r="J290" s="18" t="n">
        <x:f>IF(OR($H290="",$I290=""),"",($H290-$I290)/$I290)</x:f>
        <x:v>-0.15789473684210523</x:v>
      </x:c>
      <x:c r="K290" s="12" t="str">
        <x:f>IF(OR($H290="",$I290="",$F290=""),"",IF(ABS($J290)&lt;=0.05,"Equal to Norm",IF($F290="lower",IF($H290&lt;$I290,"Above Norm","Below Norm"),IF($H290&gt;$I290,"Above Norm","Below Norm"))))</x:f>
        <x:v>Above Norm</x:v>
      </x:c>
      <x:c r="L290" s="12" t="str">
        <x:f>IFERROR(VLOOKUP($D290&amp;"|"&amp;$K290,Recommendation_Lookup!$A$2:$H$19,2,FALSE),"")</x:f>
        <x:v>Maintain first-step explosiveness</x:v>
      </x:c>
      <x:c r="M290" s="12" t="str">
        <x:f>IFERROR(VLOOKUP($D290&amp;"|"&amp;$K290,Recommendation_Lookup!$A$2:$H$19,3,FALSE),"")</x:f>
        <x:v>Start consistency; projection angle; horizontal force; reaction quality</x:v>
      </x:c>
      <x:c r="N290" s="12" t="str">
        <x:f>IFERROR(VLOOKUP($D290&amp;"|"&amp;$K290,Recommendation_Lookup!$A$2:$H$19,4,FALSE),"")</x:f>
        <x:v>Maintain speed with low-volume, high-quality acceleration exposures. Avoid unnecessary volume that could reduce sprint quality. Progress through resisted and reactive starts while preserving mechanics.</x:v>
      </x:c>
      <x:c r="O290" s="12" t="str">
        <x:f>IFERROR(VLOOKUP($D290&amp;"|"&amp;$K290,Recommendation_Lookup!$A$2:$H$19,5,FALSE),"")</x:f>
        <x:v>RVX Advanced Acceleration</x:v>
      </x:c>
      <x:c r="P290" s="12" t="str">
        <x:f>IFERROR(VLOOKUP($D290&amp;"|"&amp;$K290,Recommendation_Lookup!$A$2:$H$19,6,FALSE),"")</x:f>
        <x:v>RVX Explosive Starts Microdose</x:v>
      </x:c>
      <x:c r="Q290" s="12" t="str">
        <x:f>IFERROR(VLOOKUP($D290&amp;"|"&amp;$K290,Recommendation_Lookup!$A$2:$H$19,7,FALSE),"")</x:f>
        <x:v>Project forward, push the ground back, and win the first three steps.</x:v>
      </x:c>
      <x:c r="R290" s="12" t="str">
        <x:f>IFERROR(VLOOKUP($D290&amp;"|"&amp;$K290,Recommendation_Lookup!$A$2:$H$19,8,FALSE),"")</x:f>
        <x:v>Retest every 6–8 weeks or after a dedicated acceleration block.</x:v>
      </x:c>
      <x:c r="S290" s="12"/>
      <x:c r="T290" s="12"/>
      <x:c r="U290" s="12"/>
      <x:c r="V290" s="12"/>
      <x:c r="W290" s="12" t="str">
        <x:f>IF($S290&lt;&gt;"",$S290,$K290)</x:f>
        <x:v>Above Norm</x:v>
      </x:c>
      <x:c r="X290" s="12" t="str">
        <x:f>IF($T290&lt;&gt;"",$T290,$L290)</x:f>
        <x:v>Maintain first-step explosiveness</x:v>
      </x:c>
      <x:c r="Y290" s="12" t="str">
        <x:f>IF($U290&lt;&gt;"",$U290,$N290)</x:f>
        <x:v>Maintain speed with low-volume, high-quality acceleration exposures. Avoid unnecessary volume that could reduce sprint quality. Progress through resisted and reactive starts while preserving mechanics.</x:v>
      </x:c>
      <x:c r="Z290" s="12" t="str">
        <x:f>IF($V290&lt;&gt;"",$V290,$O290)</x:f>
        <x:v>RVX Advanced Acceleration</x:v>
      </x:c>
      <x:c r="AA290" s="12"/>
    </x:row>
    <x:row r="291">
      <x:c r="A291" s="12" t="str">
        <x:v>RVX-00049</x:v>
      </x:c>
      <x:c r="B291" s="12" t="str">
        <x:f>IFERROR(VLOOKUP($A291,Athlete_Profile!$A$2:$L$51,6,FALSE),"")</x:f>
        <x:v>Soccer</x:v>
      </x:c>
      <x:c r="C291" s="12" t="str">
        <x:f>IFERROR(VLOOKUP($A291,Athlete_Profile!$A$2:$L$51,5,FALSE),"")</x:f>
        <x:v>Female</x:v>
      </x:c>
      <x:c r="D291" s="12" t="str">
        <x:v>sprint_10m</x:v>
      </x:c>
      <x:c r="E291" s="12" t="str">
        <x:f>IFERROR(VLOOKUP($D291,Dropdown_Lists!$K$2:$N$7,2,FALSE),"")</x:f>
        <x:v>10m Sprint</x:v>
      </x:c>
      <x:c r="F291" s="12" t="str">
        <x:f>IFERROR(VLOOKUP($D291,Dropdown_Lists!$K$2:$N$7,3,FALSE),"")</x:f>
        <x:v>lower</x:v>
      </x:c>
      <x:c r="G291" s="17" t="n">
        <x:f>IFERROR(LOOKUP(2,1/((Performance_Metrics!$A$2:$A$3000=$A291)*(Performance_Metrics!$D$2:$D$3000=$D291)),Performance_Metrics!$C$2:$C$3000),"")</x:f>
        <x:v>46230</x:v>
      </x:c>
      <x:c r="H291" s="12" t="n">
        <x:f>IFERROR(LOOKUP(2,1/((Performance_Metrics!$A$2:$A$3000=$A291)*(Performance_Metrics!$D$2:$D$3000=$D291)),Performance_Metrics!$G$2:$G$3000),"")</x:f>
        <x:v>1.6</x:v>
      </x:c>
      <x:c r="I291" s="12" t="n">
        <x:f>IFERROR(SUMIFS(Normative_Data!$G$2:$G$1000,Normative_Data!$A$2:$A$1000,$B291,Normative_Data!$B$2:$B$1000,$C291,Normative_Data!$E$2:$E$1000,$D291),"")</x:f>
        <x:v>1.91</x:v>
      </x:c>
      <x:c r="J291" s="18" t="n">
        <x:f>IF(OR($H291="",$I291=""),"",($H291-$I291)/$I291)</x:f>
        <x:v>-0.1623036649214659</x:v>
      </x:c>
      <x:c r="K291" s="12" t="str">
        <x:f>IF(OR($H291="",$I291="",$F291=""),"",IF(ABS($J291)&lt;=0.05,"Equal to Norm",IF($F291="lower",IF($H291&lt;$I291,"Above Norm","Below Norm"),IF($H291&gt;$I291,"Above Norm","Below Norm"))))</x:f>
        <x:v>Above Norm</x:v>
      </x:c>
      <x:c r="L291" s="12" t="str">
        <x:f>IFERROR(VLOOKUP($D291&amp;"|"&amp;$K291,Recommendation_Lookup!$A$2:$H$19,2,FALSE),"")</x:f>
        <x:v>Maintain acceleration through 10 m</x:v>
      </x:c>
      <x:c r="M291" s="12" t="str">
        <x:f>IFERROR(VLOOKUP($D291&amp;"|"&amp;$K291,Recommendation_Lookup!$A$2:$H$19,3,FALSE),"")</x:f>
        <x:v>Transition mechanics; stride rhythm; stiffness; repeatability</x:v>
      </x:c>
      <x:c r="N291" s="12" t="str">
        <x:f>IFERROR(VLOOKUP($D291&amp;"|"&amp;$K291,Recommendation_Lookup!$A$2:$H$19,4,FALSE),"")</x:f>
        <x:v>Maintain one to two weekly high-quality acceleration exposures. Add varied starts and light resistance while monitoring consistency across trials.</x:v>
      </x:c>
      <x:c r="O291" s="12" t="str">
        <x:f>IFERROR(VLOOKUP($D291&amp;"|"&amp;$K291,Recommendation_Lookup!$A$2:$H$19,5,FALSE),"")</x:f>
        <x:v>RVX Advanced Acceleration</x:v>
      </x:c>
      <x:c r="P291" s="12" t="str">
        <x:f>IFERROR(VLOOKUP($D291&amp;"|"&amp;$K291,Recommendation_Lookup!$A$2:$H$19,6,FALSE),"")</x:f>
        <x:v>RVX Speed Maintenance Microdose</x:v>
      </x:c>
      <x:c r="Q291" s="12" t="str">
        <x:f>IFERROR(VLOOKUP($D291&amp;"|"&amp;$K291,Recommendation_Lookup!$A$2:$H$19,7,FALSE),"")</x:f>
        <x:v>Stay patient through acceleration and keep pushing behind the body.</x:v>
      </x:c>
      <x:c r="R291" s="12" t="str">
        <x:f>IFERROR(VLOOKUP($D291&amp;"|"&amp;$K291,Recommendation_Lookup!$A$2:$H$19,8,FALSE),"")</x:f>
        <x:v>Retest every 6–8 weeks or after a speed block.</x:v>
      </x:c>
      <x:c r="S291" s="12"/>
      <x:c r="T291" s="12"/>
      <x:c r="U291" s="12"/>
      <x:c r="V291" s="12"/>
      <x:c r="W291" s="12" t="str">
        <x:f>IF($S291&lt;&gt;"",$S291,$K291)</x:f>
        <x:v>Above Norm</x:v>
      </x:c>
      <x:c r="X291" s="12" t="str">
        <x:f>IF($T291&lt;&gt;"",$T291,$L291)</x:f>
        <x:v>Maintain acceleration through 10 m</x:v>
      </x:c>
      <x:c r="Y291" s="12" t="str">
        <x:f>IF($U291&lt;&gt;"",$U291,$N291)</x:f>
        <x:v>Maintain one to two weekly high-quality acceleration exposures. Add varied starts and light resistance while monitoring consistency across trials.</x:v>
      </x:c>
      <x:c r="Z291" s="12" t="str">
        <x:f>IF($V291&lt;&gt;"",$V291,$O291)</x:f>
        <x:v>RVX Advanced Acceleration</x:v>
      </x:c>
      <x:c r="AA291" s="12"/>
    </x:row>
    <x:row r="292">
      <x:c r="A292" s="12" t="str">
        <x:v>RVX-00049</x:v>
      </x:c>
      <x:c r="B292" s="12" t="str">
        <x:f>IFERROR(VLOOKUP($A292,Athlete_Profile!$A$2:$L$51,6,FALSE),"")</x:f>
        <x:v>Soccer</x:v>
      </x:c>
      <x:c r="C292" s="12" t="str">
        <x:f>IFERROR(VLOOKUP($A292,Athlete_Profile!$A$2:$L$51,5,FALSE),"")</x:f>
        <x:v>Female</x:v>
      </x:c>
      <x:c r="D292" s="12" t="str">
        <x:v>pro_agility</x:v>
      </x:c>
      <x:c r="E292" s="12" t="str">
        <x:f>IFERROR(VLOOKUP($D292,Dropdown_Lists!$K$2:$N$7,2,FALSE),"")</x:f>
        <x:v>5-10-5 Pro Agility</x:v>
      </x:c>
      <x:c r="F292" s="12" t="str">
        <x:f>IFERROR(VLOOKUP($D292,Dropdown_Lists!$K$2:$N$7,3,FALSE),"")</x:f>
        <x:v>lower</x:v>
      </x:c>
      <x:c r="G292" s="17" t="n">
        <x:f>IFERROR(LOOKUP(2,1/((Performance_Metrics!$A$2:$A$3000=$A292)*(Performance_Metrics!$D$2:$D$3000=$D292)),Performance_Metrics!$C$2:$C$3000),"")</x:f>
        <x:v>46230</x:v>
      </x:c>
      <x:c r="H292" s="12" t="n">
        <x:f>IFERROR(LOOKUP(2,1/((Performance_Metrics!$A$2:$A$3000=$A292)*(Performance_Metrics!$D$2:$D$3000=$D292)),Performance_Metrics!$G$2:$G$3000),"")</x:f>
        <x:v>4.12</x:v>
      </x:c>
      <x:c r="I292" s="12" t="n">
        <x:f>IFERROR(SUMIFS(Normative_Data!$G$2:$G$1000,Normative_Data!$A$2:$A$1000,$B292,Normative_Data!$B$2:$B$1000,$C292,Normative_Data!$E$2:$E$1000,$D292),"")</x:f>
        <x:v>4.89</x:v>
      </x:c>
      <x:c r="J292" s="18" t="n">
        <x:f>IF(OR($H292="",$I292=""),"",($H292-$I292)/$I292)</x:f>
        <x:v>-0.15746421267893654</x:v>
      </x:c>
      <x:c r="K292" s="12" t="str">
        <x:f>IF(OR($H292="",$I292="",$F292=""),"",IF(ABS($J292)&lt;=0.05,"Equal to Norm",IF($F292="lower",IF($H292&lt;$I292,"Above Norm","Below Norm"),IF($H292&gt;$I292,"Above Norm","Below Norm"))))</x:f>
        <x:v>Above Norm</x:v>
      </x:c>
      <x:c r="L292" s="12" t="str">
        <x:f>IFERROR(VLOOKUP($D292&amp;"|"&amp;$K292,Recommendation_Lookup!$A$2:$H$19,2,FALSE),"")</x:f>
        <x:v>Maintain change-of-direction performance</x:v>
      </x:c>
      <x:c r="M292" s="12" t="str">
        <x:f>IFERROR(VLOOKUP($D292&amp;"|"&amp;$K292,Recommendation_Lookup!$A$2:$H$19,3,FALSE),"")</x:f>
        <x:v>Reactive decision-making; braking tolerance; bilateral symmetry; movement variability</x:v>
      </x:c>
      <x:c r="N292" s="12" t="str">
        <x:f>IFERROR(VLOOKUP($D292&amp;"|"&amp;$K292,Recommendation_Lookup!$A$2:$H$19,4,FALSE),"")</x:f>
        <x:v>Maintain planned change-of-direction work and progress toward reactive agility. Use low-volume, high-quality exposures with multiple starting and turning strategies.</x:v>
      </x:c>
      <x:c r="O292" s="12" t="str">
        <x:f>IFERROR(VLOOKUP($D292&amp;"|"&amp;$K292,Recommendation_Lookup!$A$2:$H$19,5,FALSE),"")</x:f>
        <x:v>RVX Advanced Change of Direction</x:v>
      </x:c>
      <x:c r="P292" s="12" t="str">
        <x:f>IFERROR(VLOOKUP($D292&amp;"|"&amp;$K292,Recommendation_Lookup!$A$2:$H$19,6,FALSE),"")</x:f>
        <x:v>RVX Reactive Agility</x:v>
      </x:c>
      <x:c r="Q292" s="12" t="str">
        <x:f>IFERROR(VLOOKUP($D292&amp;"|"&amp;$K292,Recommendation_Lookup!$A$2:$H$19,7,FALSE),"")</x:f>
        <x:v>Brake under control, own the plant and accelerate out immediately.</x:v>
      </x:c>
      <x:c r="R292" s="12" t="str">
        <x:f>IFERROR(VLOOKUP($D292&amp;"|"&amp;$K292,Recommendation_Lookup!$A$2:$H$19,8,FALSE),"")</x:f>
        <x:v>Retest every 6–8 weeks with left and right trial review.</x:v>
      </x:c>
      <x:c r="S292" s="12"/>
      <x:c r="T292" s="12"/>
      <x:c r="U292" s="12"/>
      <x:c r="V292" s="12"/>
      <x:c r="W292" s="12" t="str">
        <x:f>IF($S292&lt;&gt;"",$S292,$K292)</x:f>
        <x:v>Above Norm</x:v>
      </x:c>
      <x:c r="X292" s="12" t="str">
        <x:f>IF($T292&lt;&gt;"",$T292,$L292)</x:f>
        <x:v>Maintain change-of-direction performance</x:v>
      </x:c>
      <x:c r="Y292" s="12" t="str">
        <x:f>IF($U292&lt;&gt;"",$U292,$N292)</x:f>
        <x:v>Maintain planned change-of-direction work and progress toward reactive agility. Use low-volume, high-quality exposures with multiple starting and turning strategies.</x:v>
      </x:c>
      <x:c r="Z292" s="12" t="str">
        <x:f>IF($V292&lt;&gt;"",$V292,$O292)</x:f>
        <x:v>RVX Advanced Change of Direction</x:v>
      </x:c>
      <x:c r="AA292" s="12"/>
    </x:row>
    <x:row r="293">
      <x:c r="A293" s="12" t="str">
        <x:v>RVX-00049</x:v>
      </x:c>
      <x:c r="B293" s="12" t="str">
        <x:f>IFERROR(VLOOKUP($A293,Athlete_Profile!$A$2:$L$51,6,FALSE),"")</x:f>
        <x:v>Soccer</x:v>
      </x:c>
      <x:c r="C293" s="12" t="str">
        <x:f>IFERROR(VLOOKUP($A293,Athlete_Profile!$A$2:$L$51,5,FALSE),"")</x:f>
        <x:v>Female</x:v>
      </x:c>
      <x:c r="D293" s="12" t="str">
        <x:v>cmj_depth</x:v>
      </x:c>
      <x:c r="E293" s="12" t="str">
        <x:f>IFERROR(VLOOKUP($D293,Dropdown_Lists!$K$2:$N$7,2,FALSE),"")</x:f>
        <x:v>Countermovement Depth</x:v>
      </x:c>
      <x:c r="F293" s="12" t="str">
        <x:f>IFERROR(VLOOKUP($D293,Dropdown_Lists!$K$2:$N$7,3,FALSE),"")</x:f>
        <x:v>higher</x:v>
      </x:c>
      <x:c r="G293" s="17" t="n">
        <x:f>IFERROR(LOOKUP(2,1/((Performance_Metrics!$A$2:$A$3000=$A293)*(Performance_Metrics!$D$2:$D$3000=$D293)),Performance_Metrics!$C$2:$C$3000),"")</x:f>
        <x:v>46230</x:v>
      </x:c>
      <x:c r="H293" s="12" t="n">
        <x:f>IFERROR(LOOKUP(2,1/((Performance_Metrics!$A$2:$A$3000=$A293)*(Performance_Metrics!$D$2:$D$3000=$D293)),Performance_Metrics!$G$2:$G$3000),"")</x:f>
        <x:v>32.5</x:v>
      </x:c>
      <x:c r="I293" s="12" t="n">
        <x:f>IFERROR(SUMIFS(Normative_Data!$G$2:$G$1000,Normative_Data!$A$2:$A$1000,$B293,Normative_Data!$B$2:$B$1000,$C293,Normative_Data!$E$2:$E$1000,$D293),"")</x:f>
        <x:v>28.5</x:v>
      </x:c>
      <x:c r="J293" s="18" t="n">
        <x:f>IF(OR($H293="",$I293=""),"",($H293-$I293)/$I293)</x:f>
        <x:v>0.14035087719298245</x:v>
      </x:c>
      <x:c r="K293" s="12" t="str">
        <x:f>IF(OR($H293="",$I293="",$F293=""),"",IF(ABS($J293)&lt;=0.05,"Equal to Norm",IF($F293="lower",IF($H293&lt;$I293,"Above Norm","Below Norm"),IF($H293&gt;$I293,"Above Norm","Below Norm"))))</x:f>
        <x:v>Above Norm</x:v>
      </x:c>
      <x:c r="L293" s="12" t="str">
        <x:f>IFERROR(VLOOKUP($D293&amp;"|"&amp;$K293,Recommendation_Lookup!$A$2:$H$19,2,FALSE),"")</x:f>
        <x:v>Maintain effective countermovement strategy</x:v>
      </x:c>
      <x:c r="M293" s="12" t="str">
        <x:f>IFERROR(VLOOKUP($D293&amp;"|"&amp;$K293,Recommendation_Lookup!$A$2:$H$19,3,FALSE),"")</x:f>
        <x:v>Movement efficiency; eccentric control; jump consistency; depth-to-output relationship</x:v>
      </x:c>
      <x:c r="N293" s="12" t="str">
        <x:f>IFERROR(VLOOKUP($D293&amp;"|"&amp;$K293,Recommendation_Lookup!$A$2:$H$19,4,FALSE),"")</x:f>
        <x:v>Maintain the athlete’s preferred countermovement strategy while ensuring the additional depth contributes to force and impulse rather than excessive movement time.</x:v>
      </x:c>
      <x:c r="O293" s="12" t="str">
        <x:f>IFERROR(VLOOKUP($D293&amp;"|"&amp;$K293,Recommendation_Lookup!$A$2:$H$19,5,FALSE),"")</x:f>
        <x:v>RVX Jump Performance Advanced</x:v>
      </x:c>
      <x:c r="P293" s="12" t="str">
        <x:f>IFERROR(VLOOKUP($D293&amp;"|"&amp;$K293,Recommendation_Lookup!$A$2:$H$19,6,FALSE),"")</x:f>
        <x:v>RVX Eccentric Strength Microdose</x:v>
      </x:c>
      <x:c r="Q293" s="12" t="str">
        <x:f>IFERROR(VLOOKUP($D293&amp;"|"&amp;$K293,Recommendation_Lookup!$A$2:$H$19,7,FALSE),"")</x:f>
        <x:v>Use the depth you can control, then reverse quickly and aggressively.</x:v>
      </x:c>
      <x:c r="R293" s="12" t="str">
        <x:f>IFERROR(VLOOKUP($D293&amp;"|"&amp;$K293,Recommendation_Lookup!$A$2:$H$19,8,FALSE),"")</x:f>
        <x:v>Retest every 6–8 weeks while monitoring jump height and contraction time.</x:v>
      </x:c>
      <x:c r="S293" s="12"/>
      <x:c r="T293" s="12"/>
      <x:c r="U293" s="12"/>
      <x:c r="V293" s="12"/>
      <x:c r="W293" s="12" t="str">
        <x:f>IF($S293&lt;&gt;"",$S293,$K293)</x:f>
        <x:v>Above Norm</x:v>
      </x:c>
      <x:c r="X293" s="12" t="str">
        <x:f>IF($T293&lt;&gt;"",$T293,$L293)</x:f>
        <x:v>Maintain effective countermovement strategy</x:v>
      </x:c>
      <x:c r="Y293" s="12" t="str">
        <x:f>IF($U293&lt;&gt;"",$U293,$N293)</x:f>
        <x:v>Maintain the athlete’s preferred countermovement strategy while ensuring the additional depth contributes to force and impulse rather than excessive movement time.</x:v>
      </x:c>
      <x:c r="Z293" s="12" t="str">
        <x:f>IF($V293&lt;&gt;"",$V293,$O293)</x:f>
        <x:v>RVX Jump Performance Advanced</x:v>
      </x:c>
      <x:c r="AA293" s="12"/>
    </x:row>
    <x:row r="294">
      <x:c r="A294" s="12" t="str">
        <x:v>RVX-00049</x:v>
      </x:c>
      <x:c r="B294" s="12" t="str">
        <x:f>IFERROR(VLOOKUP($A294,Athlete_Profile!$A$2:$L$51,6,FALSE),"")</x:f>
        <x:v>Soccer</x:v>
      </x:c>
      <x:c r="C294" s="12" t="str">
        <x:f>IFERROR(VLOOKUP($A294,Athlete_Profile!$A$2:$L$51,5,FALSE),"")</x:f>
        <x:v>Female</x:v>
      </x:c>
      <x:c r="D294" s="12" t="str">
        <x:v>peak_force</x:v>
      </x:c>
      <x:c r="E294" s="12" t="str">
        <x:f>IFERROR(VLOOKUP($D294,Dropdown_Lists!$K$2:$N$7,2,FALSE),"")</x:f>
        <x:v>Peak Force</x:v>
      </x:c>
      <x:c r="F294" s="12" t="str">
        <x:f>IFERROR(VLOOKUP($D294,Dropdown_Lists!$K$2:$N$7,3,FALSE),"")</x:f>
        <x:v>higher</x:v>
      </x:c>
      <x:c r="G294" s="17" t="n">
        <x:f>IFERROR(LOOKUP(2,1/((Performance_Metrics!$A$2:$A$3000=$A294)*(Performance_Metrics!$D$2:$D$3000=$D294)),Performance_Metrics!$C$2:$C$3000),"")</x:f>
        <x:v>46230</x:v>
      </x:c>
      <x:c r="H294" s="12" t="n">
        <x:f>IFERROR(LOOKUP(2,1/((Performance_Metrics!$A$2:$A$3000=$A294)*(Performance_Metrics!$D$2:$D$3000=$D294)),Performance_Metrics!$G$2:$G$3000),"")</x:f>
        <x:v>1889</x:v>
      </x:c>
      <x:c r="I294" s="12" t="n">
        <x:f>IFERROR(SUMIFS(Normative_Data!$G$2:$G$1000,Normative_Data!$A$2:$A$1000,$B294,Normative_Data!$B$2:$B$1000,$C294,Normative_Data!$E$2:$E$1000,$D294),"")</x:f>
        <x:v>1662.5</x:v>
      </x:c>
      <x:c r="J294" s="18" t="n">
        <x:f>IF(OR($H294="",$I294=""),"",($H294-$I294)/$I294)</x:f>
        <x:v>0.1362406015037594</x:v>
      </x:c>
      <x:c r="K294" s="12" t="str">
        <x:f>IF(OR($H294="",$I294="",$F294=""),"",IF(ABS($J294)&lt;=0.05,"Equal to Norm",IF($F294="lower",IF($H294&lt;$I294,"Above Norm","Below Norm"),IF($H294&gt;$I294,"Above Norm","Below Norm"))))</x:f>
        <x:v>Above Norm</x:v>
      </x:c>
      <x:c r="L294" s="12" t="str">
        <x:f>IFERROR(VLOOKUP($D294&amp;"|"&amp;$K294,Recommendation_Lookup!$A$2:$H$19,2,FALSE),"")</x:f>
        <x:v>Maintain maximal force qualities</x:v>
      </x:c>
      <x:c r="M294" s="12" t="str">
        <x:f>IFERROR(VLOOKUP($D294&amp;"|"&amp;$K294,Recommendation_Lookup!$A$2:$H$19,3,FALSE),"")</x:f>
        <x:v>Force application speed; asymmetry; fatigue management; sport transfer</x:v>
      </x:c>
      <x:c r="N294" s="12" t="str">
        <x:f>IFERROR(VLOOKUP($D294&amp;"|"&amp;$K294,Recommendation_Lookup!$A$2:$H$19,4,FALSE),"")</x:f>
        <x:v>Maintain maximal force with low-volume strength exposure while shifting selected work toward power and sport-specific application. Monitor asymmetry and fatigue.</x:v>
      </x:c>
      <x:c r="O294" s="12" t="str">
        <x:f>IFERROR(VLOOKUP($D294&amp;"|"&amp;$K294,Recommendation_Lookup!$A$2:$H$19,5,FALSE),"")</x:f>
        <x:v>RVX Advanced Strength-Power</x:v>
      </x:c>
      <x:c r="P294" s="12" t="str">
        <x:f>IFERROR(VLOOKUP($D294&amp;"|"&amp;$K294,Recommendation_Lookup!$A$2:$H$19,6,FALSE),"")</x:f>
        <x:v>RVX Force Maintenance Microdose</x:v>
      </x:c>
      <x:c r="Q294" s="12" t="str">
        <x:f>IFERROR(VLOOKUP($D294&amp;"|"&amp;$K294,Recommendation_Lookup!$A$2:$H$19,7,FALSE),"")</x:f>
        <x:v>Produce high force without losing position or movement speed.</x:v>
      </x:c>
      <x:c r="R294" s="12" t="str">
        <x:f>IFERROR(VLOOKUP($D294&amp;"|"&amp;$K294,Recommendation_Lookup!$A$2:$H$19,8,FALSE),"")</x:f>
        <x:v>Retest every 6–8 weeks or following a strength-power phase.</x:v>
      </x:c>
      <x:c r="S294" s="12"/>
      <x:c r="T294" s="12"/>
      <x:c r="U294" s="12"/>
      <x:c r="V294" s="12"/>
      <x:c r="W294" s="12" t="str">
        <x:f>IF($S294&lt;&gt;"",$S294,$K294)</x:f>
        <x:v>Above Norm</x:v>
      </x:c>
      <x:c r="X294" s="12" t="str">
        <x:f>IF($T294&lt;&gt;"",$T294,$L294)</x:f>
        <x:v>Maintain maximal force qualities</x:v>
      </x:c>
      <x:c r="Y294" s="12" t="str">
        <x:f>IF($U294&lt;&gt;"",$U294,$N294)</x:f>
        <x:v>Maintain maximal force with low-volume strength exposure while shifting selected work toward power and sport-specific application. Monitor asymmetry and fatigue.</x:v>
      </x:c>
      <x:c r="Z294" s="12" t="str">
        <x:f>IF($V294&lt;&gt;"",$V294,$O294)</x:f>
        <x:v>RVX Advanced Strength-Power</x:v>
      </x:c>
      <x:c r="AA294" s="12"/>
    </x:row>
    <x:row r="295">
      <x:c r="A295" s="12" t="str">
        <x:v>RVX-00049</x:v>
      </x:c>
      <x:c r="B295" s="12" t="str">
        <x:f>IFERROR(VLOOKUP($A295,Athlete_Profile!$A$2:$L$51,6,FALSE),"")</x:f>
        <x:v>Soccer</x:v>
      </x:c>
      <x:c r="C295" s="12" t="str">
        <x:f>IFERROR(VLOOKUP($A295,Athlete_Profile!$A$2:$L$51,5,FALSE),"")</x:f>
        <x:v>Female</x:v>
      </x:c>
      <x:c r="D295" s="12" t="str">
        <x:v>impulse</x:v>
      </x:c>
      <x:c r="E295" s="12" t="str">
        <x:f>IFERROR(VLOOKUP($D295,Dropdown_Lists!$K$2:$N$7,2,FALSE),"")</x:f>
        <x:v>Impulse-Momentum</x:v>
      </x:c>
      <x:c r="F295" s="12" t="str">
        <x:f>IFERROR(VLOOKUP($D295,Dropdown_Lists!$K$2:$N$7,3,FALSE),"")</x:f>
        <x:v>higher</x:v>
      </x:c>
      <x:c r="G295" s="17" t="n">
        <x:f>IFERROR(LOOKUP(2,1/((Performance_Metrics!$A$2:$A$3000=$A295)*(Performance_Metrics!$D$2:$D$3000=$D295)),Performance_Metrics!$C$2:$C$3000),"")</x:f>
        <x:v>46230</x:v>
      </x:c>
      <x:c r="H295" s="12" t="n">
        <x:f>IFERROR(LOOKUP(2,1/((Performance_Metrics!$A$2:$A$3000=$A295)*(Performance_Metrics!$D$2:$D$3000=$D295)),Performance_Metrics!$G$2:$G$3000),"")</x:f>
        <x:v>236.3</x:v>
      </x:c>
      <x:c r="I295" s="12" t="n">
        <x:f>IFERROR(SUMIFS(Normative_Data!$G$2:$G$1000,Normative_Data!$A$2:$A$1000,$B295,Normative_Data!$B$2:$B$1000,$C295,Normative_Data!$E$2:$E$1000,$D295),"")</x:f>
        <x:v>204.25</x:v>
      </x:c>
      <x:c r="J295" s="18" t="n">
        <x:f>IF(OR($H295="",$I295=""),"",($H295-$I295)/$I295)</x:f>
        <x:v>0.15691554467564264</x:v>
      </x:c>
      <x:c r="K295" s="12" t="str">
        <x:f>IF(OR($H295="",$I295="",$F295=""),"",IF(ABS($J295)&lt;=0.05,"Equal to Norm",IF($F295="lower",IF($H295&lt;$I295,"Above Norm","Below Norm"),IF($H295&gt;$I295,"Above Norm","Below Norm"))))</x:f>
        <x:v>Above Norm</x:v>
      </x:c>
      <x:c r="L295" s="12" t="str">
        <x:f>IFERROR(VLOOKUP($D295&amp;"|"&amp;$K295,Recommendation_Lookup!$A$2:$H$19,2,FALSE),"")</x:f>
        <x:v>Maintain total force-time output</x:v>
      </x:c>
      <x:c r="M295" s="12" t="str">
        <x:f>IFERROR(VLOOKUP($D295&amp;"|"&amp;$K295,Recommendation_Lookup!$A$2:$H$19,3,FALSE),"")</x:f>
        <x:v>Rate of force development; movement time; power transfer; fatigue resistance</x:v>
      </x:c>
      <x:c r="N295" s="12" t="str">
        <x:f>IFERROR(VLOOKUP($D295&amp;"|"&amp;$K295,Recommendation_Lookup!$A$2:$H$19,4,FALSE),"")</x:f>
        <x:v>Maintain impulse with strength-power microdosing and varied jump or sprint exposures. Ensure high impulse is achieved efficiently rather than through excessive movement time.</x:v>
      </x:c>
      <x:c r="O295" s="12" t="str">
        <x:f>IFERROR(VLOOKUP($D295&amp;"|"&amp;$K295,Recommendation_Lookup!$A$2:$H$19,5,FALSE),"")</x:f>
        <x:v>RVX Advanced Power Development</x:v>
      </x:c>
      <x:c r="P295" s="12" t="str">
        <x:f>IFERROR(VLOOKUP($D295&amp;"|"&amp;$K295,Recommendation_Lookup!$A$2:$H$19,6,FALSE),"")</x:f>
        <x:v>RVX Elastic Power Microdose</x:v>
      </x:c>
      <x:c r="Q295" s="12" t="str">
        <x:f>IFERROR(VLOOKUP($D295&amp;"|"&amp;$K295,Recommendation_Lookup!$A$2:$H$19,7,FALSE),"")</x:f>
        <x:v>Build force quickly and keep applying it through the full movement.</x:v>
      </x:c>
      <x:c r="R295" s="12" t="str">
        <x:f>IFERROR(VLOOKUP($D295&amp;"|"&amp;$K295,Recommendation_Lookup!$A$2:$H$19,8,FALSE),"")</x:f>
        <x:v>Retest every 6–8 weeks while reviewing contraction time and jump outcome.</x:v>
      </x:c>
      <x:c r="S295" s="12"/>
      <x:c r="T295" s="12"/>
      <x:c r="U295" s="12"/>
      <x:c r="V295" s="12"/>
      <x:c r="W295" s="12" t="str">
        <x:f>IF($S295&lt;&gt;"",$S295,$K295)</x:f>
        <x:v>Above Norm</x:v>
      </x:c>
      <x:c r="X295" s="12" t="str">
        <x:f>IF($T295&lt;&gt;"",$T295,$L295)</x:f>
        <x:v>Maintain total force-time output</x:v>
      </x:c>
      <x:c r="Y295" s="12" t="str">
        <x:f>IF($U295&lt;&gt;"",$U295,$N295)</x:f>
        <x:v>Maintain impulse with strength-power microdosing and varied jump or sprint exposures. Ensure high impulse is achieved efficiently rather than through excessive movement time.</x:v>
      </x:c>
      <x:c r="Z295" s="12" t="str">
        <x:f>IF($V295&lt;&gt;"",$V295,$O295)</x:f>
        <x:v>RVX Advanced Power Development</x:v>
      </x:c>
      <x:c r="AA295" s="12"/>
    </x:row>
    <x:row r="296">
      <x:c r="A296" s="12" t="str">
        <x:v>RVX-00050</x:v>
      </x:c>
      <x:c r="B296" s="12" t="str">
        <x:f>IFERROR(VLOOKUP($A296,Athlete_Profile!$A$2:$L$51,6,FALSE),"")</x:f>
        <x:v>Soccer</x:v>
      </x:c>
      <x:c r="C296" s="12" t="str">
        <x:f>IFERROR(VLOOKUP($A296,Athlete_Profile!$A$2:$L$51,5,FALSE),"")</x:f>
        <x:v>Male</x:v>
      </x:c>
      <x:c r="D296" s="12" t="str">
        <x:v>sprint_5m</x:v>
      </x:c>
      <x:c r="E296" s="12" t="str">
        <x:f>IFERROR(VLOOKUP($D296,Dropdown_Lists!$K$2:$N$7,2,FALSE),"")</x:f>
        <x:v>5m Sprint</x:v>
      </x:c>
      <x:c r="F296" s="12" t="str">
        <x:f>IFERROR(VLOOKUP($D296,Dropdown_Lists!$K$2:$N$7,3,FALSE),"")</x:f>
        <x:v>lower</x:v>
      </x:c>
      <x:c r="G296" s="17" t="n">
        <x:f>IFERROR(LOOKUP(2,1/((Performance_Metrics!$A$2:$A$3000=$A296)*(Performance_Metrics!$D$2:$D$3000=$D296)),Performance_Metrics!$C$2:$C$3000),"")</x:f>
        <x:v>46230</x:v>
      </x:c>
      <x:c r="H296" s="12" t="n">
        <x:f>IFERROR(LOOKUP(2,1/((Performance_Metrics!$A$2:$A$3000=$A296)*(Performance_Metrics!$D$2:$D$3000=$D296)),Performance_Metrics!$G$2:$G$3000),"")</x:f>
        <x:v>1.04</x:v>
      </x:c>
      <x:c r="I296" s="12" t="n">
        <x:f>IFERROR(SUMIFS(Normative_Data!$G$2:$G$1000,Normative_Data!$A$2:$A$1000,$B296,Normative_Data!$B$2:$B$1000,$C296,Normative_Data!$E$2:$E$1000,$D296),"")</x:f>
        <x:v>1.09</x:v>
      </x:c>
      <x:c r="J296" s="18" t="n">
        <x:f>IF(OR($H296="",$I296=""),"",($H296-$I296)/$I296)</x:f>
        <x:v>-0.04587155963302756</x:v>
      </x:c>
      <x:c r="K296" s="12" t="str">
        <x:f>IF(OR($H296="",$I296="",$F296=""),"",IF(ABS($J296)&lt;=0.05,"Equal to Norm",IF($F296="lower",IF($H296&lt;$I296,"Above Norm","Below Norm"),IF($H296&gt;$I296,"Above Norm","Below Norm"))))</x:f>
        <x:v>Equal to Norm</x:v>
      </x:c>
      <x:c r="L296" s="12" t="str">
        <x:f>IFERROR(VLOOKUP($D296&amp;"|"&amp;$K296,Recommendation_Lookup!$A$2:$H$19,2,FALSE),"")</x:f>
        <x:v>Improve acceleration efficiency</x:v>
      </x:c>
      <x:c r="M296" s="12" t="str">
        <x:f>IFERROR(VLOOKUP($D296&amp;"|"&amp;$K296,Recommendation_Lookup!$A$2:$H$19,3,FALSE),"")</x:f>
        <x:v>Starting posture; shin angle; first-step direction; arm action</x:v>
      </x:c>
      <x:c r="N296" s="12" t="str">
        <x:f>IFERROR(VLOOKUP($D296&amp;"|"&amp;$K296,Recommendation_Lookup!$A$2:$H$19,4,FALSE),"")</x:f>
        <x:v>Use a focused acceleration-development block emphasizing starting position, projection and force application. Keep repetitions short with full recovery.</x:v>
      </x:c>
      <x:c r="O296" s="12" t="str">
        <x:f>IFERROR(VLOOKUP($D296&amp;"|"&amp;$K296,Recommendation_Lookup!$A$2:$H$19,5,FALSE),"")</x:f>
        <x:v>RVX Acceleration Foundations</x:v>
      </x:c>
      <x:c r="P296" s="12" t="str">
        <x:f>IFERROR(VLOOKUP($D296&amp;"|"&amp;$K296,Recommendation_Lookup!$A$2:$H$19,6,FALSE),"")</x:f>
        <x:v>RVX Sprint Mechanics</x:v>
      </x:c>
      <x:c r="Q296" s="12" t="str">
        <x:f>IFERROR(VLOOKUP($D296&amp;"|"&amp;$K296,Recommendation_Lookup!$A$2:$H$19,7,FALSE),"")</x:f>
        <x:v>Push out, not up. Keep the first steps powerful and connected.</x:v>
      </x:c>
      <x:c r="R296" s="12" t="str">
        <x:f>IFERROR(VLOOKUP($D296&amp;"|"&amp;$K296,Recommendation_Lookup!$A$2:$H$19,8,FALSE),"")</x:f>
        <x:v>Retest after 4–6 weeks of focused acceleration work.</x:v>
      </x:c>
      <x:c r="S296" s="12"/>
      <x:c r="T296" s="12"/>
      <x:c r="U296" s="12"/>
      <x:c r="V296" s="12"/>
      <x:c r="W296" s="12" t="str">
        <x:f>IF($S296&lt;&gt;"",$S296,$K296)</x:f>
        <x:v>Equal to Norm</x:v>
      </x:c>
      <x:c r="X296" s="12" t="str">
        <x:f>IF($T296&lt;&gt;"",$T296,$L296)</x:f>
        <x:v>Improve acceleration efficiency</x:v>
      </x:c>
      <x:c r="Y296" s="12" t="str">
        <x:f>IF($U296&lt;&gt;"",$U296,$N296)</x:f>
        <x:v>Use a focused acceleration-development block emphasizing starting position, projection and force application. Keep repetitions short with full recovery.</x:v>
      </x:c>
      <x:c r="Z296" s="12" t="str">
        <x:f>IF($V296&lt;&gt;"",$V296,$O296)</x:f>
        <x:v>RVX Acceleration Foundations</x:v>
      </x:c>
      <x:c r="AA296" s="12"/>
    </x:row>
    <x:row r="297">
      <x:c r="A297" s="12" t="str">
        <x:v>RVX-00050</x:v>
      </x:c>
      <x:c r="B297" s="12" t="str">
        <x:f>IFERROR(VLOOKUP($A297,Athlete_Profile!$A$2:$L$51,6,FALSE),"")</x:f>
        <x:v>Soccer</x:v>
      </x:c>
      <x:c r="C297" s="12" t="str">
        <x:f>IFERROR(VLOOKUP($A297,Athlete_Profile!$A$2:$L$51,5,FALSE),"")</x:f>
        <x:v>Male</x:v>
      </x:c>
      <x:c r="D297" s="12" t="str">
        <x:v>sprint_10m</x:v>
      </x:c>
      <x:c r="E297" s="12" t="str">
        <x:f>IFERROR(VLOOKUP($D297,Dropdown_Lists!$K$2:$N$7,2,FALSE),"")</x:f>
        <x:v>10m Sprint</x:v>
      </x:c>
      <x:c r="F297" s="12" t="str">
        <x:f>IFERROR(VLOOKUP($D297,Dropdown_Lists!$K$2:$N$7,3,FALSE),"")</x:f>
        <x:v>lower</x:v>
      </x:c>
      <x:c r="G297" s="17" t="n">
        <x:f>IFERROR(LOOKUP(2,1/((Performance_Metrics!$A$2:$A$3000=$A297)*(Performance_Metrics!$D$2:$D$3000=$D297)),Performance_Metrics!$C$2:$C$3000),"")</x:f>
        <x:v>46230</x:v>
      </x:c>
      <x:c r="H297" s="12" t="n">
        <x:f>IFERROR(LOOKUP(2,1/((Performance_Metrics!$A$2:$A$3000=$A297)*(Performance_Metrics!$D$2:$D$3000=$D297)),Performance_Metrics!$G$2:$G$3000),"")</x:f>
        <x:v>1.7</x:v>
      </x:c>
      <x:c r="I297" s="12" t="n">
        <x:f>IFERROR(SUMIFS(Normative_Data!$G$2:$G$1000,Normative_Data!$A$2:$A$1000,$B297,Normative_Data!$B$2:$B$1000,$C297,Normative_Data!$E$2:$E$1000,$D297),"")</x:f>
        <x:v>1.83</x:v>
      </x:c>
      <x:c r="J297" s="18" t="n">
        <x:f>IF(OR($H297="",$I297=""),"",($H297-$I297)/$I297)</x:f>
        <x:v>-0.07103825136612028</x:v>
      </x:c>
      <x:c r="K297" s="12" t="str">
        <x:f>IF(OR($H297="",$I297="",$F297=""),"",IF(ABS($J297)&lt;=0.05,"Equal to Norm",IF($F297="lower",IF($H297&lt;$I297,"Above Norm","Below Norm"),IF($H297&gt;$I297,"Above Norm","Below Norm"))))</x:f>
        <x:v>Above Norm</x:v>
      </x:c>
      <x:c r="L297" s="12" t="str">
        <x:f>IFERROR(VLOOKUP($D297&amp;"|"&amp;$K297,Recommendation_Lookup!$A$2:$H$19,2,FALSE),"")</x:f>
        <x:v>Maintain acceleration through 10 m</x:v>
      </x:c>
      <x:c r="M297" s="12" t="str">
        <x:f>IFERROR(VLOOKUP($D297&amp;"|"&amp;$K297,Recommendation_Lookup!$A$2:$H$19,3,FALSE),"")</x:f>
        <x:v>Transition mechanics; stride rhythm; stiffness; repeatability</x:v>
      </x:c>
      <x:c r="N297" s="12" t="str">
        <x:f>IFERROR(VLOOKUP($D297&amp;"|"&amp;$K297,Recommendation_Lookup!$A$2:$H$19,4,FALSE),"")</x:f>
        <x:v>Maintain one to two weekly high-quality acceleration exposures. Add varied starts and light resistance while monitoring consistency across trials.</x:v>
      </x:c>
      <x:c r="O297" s="12" t="str">
        <x:f>IFERROR(VLOOKUP($D297&amp;"|"&amp;$K297,Recommendation_Lookup!$A$2:$H$19,5,FALSE),"")</x:f>
        <x:v>RVX Advanced Acceleration</x:v>
      </x:c>
      <x:c r="P297" s="12" t="str">
        <x:f>IFERROR(VLOOKUP($D297&amp;"|"&amp;$K297,Recommendation_Lookup!$A$2:$H$19,6,FALSE),"")</x:f>
        <x:v>RVX Speed Maintenance Microdose</x:v>
      </x:c>
      <x:c r="Q297" s="12" t="str">
        <x:f>IFERROR(VLOOKUP($D297&amp;"|"&amp;$K297,Recommendation_Lookup!$A$2:$H$19,7,FALSE),"")</x:f>
        <x:v>Stay patient through acceleration and keep pushing behind the body.</x:v>
      </x:c>
      <x:c r="R297" s="12" t="str">
        <x:f>IFERROR(VLOOKUP($D297&amp;"|"&amp;$K297,Recommendation_Lookup!$A$2:$H$19,8,FALSE),"")</x:f>
        <x:v>Retest every 6–8 weeks or after a speed block.</x:v>
      </x:c>
      <x:c r="S297" s="12"/>
      <x:c r="T297" s="12"/>
      <x:c r="U297" s="12"/>
      <x:c r="V297" s="12"/>
      <x:c r="W297" s="12" t="str">
        <x:f>IF($S297&lt;&gt;"",$S297,$K297)</x:f>
        <x:v>Above Norm</x:v>
      </x:c>
      <x:c r="X297" s="12" t="str">
        <x:f>IF($T297&lt;&gt;"",$T297,$L297)</x:f>
        <x:v>Maintain acceleration through 10 m</x:v>
      </x:c>
      <x:c r="Y297" s="12" t="str">
        <x:f>IF($U297&lt;&gt;"",$U297,$N297)</x:f>
        <x:v>Maintain one to two weekly high-quality acceleration exposures. Add varied starts and light resistance while monitoring consistency across trials.</x:v>
      </x:c>
      <x:c r="Z297" s="12" t="str">
        <x:f>IF($V297&lt;&gt;"",$V297,$O297)</x:f>
        <x:v>RVX Advanced Acceleration</x:v>
      </x:c>
      <x:c r="AA297" s="12"/>
    </x:row>
    <x:row r="298">
      <x:c r="A298" s="12" t="str">
        <x:v>RVX-00050</x:v>
      </x:c>
      <x:c r="B298" s="12" t="str">
        <x:f>IFERROR(VLOOKUP($A298,Athlete_Profile!$A$2:$L$51,6,FALSE),"")</x:f>
        <x:v>Soccer</x:v>
      </x:c>
      <x:c r="C298" s="12" t="str">
        <x:f>IFERROR(VLOOKUP($A298,Athlete_Profile!$A$2:$L$51,5,FALSE),"")</x:f>
        <x:v>Male</x:v>
      </x:c>
      <x:c r="D298" s="12" t="str">
        <x:v>pro_agility</x:v>
      </x:c>
      <x:c r="E298" s="12" t="str">
        <x:f>IFERROR(VLOOKUP($D298,Dropdown_Lists!$K$2:$N$7,2,FALSE),"")</x:f>
        <x:v>5-10-5 Pro Agility</x:v>
      </x:c>
      <x:c r="F298" s="12" t="str">
        <x:f>IFERROR(VLOOKUP($D298,Dropdown_Lists!$K$2:$N$7,3,FALSE),"")</x:f>
        <x:v>lower</x:v>
      </x:c>
      <x:c r="G298" s="17" t="n">
        <x:f>IFERROR(LOOKUP(2,1/((Performance_Metrics!$A$2:$A$3000=$A298)*(Performance_Metrics!$D$2:$D$3000=$D298)),Performance_Metrics!$C$2:$C$3000),"")</x:f>
        <x:v>46230</x:v>
      </x:c>
      <x:c r="H298" s="12" t="n">
        <x:f>IFERROR(LOOKUP(2,1/((Performance_Metrics!$A$2:$A$3000=$A298)*(Performance_Metrics!$D$2:$D$3000=$D298)),Performance_Metrics!$G$2:$G$3000),"")</x:f>
        <x:v>4.44</x:v>
      </x:c>
      <x:c r="I298" s="12" t="n">
        <x:f>IFERROR(SUMIFS(Normative_Data!$G$2:$G$1000,Normative_Data!$A$2:$A$1000,$B298,Normative_Data!$B$2:$B$1000,$C298,Normative_Data!$E$2:$E$1000,$D298),"")</x:f>
        <x:v>4.7</x:v>
      </x:c>
      <x:c r="J298" s="18" t="n">
        <x:f>IF(OR($H298="",$I298=""),"",($H298-$I298)/$I298)</x:f>
        <x:v>-0.05531914893617017</x:v>
      </x:c>
      <x:c r="K298" s="12" t="str">
        <x:f>IF(OR($H298="",$I298="",$F298=""),"",IF(ABS($J298)&lt;=0.05,"Equal to Norm",IF($F298="lower",IF($H298&lt;$I298,"Above Norm","Below Norm"),IF($H298&gt;$I298,"Above Norm","Below Norm"))))</x:f>
        <x:v>Above Norm</x:v>
      </x:c>
      <x:c r="L298" s="12" t="str">
        <x:f>IFERROR(VLOOKUP($D298&amp;"|"&amp;$K298,Recommendation_Lookup!$A$2:$H$19,2,FALSE),"")</x:f>
        <x:v>Maintain change-of-direction performance</x:v>
      </x:c>
      <x:c r="M298" s="12" t="str">
        <x:f>IFERROR(VLOOKUP($D298&amp;"|"&amp;$K298,Recommendation_Lookup!$A$2:$H$19,3,FALSE),"")</x:f>
        <x:v>Reactive decision-making; braking tolerance; bilateral symmetry; movement variability</x:v>
      </x:c>
      <x:c r="N298" s="12" t="str">
        <x:f>IFERROR(VLOOKUP($D298&amp;"|"&amp;$K298,Recommendation_Lookup!$A$2:$H$19,4,FALSE),"")</x:f>
        <x:v>Maintain planned change-of-direction work and progress toward reactive agility. Use low-volume, high-quality exposures with multiple starting and turning strategies.</x:v>
      </x:c>
      <x:c r="O298" s="12" t="str">
        <x:f>IFERROR(VLOOKUP($D298&amp;"|"&amp;$K298,Recommendation_Lookup!$A$2:$H$19,5,FALSE),"")</x:f>
        <x:v>RVX Advanced Change of Direction</x:v>
      </x:c>
      <x:c r="P298" s="12" t="str">
        <x:f>IFERROR(VLOOKUP($D298&amp;"|"&amp;$K298,Recommendation_Lookup!$A$2:$H$19,6,FALSE),"")</x:f>
        <x:v>RVX Reactive Agility</x:v>
      </x:c>
      <x:c r="Q298" s="12" t="str">
        <x:f>IFERROR(VLOOKUP($D298&amp;"|"&amp;$K298,Recommendation_Lookup!$A$2:$H$19,7,FALSE),"")</x:f>
        <x:v>Brake under control, own the plant and accelerate out immediately.</x:v>
      </x:c>
      <x:c r="R298" s="12" t="str">
        <x:f>IFERROR(VLOOKUP($D298&amp;"|"&amp;$K298,Recommendation_Lookup!$A$2:$H$19,8,FALSE),"")</x:f>
        <x:v>Retest every 6–8 weeks with left and right trial review.</x:v>
      </x:c>
      <x:c r="S298" s="12"/>
      <x:c r="T298" s="12"/>
      <x:c r="U298" s="12"/>
      <x:c r="V298" s="12"/>
      <x:c r="W298" s="12" t="str">
        <x:f>IF($S298&lt;&gt;"",$S298,$K298)</x:f>
        <x:v>Above Norm</x:v>
      </x:c>
      <x:c r="X298" s="12" t="str">
        <x:f>IF($T298&lt;&gt;"",$T298,$L298)</x:f>
        <x:v>Maintain change-of-direction performance</x:v>
      </x:c>
      <x:c r="Y298" s="12" t="str">
        <x:f>IF($U298&lt;&gt;"",$U298,$N298)</x:f>
        <x:v>Maintain planned change-of-direction work and progress toward reactive agility. Use low-volume, high-quality exposures with multiple starting and turning strategies.</x:v>
      </x:c>
      <x:c r="Z298" s="12" t="str">
        <x:f>IF($V298&lt;&gt;"",$V298,$O298)</x:f>
        <x:v>RVX Advanced Change of Direction</x:v>
      </x:c>
      <x:c r="AA298" s="12"/>
    </x:row>
    <x:row r="299">
      <x:c r="A299" s="12" t="str">
        <x:v>RVX-00050</x:v>
      </x:c>
      <x:c r="B299" s="12" t="str">
        <x:f>IFERROR(VLOOKUP($A299,Athlete_Profile!$A$2:$L$51,6,FALSE),"")</x:f>
        <x:v>Soccer</x:v>
      </x:c>
      <x:c r="C299" s="12" t="str">
        <x:f>IFERROR(VLOOKUP($A299,Athlete_Profile!$A$2:$L$51,5,FALSE),"")</x:f>
        <x:v>Male</x:v>
      </x:c>
      <x:c r="D299" s="12" t="str">
        <x:v>cmj_depth</x:v>
      </x:c>
      <x:c r="E299" s="12" t="str">
        <x:f>IFERROR(VLOOKUP($D299,Dropdown_Lists!$K$2:$N$7,2,FALSE),"")</x:f>
        <x:v>Countermovement Depth</x:v>
      </x:c>
      <x:c r="F299" s="12" t="str">
        <x:f>IFERROR(VLOOKUP($D299,Dropdown_Lists!$K$2:$N$7,3,FALSE),"")</x:f>
        <x:v>higher</x:v>
      </x:c>
      <x:c r="G299" s="17" t="n">
        <x:f>IFERROR(LOOKUP(2,1/((Performance_Metrics!$A$2:$A$3000=$A299)*(Performance_Metrics!$D$2:$D$3000=$D299)),Performance_Metrics!$C$2:$C$3000),"")</x:f>
        <x:v>46230</x:v>
      </x:c>
      <x:c r="H299" s="12" t="n">
        <x:f>IFERROR(LOOKUP(2,1/((Performance_Metrics!$A$2:$A$3000=$A299)*(Performance_Metrics!$D$2:$D$3000=$D299)),Performance_Metrics!$G$2:$G$3000),"")</x:f>
        <x:v>33.5</x:v>
      </x:c>
      <x:c r="I299" s="12" t="n">
        <x:f>IFERROR(SUMIFS(Normative_Data!$G$2:$G$1000,Normative_Data!$A$2:$A$1000,$B299,Normative_Data!$B$2:$B$1000,$C299,Normative_Data!$E$2:$E$1000,$D299),"")</x:f>
        <x:v>31.35</x:v>
      </x:c>
      <x:c r="J299" s="18" t="n">
        <x:f>IF(OR($H299="",$I299=""),"",($H299-$I299)/$I299)</x:f>
        <x:v>0.06858054226475274</x:v>
      </x:c>
      <x:c r="K299" s="12" t="str">
        <x:f>IF(OR($H299="",$I299="",$F299=""),"",IF(ABS($J299)&lt;=0.05,"Equal to Norm",IF($F299="lower",IF($H299&lt;$I299,"Above Norm","Below Norm"),IF($H299&gt;$I299,"Above Norm","Below Norm"))))</x:f>
        <x:v>Above Norm</x:v>
      </x:c>
      <x:c r="L299" s="12" t="str">
        <x:f>IFERROR(VLOOKUP($D299&amp;"|"&amp;$K299,Recommendation_Lookup!$A$2:$H$19,2,FALSE),"")</x:f>
        <x:v>Maintain effective countermovement strategy</x:v>
      </x:c>
      <x:c r="M299" s="12" t="str">
        <x:f>IFERROR(VLOOKUP($D299&amp;"|"&amp;$K299,Recommendation_Lookup!$A$2:$H$19,3,FALSE),"")</x:f>
        <x:v>Movement efficiency; eccentric control; jump consistency; depth-to-output relationship</x:v>
      </x:c>
      <x:c r="N299" s="12" t="str">
        <x:f>IFERROR(VLOOKUP($D299&amp;"|"&amp;$K299,Recommendation_Lookup!$A$2:$H$19,4,FALSE),"")</x:f>
        <x:v>Maintain the athlete’s preferred countermovement strategy while ensuring the additional depth contributes to force and impulse rather than excessive movement time.</x:v>
      </x:c>
      <x:c r="O299" s="12" t="str">
        <x:f>IFERROR(VLOOKUP($D299&amp;"|"&amp;$K299,Recommendation_Lookup!$A$2:$H$19,5,FALSE),"")</x:f>
        <x:v>RVX Jump Performance Advanced</x:v>
      </x:c>
      <x:c r="P299" s="12" t="str">
        <x:f>IFERROR(VLOOKUP($D299&amp;"|"&amp;$K299,Recommendation_Lookup!$A$2:$H$19,6,FALSE),"")</x:f>
        <x:v>RVX Eccentric Strength Microdose</x:v>
      </x:c>
      <x:c r="Q299" s="12" t="str">
        <x:f>IFERROR(VLOOKUP($D299&amp;"|"&amp;$K299,Recommendation_Lookup!$A$2:$H$19,7,FALSE),"")</x:f>
        <x:v>Use the depth you can control, then reverse quickly and aggressively.</x:v>
      </x:c>
      <x:c r="R299" s="12" t="str">
        <x:f>IFERROR(VLOOKUP($D299&amp;"|"&amp;$K299,Recommendation_Lookup!$A$2:$H$19,8,FALSE),"")</x:f>
        <x:v>Retest every 6–8 weeks while monitoring jump height and contraction time.</x:v>
      </x:c>
      <x:c r="S299" s="12"/>
      <x:c r="T299" s="12"/>
      <x:c r="U299" s="12"/>
      <x:c r="V299" s="12"/>
      <x:c r="W299" s="12" t="str">
        <x:f>IF($S299&lt;&gt;"",$S299,$K299)</x:f>
        <x:v>Above Norm</x:v>
      </x:c>
      <x:c r="X299" s="12" t="str">
        <x:f>IF($T299&lt;&gt;"",$T299,$L299)</x:f>
        <x:v>Maintain effective countermovement strategy</x:v>
      </x:c>
      <x:c r="Y299" s="12" t="str">
        <x:f>IF($U299&lt;&gt;"",$U299,$N299)</x:f>
        <x:v>Maintain the athlete’s preferred countermovement strategy while ensuring the additional depth contributes to force and impulse rather than excessive movement time.</x:v>
      </x:c>
      <x:c r="Z299" s="12" t="str">
        <x:f>IF($V299&lt;&gt;"",$V299,$O299)</x:f>
        <x:v>RVX Jump Performance Advanced</x:v>
      </x:c>
      <x:c r="AA299" s="12"/>
    </x:row>
    <x:row r="300">
      <x:c r="A300" s="12" t="str">
        <x:v>RVX-00050</x:v>
      </x:c>
      <x:c r="B300" s="12" t="str">
        <x:f>IFERROR(VLOOKUP($A300,Athlete_Profile!$A$2:$L$51,6,FALSE),"")</x:f>
        <x:v>Soccer</x:v>
      </x:c>
      <x:c r="C300" s="12" t="str">
        <x:f>IFERROR(VLOOKUP($A300,Athlete_Profile!$A$2:$L$51,5,FALSE),"")</x:f>
        <x:v>Male</x:v>
      </x:c>
      <x:c r="D300" s="12" t="str">
        <x:v>peak_force</x:v>
      </x:c>
      <x:c r="E300" s="12" t="str">
        <x:f>IFERROR(VLOOKUP($D300,Dropdown_Lists!$K$2:$N$7,2,FALSE),"")</x:f>
        <x:v>Peak Force</x:v>
      </x:c>
      <x:c r="F300" s="12" t="str">
        <x:f>IFERROR(VLOOKUP($D300,Dropdown_Lists!$K$2:$N$7,3,FALSE),"")</x:f>
        <x:v>higher</x:v>
      </x:c>
      <x:c r="G300" s="17" t="n">
        <x:f>IFERROR(LOOKUP(2,1/((Performance_Metrics!$A$2:$A$3000=$A300)*(Performance_Metrics!$D$2:$D$3000=$D300)),Performance_Metrics!$C$2:$C$3000),"")</x:f>
        <x:v>46230</x:v>
      </x:c>
      <x:c r="H300" s="12" t="n">
        <x:f>IFERROR(LOOKUP(2,1/((Performance_Metrics!$A$2:$A$3000=$A300)*(Performance_Metrics!$D$2:$D$3000=$D300)),Performance_Metrics!$G$2:$G$3000),"")</x:f>
        <x:v>1922</x:v>
      </x:c>
      <x:c r="I300" s="12" t="n">
        <x:f>IFERROR(SUMIFS(Normative_Data!$G$2:$G$1000,Normative_Data!$A$2:$A$1000,$B300,Normative_Data!$B$2:$B$1000,$C300,Normative_Data!$E$2:$E$1000,$D300),"")</x:f>
        <x:v>1828.75</x:v>
      </x:c>
      <x:c r="J300" s="18" t="n">
        <x:f>IF(OR($H300="",$I300=""),"",($H300-$I300)/$I300)</x:f>
        <x:v>0.050991114149008886</x:v>
      </x:c>
      <x:c r="K300" s="12" t="str">
        <x:f>IF(OR($H300="",$I300="",$F300=""),"",IF(ABS($J300)&lt;=0.05,"Equal to Norm",IF($F300="lower",IF($H300&lt;$I300,"Above Norm","Below Norm"),IF($H300&gt;$I300,"Above Norm","Below Norm"))))</x:f>
        <x:v>Above Norm</x:v>
      </x:c>
      <x:c r="L300" s="12" t="str">
        <x:f>IFERROR(VLOOKUP($D300&amp;"|"&amp;$K300,Recommendation_Lookup!$A$2:$H$19,2,FALSE),"")</x:f>
        <x:v>Maintain maximal force qualities</x:v>
      </x:c>
      <x:c r="M300" s="12" t="str">
        <x:f>IFERROR(VLOOKUP($D300&amp;"|"&amp;$K300,Recommendation_Lookup!$A$2:$H$19,3,FALSE),"")</x:f>
        <x:v>Force application speed; asymmetry; fatigue management; sport transfer</x:v>
      </x:c>
      <x:c r="N300" s="12" t="str">
        <x:f>IFERROR(VLOOKUP($D300&amp;"|"&amp;$K300,Recommendation_Lookup!$A$2:$H$19,4,FALSE),"")</x:f>
        <x:v>Maintain maximal force with low-volume strength exposure while shifting selected work toward power and sport-specific application. Monitor asymmetry and fatigue.</x:v>
      </x:c>
      <x:c r="O300" s="12" t="str">
        <x:f>IFERROR(VLOOKUP($D300&amp;"|"&amp;$K300,Recommendation_Lookup!$A$2:$H$19,5,FALSE),"")</x:f>
        <x:v>RVX Advanced Strength-Power</x:v>
      </x:c>
      <x:c r="P300" s="12" t="str">
        <x:f>IFERROR(VLOOKUP($D300&amp;"|"&amp;$K300,Recommendation_Lookup!$A$2:$H$19,6,FALSE),"")</x:f>
        <x:v>RVX Force Maintenance Microdose</x:v>
      </x:c>
      <x:c r="Q300" s="12" t="str">
        <x:f>IFERROR(VLOOKUP($D300&amp;"|"&amp;$K300,Recommendation_Lookup!$A$2:$H$19,7,FALSE),"")</x:f>
        <x:v>Produce high force without losing position or movement speed.</x:v>
      </x:c>
      <x:c r="R300" s="12" t="str">
        <x:f>IFERROR(VLOOKUP($D300&amp;"|"&amp;$K300,Recommendation_Lookup!$A$2:$H$19,8,FALSE),"")</x:f>
        <x:v>Retest every 6–8 weeks or following a strength-power phase.</x:v>
      </x:c>
      <x:c r="S300" s="12"/>
      <x:c r="T300" s="12"/>
      <x:c r="U300" s="12"/>
      <x:c r="V300" s="12"/>
      <x:c r="W300" s="12" t="str">
        <x:f>IF($S300&lt;&gt;"",$S300,$K300)</x:f>
        <x:v>Above Norm</x:v>
      </x:c>
      <x:c r="X300" s="12" t="str">
        <x:f>IF($T300&lt;&gt;"",$T300,$L300)</x:f>
        <x:v>Maintain maximal force qualities</x:v>
      </x:c>
      <x:c r="Y300" s="12" t="str">
        <x:f>IF($U300&lt;&gt;"",$U300,$N300)</x:f>
        <x:v>Maintain maximal force with low-volume strength exposure while shifting selected work toward power and sport-specific application. Monitor asymmetry and fatigue.</x:v>
      </x:c>
      <x:c r="Z300" s="12" t="str">
        <x:f>IF($V300&lt;&gt;"",$V300,$O300)</x:f>
        <x:v>RVX Advanced Strength-Power</x:v>
      </x:c>
      <x:c r="AA300" s="12"/>
    </x:row>
    <x:row r="301">
      <x:c r="A301" s="12" t="str">
        <x:v>RVX-00050</x:v>
      </x:c>
      <x:c r="B301" s="12" t="str">
        <x:f>IFERROR(VLOOKUP($A301,Athlete_Profile!$A$2:$L$51,6,FALSE),"")</x:f>
        <x:v>Soccer</x:v>
      </x:c>
      <x:c r="C301" s="12" t="str">
        <x:f>IFERROR(VLOOKUP($A301,Athlete_Profile!$A$2:$L$51,5,FALSE),"")</x:f>
        <x:v>Male</x:v>
      </x:c>
      <x:c r="D301" s="12" t="str">
        <x:v>impulse</x:v>
      </x:c>
      <x:c r="E301" s="12" t="str">
        <x:f>IFERROR(VLOOKUP($D301,Dropdown_Lists!$K$2:$N$7,2,FALSE),"")</x:f>
        <x:v>Impulse-Momentum</x:v>
      </x:c>
      <x:c r="F301" s="12" t="str">
        <x:f>IFERROR(VLOOKUP($D301,Dropdown_Lists!$K$2:$N$7,3,FALSE),"")</x:f>
        <x:v>higher</x:v>
      </x:c>
      <x:c r="G301" s="17" t="n">
        <x:f>IFERROR(LOOKUP(2,1/((Performance_Metrics!$A$2:$A$3000=$A301)*(Performance_Metrics!$D$2:$D$3000=$D301)),Performance_Metrics!$C$2:$C$3000),"")</x:f>
        <x:v>46230</x:v>
      </x:c>
      <x:c r="H301" s="12" t="n">
        <x:f>IFERROR(LOOKUP(2,1/((Performance_Metrics!$A$2:$A$3000=$A301)*(Performance_Metrics!$D$2:$D$3000=$D301)),Performance_Metrics!$G$2:$G$3000),"")</x:f>
        <x:v>235</x:v>
      </x:c>
      <x:c r="I301" s="12" t="n">
        <x:f>IFERROR(SUMIFS(Normative_Data!$G$2:$G$1000,Normative_Data!$A$2:$A$1000,$B301,Normative_Data!$B$2:$B$1000,$C301,Normative_Data!$E$2:$E$1000,$D301),"")</x:f>
        <x:v>224.68</x:v>
      </x:c>
      <x:c r="J301" s="18" t="n">
        <x:f>IF(OR($H301="",$I301=""),"",($H301-$I301)/$I301)</x:f>
        <x:v>0.045931992166636966</x:v>
      </x:c>
      <x:c r="K301" s="12" t="str">
        <x:f>IF(OR($H301="",$I301="",$F301=""),"",IF(ABS($J301)&lt;=0.05,"Equal to Norm",IF($F301="lower",IF($H301&lt;$I301,"Above Norm","Below Norm"),IF($H301&gt;$I301,"Above Norm","Below Norm"))))</x:f>
        <x:v>Equal to Norm</x:v>
      </x:c>
      <x:c r="L301" s="12" t="str">
        <x:f>IFERROR(VLOOKUP($D301&amp;"|"&amp;$K301,Recommendation_Lookup!$A$2:$H$19,2,FALSE),"")</x:f>
        <x:v>Improve force applied over time</x:v>
      </x:c>
      <x:c r="M301" s="12" t="str">
        <x:f>IFERROR(VLOOKUP($D301&amp;"|"&amp;$K301,Recommendation_Lookup!$A$2:$H$19,3,FALSE),"")</x:f>
        <x:v>Strength; countermovement strategy; intent; coordination; power</x:v>
      </x:c>
      <x:c r="N301" s="12" t="str">
        <x:f>IFERROR(VLOOKUP($D301&amp;"|"&amp;$K301,Recommendation_Lookup!$A$2:$H$19,4,FALSE),"")</x:f>
        <x:v>Use loaded jumps, isometrics and strength-power exercises that improve the athlete’s ability to produce and sustain force through the propulsion phase.</x:v>
      </x:c>
      <x:c r="O301" s="12" t="str">
        <x:f>IFERROR(VLOOKUP($D301&amp;"|"&amp;$K301,Recommendation_Lookup!$A$2:$H$19,5,FALSE),"")</x:f>
        <x:v>RVX Power Development</x:v>
      </x:c>
      <x:c r="P301" s="12" t="str">
        <x:f>IFERROR(VLOOKUP($D301&amp;"|"&amp;$K301,Recommendation_Lookup!$A$2:$H$19,6,FALSE),"")</x:f>
        <x:v>RVX Strength-Speed</x:v>
      </x:c>
      <x:c r="Q301" s="12" t="str">
        <x:f>IFERROR(VLOOKUP($D301&amp;"|"&amp;$K301,Recommendation_Lookup!$A$2:$H$19,7,FALSE),"")</x:f>
        <x:v>Apply force early and continue driving through take-off.</x:v>
      </x:c>
      <x:c r="R301" s="12" t="str">
        <x:f>IFERROR(VLOOKUP($D301&amp;"|"&amp;$K301,Recommendation_Lookup!$A$2:$H$19,8,FALSE),"")</x:f>
        <x:v>Retest after 4–6 weeks.</x:v>
      </x:c>
      <x:c r="S301" s="12"/>
      <x:c r="T301" s="12"/>
      <x:c r="U301" s="12"/>
      <x:c r="V301" s="12"/>
      <x:c r="W301" s="12" t="str">
        <x:f>IF($S301&lt;&gt;"",$S301,$K301)</x:f>
        <x:v>Equal to Norm</x:v>
      </x:c>
      <x:c r="X301" s="12" t="str">
        <x:f>IF($T301&lt;&gt;"",$T301,$L301)</x:f>
        <x:v>Improve force applied over time</x:v>
      </x:c>
      <x:c r="Y301" s="12" t="str">
        <x:f>IF($U301&lt;&gt;"",$U301,$N301)</x:f>
        <x:v>Use loaded jumps, isometrics and strength-power exercises that improve the athlete’s ability to produce and sustain force through the propulsion phase.</x:v>
      </x:c>
      <x:c r="Z301" s="12" t="str">
        <x:f>IF($V301&lt;&gt;"",$V301,$O301)</x:f>
        <x:v>RVX Power Development</x:v>
      </x:c>
      <x:c r="AA301" s="12"/>
    </x:row>
    <x:row r="302">
      <x:c r="A302" s="12"/>
      <x:c r="B302" s="12"/>
      <x:c r="C302" s="12"/>
      <x:c r="D302" s="12"/>
      <x:c r="E302" s="12"/>
      <x:c r="F302" s="12"/>
      <x:c r="G302" s="17"/>
      <x:c r="H302" s="12"/>
      <x:c r="I302" s="12"/>
      <x:c r="J302" s="18"/>
      <x:c r="K302" s="12"/>
      <x:c r="L302" s="12"/>
      <x:c r="M302" s="12"/>
      <x:c r="N302" s="12"/>
      <x:c r="O302" s="12"/>
      <x:c r="P302" s="12"/>
      <x:c r="Q302" s="12"/>
      <x:c r="R302" s="12"/>
      <x:c r="S302" s="12"/>
      <x:c r="T302" s="12"/>
      <x:c r="U302" s="12"/>
      <x:c r="V302" s="12"/>
      <x:c r="W302" s="12"/>
      <x:c r="X302" s="12"/>
      <x:c r="Y302" s="12"/>
      <x:c r="Z302" s="12"/>
      <x:c r="AA302" s="12"/>
    </x:row>
    <x:row r="303">
      <x:c r="A303" s="12"/>
      <x:c r="B303" s="12"/>
      <x:c r="C303" s="12"/>
      <x:c r="D303" s="12"/>
      <x:c r="E303" s="12"/>
      <x:c r="F303" s="12"/>
      <x:c r="G303" s="17"/>
      <x:c r="H303" s="12"/>
      <x:c r="I303" s="12"/>
      <x:c r="J303" s="18"/>
      <x:c r="K303" s="12"/>
      <x:c r="L303" s="12"/>
      <x:c r="M303" s="12"/>
      <x:c r="N303" s="12"/>
      <x:c r="O303" s="12"/>
      <x:c r="P303" s="12"/>
      <x:c r="Q303" s="12"/>
      <x:c r="R303" s="12"/>
      <x:c r="S303" s="12"/>
      <x:c r="T303" s="12"/>
      <x:c r="U303" s="12"/>
      <x:c r="V303" s="12"/>
      <x:c r="W303" s="12"/>
      <x:c r="X303" s="12"/>
      <x:c r="Y303" s="12"/>
      <x:c r="Z303" s="12"/>
      <x:c r="AA303" s="12"/>
    </x:row>
    <x:row r="304">
      <x:c r="A304" s="12"/>
      <x:c r="B304" s="12"/>
      <x:c r="C304" s="12"/>
      <x:c r="D304" s="12"/>
      <x:c r="E304" s="12"/>
      <x:c r="F304" s="12"/>
      <x:c r="G304" s="17"/>
      <x:c r="H304" s="12"/>
      <x:c r="I304" s="12"/>
      <x:c r="J304" s="18"/>
      <x:c r="K304" s="12"/>
      <x:c r="L304" s="12"/>
      <x:c r="M304" s="12"/>
      <x:c r="N304" s="12"/>
      <x:c r="O304" s="12"/>
      <x:c r="P304" s="12"/>
      <x:c r="Q304" s="12"/>
      <x:c r="R304" s="12"/>
      <x:c r="S304" s="12"/>
      <x:c r="T304" s="12"/>
      <x:c r="U304" s="12"/>
      <x:c r="V304" s="12"/>
      <x:c r="W304" s="12"/>
      <x:c r="X304" s="12"/>
      <x:c r="Y304" s="12"/>
      <x:c r="Z304" s="12"/>
      <x:c r="AA304" s="12"/>
    </x:row>
    <x:row r="305">
      <x:c r="A305" s="12"/>
      <x:c r="B305" s="12"/>
      <x:c r="C305" s="12"/>
      <x:c r="D305" s="12"/>
      <x:c r="E305" s="12"/>
      <x:c r="F305" s="12"/>
      <x:c r="G305" s="17"/>
      <x:c r="H305" s="12"/>
      <x:c r="I305" s="12"/>
      <x:c r="J305" s="18"/>
      <x:c r="K305" s="12"/>
      <x:c r="L305" s="12"/>
      <x:c r="M305" s="12"/>
      <x:c r="N305" s="12"/>
      <x:c r="O305" s="12"/>
      <x:c r="P305" s="12"/>
      <x:c r="Q305" s="12"/>
      <x:c r="R305" s="12"/>
      <x:c r="S305" s="12"/>
      <x:c r="T305" s="12"/>
      <x:c r="U305" s="12"/>
      <x:c r="V305" s="12"/>
      <x:c r="W305" s="12"/>
      <x:c r="X305" s="12"/>
      <x:c r="Y305" s="12"/>
      <x:c r="Z305" s="12"/>
      <x:c r="AA305" s="12"/>
    </x:row>
    <x:row r="306">
      <x:c r="A306" s="12"/>
      <x:c r="B306" s="12"/>
      <x:c r="C306" s="12"/>
      <x:c r="D306" s="12"/>
      <x:c r="E306" s="12"/>
      <x:c r="F306" s="12"/>
      <x:c r="G306" s="17"/>
      <x:c r="H306" s="12"/>
      <x:c r="I306" s="12"/>
      <x:c r="J306" s="18"/>
      <x:c r="K306" s="12"/>
      <x:c r="L306" s="12"/>
      <x:c r="M306" s="12"/>
      <x:c r="N306" s="12"/>
      <x:c r="O306" s="12"/>
      <x:c r="P306" s="12"/>
      <x:c r="Q306" s="12"/>
      <x:c r="R306" s="12"/>
      <x:c r="S306" s="12"/>
      <x:c r="T306" s="12"/>
      <x:c r="U306" s="12"/>
      <x:c r="V306" s="12"/>
      <x:c r="W306" s="12"/>
      <x:c r="X306" s="12"/>
      <x:c r="Y306" s="12"/>
      <x:c r="Z306" s="12"/>
      <x:c r="AA306" s="12"/>
    </x:row>
    <x:row r="307">
      <x:c r="A307" s="12"/>
      <x:c r="B307" s="12"/>
      <x:c r="C307" s="12"/>
      <x:c r="D307" s="12"/>
      <x:c r="E307" s="12"/>
      <x:c r="F307" s="12"/>
      <x:c r="G307" s="17"/>
      <x:c r="H307" s="12"/>
      <x:c r="I307" s="12"/>
      <x:c r="J307" s="18"/>
      <x:c r="K307" s="12"/>
      <x:c r="L307" s="12"/>
      <x:c r="M307" s="12"/>
      <x:c r="N307" s="12"/>
      <x:c r="O307" s="12"/>
      <x:c r="P307" s="12"/>
      <x:c r="Q307" s="12"/>
      <x:c r="R307" s="12"/>
      <x:c r="S307" s="12"/>
      <x:c r="T307" s="12"/>
      <x:c r="U307" s="12"/>
      <x:c r="V307" s="12"/>
      <x:c r="W307" s="12"/>
      <x:c r="X307" s="12"/>
      <x:c r="Y307" s="12"/>
      <x:c r="Z307" s="12"/>
      <x:c r="AA307" s="12"/>
    </x:row>
    <x:row r="308">
      <x:c r="A308" s="12"/>
      <x:c r="B308" s="12"/>
      <x:c r="C308" s="12"/>
      <x:c r="D308" s="12"/>
      <x:c r="E308" s="12"/>
      <x:c r="F308" s="12"/>
      <x:c r="G308" s="17"/>
      <x:c r="H308" s="12"/>
      <x:c r="I308" s="12"/>
      <x:c r="J308" s="18"/>
      <x:c r="K308" s="12"/>
      <x:c r="L308" s="12"/>
      <x:c r="M308" s="12"/>
      <x:c r="N308" s="12"/>
      <x:c r="O308" s="12"/>
      <x:c r="P308" s="12"/>
      <x:c r="Q308" s="12"/>
      <x:c r="R308" s="12"/>
      <x:c r="S308" s="12"/>
      <x:c r="T308" s="12"/>
      <x:c r="U308" s="12"/>
      <x:c r="V308" s="12"/>
      <x:c r="W308" s="12"/>
      <x:c r="X308" s="12"/>
      <x:c r="Y308" s="12"/>
      <x:c r="Z308" s="12"/>
      <x:c r="AA308" s="12"/>
    </x:row>
    <x:row r="309">
      <x:c r="A309" s="12"/>
      <x:c r="B309" s="12"/>
      <x:c r="C309" s="12"/>
      <x:c r="D309" s="12"/>
      <x:c r="E309" s="12"/>
      <x:c r="F309" s="12"/>
      <x:c r="G309" s="17"/>
      <x:c r="H309" s="12"/>
      <x:c r="I309" s="12"/>
      <x:c r="J309" s="18"/>
      <x:c r="K309" s="12"/>
      <x:c r="L309" s="12"/>
      <x:c r="M309" s="12"/>
      <x:c r="N309" s="12"/>
      <x:c r="O309" s="12"/>
      <x:c r="P309" s="12"/>
      <x:c r="Q309" s="12"/>
      <x:c r="R309" s="12"/>
      <x:c r="S309" s="12"/>
      <x:c r="T309" s="12"/>
      <x:c r="U309" s="12"/>
      <x:c r="V309" s="12"/>
      <x:c r="W309" s="12"/>
      <x:c r="X309" s="12"/>
      <x:c r="Y309" s="12"/>
      <x:c r="Z309" s="12"/>
      <x:c r="AA309" s="12"/>
    </x:row>
    <x:row r="310">
      <x:c r="A310" s="12"/>
      <x:c r="B310" s="12"/>
      <x:c r="C310" s="12"/>
      <x:c r="D310" s="12"/>
      <x:c r="E310" s="12"/>
      <x:c r="F310" s="12"/>
      <x:c r="G310" s="17"/>
      <x:c r="H310" s="12"/>
      <x:c r="I310" s="12"/>
      <x:c r="J310" s="18"/>
      <x:c r="K310" s="12"/>
      <x:c r="L310" s="12"/>
      <x:c r="M310" s="12"/>
      <x:c r="N310" s="12"/>
      <x:c r="O310" s="12"/>
      <x:c r="P310" s="12"/>
      <x:c r="Q310" s="12"/>
      <x:c r="R310" s="12"/>
      <x:c r="S310" s="12"/>
      <x:c r="T310" s="12"/>
      <x:c r="U310" s="12"/>
      <x:c r="V310" s="12"/>
      <x:c r="W310" s="12"/>
      <x:c r="X310" s="12"/>
      <x:c r="Y310" s="12"/>
      <x:c r="Z310" s="12"/>
      <x:c r="AA310" s="12"/>
    </x:row>
    <x:row r="311">
      <x:c r="A311" s="12"/>
      <x:c r="B311" s="12"/>
      <x:c r="C311" s="12"/>
      <x:c r="D311" s="12"/>
      <x:c r="E311" s="12"/>
      <x:c r="F311" s="12"/>
      <x:c r="G311" s="17"/>
      <x:c r="H311" s="12"/>
      <x:c r="I311" s="12"/>
      <x:c r="J311" s="18"/>
      <x:c r="K311" s="12"/>
      <x:c r="L311" s="12"/>
      <x:c r="M311" s="12"/>
      <x:c r="N311" s="12"/>
      <x:c r="O311" s="12"/>
      <x:c r="P311" s="12"/>
      <x:c r="Q311" s="12"/>
      <x:c r="R311" s="12"/>
      <x:c r="S311" s="12"/>
      <x:c r="T311" s="12"/>
      <x:c r="U311" s="12"/>
      <x:c r="V311" s="12"/>
      <x:c r="W311" s="12"/>
      <x:c r="X311" s="12"/>
      <x:c r="Y311" s="12"/>
      <x:c r="Z311" s="12"/>
      <x:c r="AA311" s="12"/>
    </x:row>
    <x:row r="312">
      <x:c r="A312" s="12"/>
      <x:c r="B312" s="12"/>
      <x:c r="C312" s="12"/>
      <x:c r="D312" s="12"/>
      <x:c r="E312" s="12"/>
      <x:c r="F312" s="12"/>
      <x:c r="G312" s="17"/>
      <x:c r="H312" s="12"/>
      <x:c r="I312" s="12"/>
      <x:c r="J312" s="18"/>
      <x:c r="K312" s="12"/>
      <x:c r="L312" s="12"/>
      <x:c r="M312" s="12"/>
      <x:c r="N312" s="12"/>
      <x:c r="O312" s="12"/>
      <x:c r="P312" s="12"/>
      <x:c r="Q312" s="12"/>
      <x:c r="R312" s="12"/>
      <x:c r="S312" s="12"/>
      <x:c r="T312" s="12"/>
      <x:c r="U312" s="12"/>
      <x:c r="V312" s="12"/>
      <x:c r="W312" s="12"/>
      <x:c r="X312" s="12"/>
      <x:c r="Y312" s="12"/>
      <x:c r="Z312" s="12"/>
      <x:c r="AA312" s="12"/>
    </x:row>
    <x:row r="313">
      <x:c r="A313" s="12"/>
      <x:c r="B313" s="12"/>
      <x:c r="C313" s="12"/>
      <x:c r="D313" s="12"/>
      <x:c r="E313" s="12"/>
      <x:c r="F313" s="12"/>
      <x:c r="G313" s="17"/>
      <x:c r="H313" s="12"/>
      <x:c r="I313" s="12"/>
      <x:c r="J313" s="18"/>
      <x:c r="K313" s="12"/>
      <x:c r="L313" s="12"/>
      <x:c r="M313" s="12"/>
      <x:c r="N313" s="12"/>
      <x:c r="O313" s="12"/>
      <x:c r="P313" s="12"/>
      <x:c r="Q313" s="12"/>
      <x:c r="R313" s="12"/>
      <x:c r="S313" s="12"/>
      <x:c r="T313" s="12"/>
      <x:c r="U313" s="12"/>
      <x:c r="V313" s="12"/>
      <x:c r="W313" s="12"/>
      <x:c r="X313" s="12"/>
      <x:c r="Y313" s="12"/>
      <x:c r="Z313" s="12"/>
      <x:c r="AA313" s="12"/>
    </x:row>
    <x:row r="314">
      <x:c r="A314" s="12"/>
      <x:c r="B314" s="12"/>
      <x:c r="C314" s="12"/>
      <x:c r="D314" s="12"/>
      <x:c r="E314" s="12"/>
      <x:c r="F314" s="12"/>
      <x:c r="G314" s="17"/>
      <x:c r="H314" s="12"/>
      <x:c r="I314" s="12"/>
      <x:c r="J314" s="18"/>
      <x:c r="K314" s="12"/>
      <x:c r="L314" s="12"/>
      <x:c r="M314" s="12"/>
      <x:c r="N314" s="12"/>
      <x:c r="O314" s="12"/>
      <x:c r="P314" s="12"/>
      <x:c r="Q314" s="12"/>
      <x:c r="R314" s="12"/>
      <x:c r="S314" s="12"/>
      <x:c r="T314" s="12"/>
      <x:c r="U314" s="12"/>
      <x:c r="V314" s="12"/>
      <x:c r="W314" s="12"/>
      <x:c r="X314" s="12"/>
      <x:c r="Y314" s="12"/>
      <x:c r="Z314" s="12"/>
      <x:c r="AA314" s="12"/>
    </x:row>
    <x:row r="315">
      <x:c r="A315" s="12"/>
      <x:c r="B315" s="12"/>
      <x:c r="C315" s="12"/>
      <x:c r="D315" s="12"/>
      <x:c r="E315" s="12"/>
      <x:c r="F315" s="12"/>
      <x:c r="G315" s="17"/>
      <x:c r="H315" s="12"/>
      <x:c r="I315" s="12"/>
      <x:c r="J315" s="18"/>
      <x:c r="K315" s="12"/>
      <x:c r="L315" s="12"/>
      <x:c r="M315" s="12"/>
      <x:c r="N315" s="12"/>
      <x:c r="O315" s="12"/>
      <x:c r="P315" s="12"/>
      <x:c r="Q315" s="12"/>
      <x:c r="R315" s="12"/>
      <x:c r="S315" s="12"/>
      <x:c r="T315" s="12"/>
      <x:c r="U315" s="12"/>
      <x:c r="V315" s="12"/>
      <x:c r="W315" s="12"/>
      <x:c r="X315" s="12"/>
      <x:c r="Y315" s="12"/>
      <x:c r="Z315" s="12"/>
      <x:c r="AA315" s="12"/>
    </x:row>
    <x:row r="316">
      <x:c r="A316" s="12"/>
      <x:c r="B316" s="12"/>
      <x:c r="C316" s="12"/>
      <x:c r="D316" s="12"/>
      <x:c r="E316" s="12"/>
      <x:c r="F316" s="12"/>
      <x:c r="G316" s="17"/>
      <x:c r="H316" s="12"/>
      <x:c r="I316" s="12"/>
      <x:c r="J316" s="18"/>
      <x:c r="K316" s="12"/>
      <x:c r="L316" s="12"/>
      <x:c r="M316" s="12"/>
      <x:c r="N316" s="12"/>
      <x:c r="O316" s="12"/>
      <x:c r="P316" s="12"/>
      <x:c r="Q316" s="12"/>
      <x:c r="R316" s="12"/>
      <x:c r="S316" s="12"/>
      <x:c r="T316" s="12"/>
      <x:c r="U316" s="12"/>
      <x:c r="V316" s="12"/>
      <x:c r="W316" s="12"/>
      <x:c r="X316" s="12"/>
      <x:c r="Y316" s="12"/>
      <x:c r="Z316" s="12"/>
      <x:c r="AA316" s="12"/>
    </x:row>
    <x:row r="317">
      <x:c r="A317" s="12"/>
      <x:c r="B317" s="12"/>
      <x:c r="C317" s="12"/>
      <x:c r="D317" s="12"/>
      <x:c r="E317" s="12"/>
      <x:c r="F317" s="12"/>
      <x:c r="G317" s="17"/>
      <x:c r="H317" s="12"/>
      <x:c r="I317" s="12"/>
      <x:c r="J317" s="18"/>
      <x:c r="K317" s="12"/>
      <x:c r="L317" s="12"/>
      <x:c r="M317" s="12"/>
      <x:c r="N317" s="12"/>
      <x:c r="O317" s="12"/>
      <x:c r="P317" s="12"/>
      <x:c r="Q317" s="12"/>
      <x:c r="R317" s="12"/>
      <x:c r="S317" s="12"/>
      <x:c r="T317" s="12"/>
      <x:c r="U317" s="12"/>
      <x:c r="V317" s="12"/>
      <x:c r="W317" s="12"/>
      <x:c r="X317" s="12"/>
      <x:c r="Y317" s="12"/>
      <x:c r="Z317" s="12"/>
      <x:c r="AA317" s="12"/>
    </x:row>
    <x:row r="318">
      <x:c r="A318" s="12"/>
      <x:c r="B318" s="12"/>
      <x:c r="C318" s="12"/>
      <x:c r="D318" s="12"/>
      <x:c r="E318" s="12"/>
      <x:c r="F318" s="12"/>
      <x:c r="G318" s="17"/>
      <x:c r="H318" s="12"/>
      <x:c r="I318" s="12"/>
      <x:c r="J318" s="18"/>
      <x:c r="K318" s="12"/>
      <x:c r="L318" s="12"/>
      <x:c r="M318" s="12"/>
      <x:c r="N318" s="12"/>
      <x:c r="O318" s="12"/>
      <x:c r="P318" s="12"/>
      <x:c r="Q318" s="12"/>
      <x:c r="R318" s="12"/>
      <x:c r="S318" s="12"/>
      <x:c r="T318" s="12"/>
      <x:c r="U318" s="12"/>
      <x:c r="V318" s="12"/>
      <x:c r="W318" s="12"/>
      <x:c r="X318" s="12"/>
      <x:c r="Y318" s="12"/>
      <x:c r="Z318" s="12"/>
      <x:c r="AA318" s="12"/>
    </x:row>
    <x:row r="319">
      <x:c r="A319" s="12"/>
      <x:c r="B319" s="12"/>
      <x:c r="C319" s="12"/>
      <x:c r="D319" s="12"/>
      <x:c r="E319" s="12"/>
      <x:c r="F319" s="12"/>
      <x:c r="G319" s="17"/>
      <x:c r="H319" s="12"/>
      <x:c r="I319" s="12"/>
      <x:c r="J319" s="18"/>
      <x:c r="K319" s="12"/>
      <x:c r="L319" s="12"/>
      <x:c r="M319" s="12"/>
      <x:c r="N319" s="12"/>
      <x:c r="O319" s="12"/>
      <x:c r="P319" s="12"/>
      <x:c r="Q319" s="12"/>
      <x:c r="R319" s="12"/>
      <x:c r="S319" s="12"/>
      <x:c r="T319" s="12"/>
      <x:c r="U319" s="12"/>
      <x:c r="V319" s="12"/>
      <x:c r="W319" s="12"/>
      <x:c r="X319" s="12"/>
      <x:c r="Y319" s="12"/>
      <x:c r="Z319" s="12"/>
      <x:c r="AA319" s="12"/>
    </x:row>
    <x:row r="320">
      <x:c r="A320" s="12"/>
      <x:c r="B320" s="12"/>
      <x:c r="C320" s="12"/>
      <x:c r="D320" s="12"/>
      <x:c r="E320" s="12"/>
      <x:c r="F320" s="12"/>
      <x:c r="G320" s="17"/>
      <x:c r="H320" s="12"/>
      <x:c r="I320" s="12"/>
      <x:c r="J320" s="18"/>
      <x:c r="K320" s="12"/>
      <x:c r="L320" s="12"/>
      <x:c r="M320" s="12"/>
      <x:c r="N320" s="12"/>
      <x:c r="O320" s="12"/>
      <x:c r="P320" s="12"/>
      <x:c r="Q320" s="12"/>
      <x:c r="R320" s="12"/>
      <x:c r="S320" s="12"/>
      <x:c r="T320" s="12"/>
      <x:c r="U320" s="12"/>
      <x:c r="V320" s="12"/>
      <x:c r="W320" s="12"/>
      <x:c r="X320" s="12"/>
      <x:c r="Y320" s="12"/>
      <x:c r="Z320" s="12"/>
      <x:c r="AA320" s="12"/>
    </x:row>
    <x:row r="321">
      <x:c r="A321" s="12"/>
      <x:c r="B321" s="12"/>
      <x:c r="C321" s="12"/>
      <x:c r="D321" s="12"/>
      <x:c r="E321" s="12"/>
      <x:c r="F321" s="12"/>
      <x:c r="G321" s="17"/>
      <x:c r="H321" s="12"/>
      <x:c r="I321" s="12"/>
      <x:c r="J321" s="18"/>
      <x:c r="K321" s="12"/>
      <x:c r="L321" s="12"/>
      <x:c r="M321" s="12"/>
      <x:c r="N321" s="12"/>
      <x:c r="O321" s="12"/>
      <x:c r="P321" s="12"/>
      <x:c r="Q321" s="12"/>
      <x:c r="R321" s="12"/>
      <x:c r="S321" s="12"/>
      <x:c r="T321" s="12"/>
      <x:c r="U321" s="12"/>
      <x:c r="V321" s="12"/>
      <x:c r="W321" s="12"/>
      <x:c r="X321" s="12"/>
      <x:c r="Y321" s="12"/>
      <x:c r="Z321" s="12"/>
      <x:c r="AA321" s="12"/>
    </x:row>
    <x:row r="322">
      <x:c r="A322" s="12"/>
      <x:c r="B322" s="12"/>
      <x:c r="C322" s="12"/>
      <x:c r="D322" s="12"/>
      <x:c r="E322" s="12"/>
      <x:c r="F322" s="12"/>
      <x:c r="G322" s="17"/>
      <x:c r="H322" s="12"/>
      <x:c r="I322" s="12"/>
      <x:c r="J322" s="18"/>
      <x:c r="K322" s="12"/>
      <x:c r="L322" s="12"/>
      <x:c r="M322" s="12"/>
      <x:c r="N322" s="12"/>
      <x:c r="O322" s="12"/>
      <x:c r="P322" s="12"/>
      <x:c r="Q322" s="12"/>
      <x:c r="R322" s="12"/>
      <x:c r="S322" s="12"/>
      <x:c r="T322" s="12"/>
      <x:c r="U322" s="12"/>
      <x:c r="V322" s="12"/>
      <x:c r="W322" s="12"/>
      <x:c r="X322" s="12"/>
      <x:c r="Y322" s="12"/>
      <x:c r="Z322" s="12"/>
      <x:c r="AA322" s="12"/>
    </x:row>
    <x:row r="323">
      <x:c r="A323" s="12"/>
      <x:c r="B323" s="12"/>
      <x:c r="C323" s="12"/>
      <x:c r="D323" s="12"/>
      <x:c r="E323" s="12"/>
      <x:c r="F323" s="12"/>
      <x:c r="G323" s="17"/>
      <x:c r="H323" s="12"/>
      <x:c r="I323" s="12"/>
      <x:c r="J323" s="18"/>
      <x:c r="K323" s="12"/>
      <x:c r="L323" s="12"/>
      <x:c r="M323" s="12"/>
      <x:c r="N323" s="12"/>
      <x:c r="O323" s="12"/>
      <x:c r="P323" s="12"/>
      <x:c r="Q323" s="12"/>
      <x:c r="R323" s="12"/>
      <x:c r="S323" s="12"/>
      <x:c r="T323" s="12"/>
      <x:c r="U323" s="12"/>
      <x:c r="V323" s="12"/>
      <x:c r="W323" s="12"/>
      <x:c r="X323" s="12"/>
      <x:c r="Y323" s="12"/>
      <x:c r="Z323" s="12"/>
      <x:c r="AA323" s="12"/>
    </x:row>
    <x:row r="324">
      <x:c r="A324" s="12"/>
      <x:c r="B324" s="12"/>
      <x:c r="C324" s="12"/>
      <x:c r="D324" s="12"/>
      <x:c r="E324" s="12"/>
      <x:c r="F324" s="12"/>
      <x:c r="G324" s="17"/>
      <x:c r="H324" s="12"/>
      <x:c r="I324" s="12"/>
      <x:c r="J324" s="18"/>
      <x:c r="K324" s="12"/>
      <x:c r="L324" s="12"/>
      <x:c r="M324" s="12"/>
      <x:c r="N324" s="12"/>
      <x:c r="O324" s="12"/>
      <x:c r="P324" s="12"/>
      <x:c r="Q324" s="12"/>
      <x:c r="R324" s="12"/>
      <x:c r="S324" s="12"/>
      <x:c r="T324" s="12"/>
      <x:c r="U324" s="12"/>
      <x:c r="V324" s="12"/>
      <x:c r="W324" s="12"/>
      <x:c r="X324" s="12"/>
      <x:c r="Y324" s="12"/>
      <x:c r="Z324" s="12"/>
      <x:c r="AA324" s="12"/>
    </x:row>
    <x:row r="325">
      <x:c r="A325" s="12"/>
      <x:c r="B325" s="12"/>
      <x:c r="C325" s="12"/>
      <x:c r="D325" s="12"/>
      <x:c r="E325" s="12"/>
      <x:c r="F325" s="12"/>
      <x:c r="G325" s="17"/>
      <x:c r="H325" s="12"/>
      <x:c r="I325" s="12"/>
      <x:c r="J325" s="18"/>
      <x:c r="K325" s="12"/>
      <x:c r="L325" s="12"/>
      <x:c r="M325" s="12"/>
      <x:c r="N325" s="12"/>
      <x:c r="O325" s="12"/>
      <x:c r="P325" s="12"/>
      <x:c r="Q325" s="12"/>
      <x:c r="R325" s="12"/>
      <x:c r="S325" s="12"/>
      <x:c r="T325" s="12"/>
      <x:c r="U325" s="12"/>
      <x:c r="V325" s="12"/>
      <x:c r="W325" s="12"/>
      <x:c r="X325" s="12"/>
      <x:c r="Y325" s="12"/>
      <x:c r="Z325" s="12"/>
      <x:c r="AA325" s="12"/>
    </x:row>
    <x:row r="326">
      <x:c r="A326" s="12"/>
      <x:c r="B326" s="12"/>
      <x:c r="C326" s="12"/>
      <x:c r="D326" s="12"/>
      <x:c r="E326" s="12"/>
      <x:c r="F326" s="12"/>
      <x:c r="G326" s="17"/>
      <x:c r="H326" s="12"/>
      <x:c r="I326" s="12"/>
      <x:c r="J326" s="18"/>
      <x:c r="K326" s="12"/>
      <x:c r="L326" s="12"/>
      <x:c r="M326" s="12"/>
      <x:c r="N326" s="12"/>
      <x:c r="O326" s="12"/>
      <x:c r="P326" s="12"/>
      <x:c r="Q326" s="12"/>
      <x:c r="R326" s="12"/>
      <x:c r="S326" s="12"/>
      <x:c r="T326" s="12"/>
      <x:c r="U326" s="12"/>
      <x:c r="V326" s="12"/>
      <x:c r="W326" s="12"/>
      <x:c r="X326" s="12"/>
      <x:c r="Y326" s="12"/>
      <x:c r="Z326" s="12"/>
      <x:c r="AA326" s="12"/>
    </x:row>
    <x:row r="327">
      <x:c r="A327" s="12"/>
      <x:c r="B327" s="12"/>
      <x:c r="C327" s="12"/>
      <x:c r="D327" s="12"/>
      <x:c r="E327" s="12"/>
      <x:c r="F327" s="12"/>
      <x:c r="G327" s="17"/>
      <x:c r="H327" s="12"/>
      <x:c r="I327" s="12"/>
      <x:c r="J327" s="18"/>
      <x:c r="K327" s="12"/>
      <x:c r="L327" s="12"/>
      <x:c r="M327" s="12"/>
      <x:c r="N327" s="12"/>
      <x:c r="O327" s="12"/>
      <x:c r="P327" s="12"/>
      <x:c r="Q327" s="12"/>
      <x:c r="R327" s="12"/>
      <x:c r="S327" s="12"/>
      <x:c r="T327" s="12"/>
      <x:c r="U327" s="12"/>
      <x:c r="V327" s="12"/>
      <x:c r="W327" s="12"/>
      <x:c r="X327" s="12"/>
      <x:c r="Y327" s="12"/>
      <x:c r="Z327" s="12"/>
      <x:c r="AA327" s="12"/>
    </x:row>
    <x:row r="328">
      <x:c r="A328" s="12"/>
      <x:c r="B328" s="12"/>
      <x:c r="C328" s="12"/>
      <x:c r="D328" s="12"/>
      <x:c r="E328" s="12"/>
      <x:c r="F328" s="12"/>
      <x:c r="G328" s="17"/>
      <x:c r="H328" s="12"/>
      <x:c r="I328" s="12"/>
      <x:c r="J328" s="18"/>
      <x:c r="K328" s="12"/>
      <x:c r="L328" s="12"/>
      <x:c r="M328" s="12"/>
      <x:c r="N328" s="12"/>
      <x:c r="O328" s="12"/>
      <x:c r="P328" s="12"/>
      <x:c r="Q328" s="12"/>
      <x:c r="R328" s="12"/>
      <x:c r="S328" s="12"/>
      <x:c r="T328" s="12"/>
      <x:c r="U328" s="12"/>
      <x:c r="V328" s="12"/>
      <x:c r="W328" s="12"/>
      <x:c r="X328" s="12"/>
      <x:c r="Y328" s="12"/>
      <x:c r="Z328" s="12"/>
      <x:c r="AA328" s="12"/>
    </x:row>
    <x:row r="329">
      <x:c r="A329" s="12"/>
      <x:c r="B329" s="12"/>
      <x:c r="C329" s="12"/>
      <x:c r="D329" s="12"/>
      <x:c r="E329" s="12"/>
      <x:c r="F329" s="12"/>
      <x:c r="G329" s="17"/>
      <x:c r="H329" s="12"/>
      <x:c r="I329" s="12"/>
      <x:c r="J329" s="18"/>
      <x:c r="K329" s="12"/>
      <x:c r="L329" s="12"/>
      <x:c r="M329" s="12"/>
      <x:c r="N329" s="12"/>
      <x:c r="O329" s="12"/>
      <x:c r="P329" s="12"/>
      <x:c r="Q329" s="12"/>
      <x:c r="R329" s="12"/>
      <x:c r="S329" s="12"/>
      <x:c r="T329" s="12"/>
      <x:c r="U329" s="12"/>
      <x:c r="V329" s="12"/>
      <x:c r="W329" s="12"/>
      <x:c r="X329" s="12"/>
      <x:c r="Y329" s="12"/>
      <x:c r="Z329" s="12"/>
      <x:c r="AA329" s="12"/>
    </x:row>
    <x:row r="330">
      <x:c r="A330" s="12"/>
      <x:c r="B330" s="12"/>
      <x:c r="C330" s="12"/>
      <x:c r="D330" s="12"/>
      <x:c r="E330" s="12"/>
      <x:c r="F330" s="12"/>
      <x:c r="G330" s="17"/>
      <x:c r="H330" s="12"/>
      <x:c r="I330" s="12"/>
      <x:c r="J330" s="18"/>
      <x:c r="K330" s="12"/>
      <x:c r="L330" s="12"/>
      <x:c r="M330" s="12"/>
      <x:c r="N330" s="12"/>
      <x:c r="O330" s="12"/>
      <x:c r="P330" s="12"/>
      <x:c r="Q330" s="12"/>
      <x:c r="R330" s="12"/>
      <x:c r="S330" s="12"/>
      <x:c r="T330" s="12"/>
      <x:c r="U330" s="12"/>
      <x:c r="V330" s="12"/>
      <x:c r="W330" s="12"/>
      <x:c r="X330" s="12"/>
      <x:c r="Y330" s="12"/>
      <x:c r="Z330" s="12"/>
      <x:c r="AA330" s="12"/>
    </x:row>
    <x:row r="331">
      <x:c r="A331" s="12"/>
      <x:c r="B331" s="12"/>
      <x:c r="C331" s="12"/>
      <x:c r="D331" s="12"/>
      <x:c r="E331" s="12"/>
      <x:c r="F331" s="12"/>
      <x:c r="G331" s="17"/>
      <x:c r="H331" s="12"/>
      <x:c r="I331" s="12"/>
      <x:c r="J331" s="18"/>
      <x:c r="K331" s="12"/>
      <x:c r="L331" s="12"/>
      <x:c r="M331" s="12"/>
      <x:c r="N331" s="12"/>
      <x:c r="O331" s="12"/>
      <x:c r="P331" s="12"/>
      <x:c r="Q331" s="12"/>
      <x:c r="R331" s="12"/>
      <x:c r="S331" s="12"/>
      <x:c r="T331" s="12"/>
      <x:c r="U331" s="12"/>
      <x:c r="V331" s="12"/>
      <x:c r="W331" s="12"/>
      <x:c r="X331" s="12"/>
      <x:c r="Y331" s="12"/>
      <x:c r="Z331" s="12"/>
      <x:c r="AA331" s="12"/>
    </x:row>
    <x:row r="332">
      <x:c r="A332" s="12"/>
      <x:c r="B332" s="12"/>
      <x:c r="C332" s="12"/>
      <x:c r="D332" s="12"/>
      <x:c r="E332" s="12"/>
      <x:c r="F332" s="12"/>
      <x:c r="G332" s="17"/>
      <x:c r="H332" s="12"/>
      <x:c r="I332" s="12"/>
      <x:c r="J332" s="18"/>
      <x:c r="K332" s="12"/>
      <x:c r="L332" s="12"/>
      <x:c r="M332" s="12"/>
      <x:c r="N332" s="12"/>
      <x:c r="O332" s="12"/>
      <x:c r="P332" s="12"/>
      <x:c r="Q332" s="12"/>
      <x:c r="R332" s="12"/>
      <x:c r="S332" s="12"/>
      <x:c r="T332" s="12"/>
      <x:c r="U332" s="12"/>
      <x:c r="V332" s="12"/>
      <x:c r="W332" s="12"/>
      <x:c r="X332" s="12"/>
      <x:c r="Y332" s="12"/>
      <x:c r="Z332" s="12"/>
      <x:c r="AA332" s="12"/>
    </x:row>
    <x:row r="333">
      <x:c r="A333" s="12"/>
      <x:c r="B333" s="12"/>
      <x:c r="C333" s="12"/>
      <x:c r="D333" s="12"/>
      <x:c r="E333" s="12"/>
      <x:c r="F333" s="12"/>
      <x:c r="G333" s="17"/>
      <x:c r="H333" s="12"/>
      <x:c r="I333" s="12"/>
      <x:c r="J333" s="18"/>
      <x:c r="K333" s="12"/>
      <x:c r="L333" s="12"/>
      <x:c r="M333" s="12"/>
      <x:c r="N333" s="12"/>
      <x:c r="O333" s="12"/>
      <x:c r="P333" s="12"/>
      <x:c r="Q333" s="12"/>
      <x:c r="R333" s="12"/>
      <x:c r="S333" s="12"/>
      <x:c r="T333" s="12"/>
      <x:c r="U333" s="12"/>
      <x:c r="V333" s="12"/>
      <x:c r="W333" s="12"/>
      <x:c r="X333" s="12"/>
      <x:c r="Y333" s="12"/>
      <x:c r="Z333" s="12"/>
      <x:c r="AA333" s="12"/>
    </x:row>
    <x:row r="334">
      <x:c r="A334" s="12"/>
      <x:c r="B334" s="12"/>
      <x:c r="C334" s="12"/>
      <x:c r="D334" s="12"/>
      <x:c r="E334" s="12"/>
      <x:c r="F334" s="12"/>
      <x:c r="G334" s="17"/>
      <x:c r="H334" s="12"/>
      <x:c r="I334" s="12"/>
      <x:c r="J334" s="18"/>
      <x:c r="K334" s="12"/>
      <x:c r="L334" s="12"/>
      <x:c r="M334" s="12"/>
      <x:c r="N334" s="12"/>
      <x:c r="O334" s="12"/>
      <x:c r="P334" s="12"/>
      <x:c r="Q334" s="12"/>
      <x:c r="R334" s="12"/>
      <x:c r="S334" s="12"/>
      <x:c r="T334" s="12"/>
      <x:c r="U334" s="12"/>
      <x:c r="V334" s="12"/>
      <x:c r="W334" s="12"/>
      <x:c r="X334" s="12"/>
      <x:c r="Y334" s="12"/>
      <x:c r="Z334" s="12"/>
      <x:c r="AA334" s="12"/>
    </x:row>
    <x:row r="335">
      <x:c r="A335" s="12"/>
      <x:c r="B335" s="12"/>
      <x:c r="C335" s="12"/>
      <x:c r="D335" s="12"/>
      <x:c r="E335" s="12"/>
      <x:c r="F335" s="12"/>
      <x:c r="G335" s="17"/>
      <x:c r="H335" s="12"/>
      <x:c r="I335" s="12"/>
      <x:c r="J335" s="18"/>
      <x:c r="K335" s="12"/>
      <x:c r="L335" s="12"/>
      <x:c r="M335" s="12"/>
      <x:c r="N335" s="12"/>
      <x:c r="O335" s="12"/>
      <x:c r="P335" s="12"/>
      <x:c r="Q335" s="12"/>
      <x:c r="R335" s="12"/>
      <x:c r="S335" s="12"/>
      <x:c r="T335" s="12"/>
      <x:c r="U335" s="12"/>
      <x:c r="V335" s="12"/>
      <x:c r="W335" s="12"/>
      <x:c r="X335" s="12"/>
      <x:c r="Y335" s="12"/>
      <x:c r="Z335" s="12"/>
      <x:c r="AA335" s="12"/>
    </x:row>
    <x:row r="336">
      <x:c r="A336" s="12"/>
      <x:c r="B336" s="12"/>
      <x:c r="C336" s="12"/>
      <x:c r="D336" s="12"/>
      <x:c r="E336" s="12"/>
      <x:c r="F336" s="12"/>
      <x:c r="G336" s="17"/>
      <x:c r="H336" s="12"/>
      <x:c r="I336" s="12"/>
      <x:c r="J336" s="18"/>
      <x:c r="K336" s="12"/>
      <x:c r="L336" s="12"/>
      <x:c r="M336" s="12"/>
      <x:c r="N336" s="12"/>
      <x:c r="O336" s="12"/>
      <x:c r="P336" s="12"/>
      <x:c r="Q336" s="12"/>
      <x:c r="R336" s="12"/>
      <x:c r="S336" s="12"/>
      <x:c r="T336" s="12"/>
      <x:c r="U336" s="12"/>
      <x:c r="V336" s="12"/>
      <x:c r="W336" s="12"/>
      <x:c r="X336" s="12"/>
      <x:c r="Y336" s="12"/>
      <x:c r="Z336" s="12"/>
      <x:c r="AA336" s="12"/>
    </x:row>
    <x:row r="337">
      <x:c r="A337" s="12"/>
      <x:c r="B337" s="12"/>
      <x:c r="C337" s="12"/>
      <x:c r="D337" s="12"/>
      <x:c r="E337" s="12"/>
      <x:c r="F337" s="12"/>
      <x:c r="G337" s="17"/>
      <x:c r="H337" s="12"/>
      <x:c r="I337" s="12"/>
      <x:c r="J337" s="18"/>
      <x:c r="K337" s="12"/>
      <x:c r="L337" s="12"/>
      <x:c r="M337" s="12"/>
      <x:c r="N337" s="12"/>
      <x:c r="O337" s="12"/>
      <x:c r="P337" s="12"/>
      <x:c r="Q337" s="12"/>
      <x:c r="R337" s="12"/>
      <x:c r="S337" s="12"/>
      <x:c r="T337" s="12"/>
      <x:c r="U337" s="12"/>
      <x:c r="V337" s="12"/>
      <x:c r="W337" s="12"/>
      <x:c r="X337" s="12"/>
      <x:c r="Y337" s="12"/>
      <x:c r="Z337" s="12"/>
      <x:c r="AA337" s="12"/>
    </x:row>
    <x:row r="338">
      <x:c r="A338" s="12"/>
      <x:c r="B338" s="12"/>
      <x:c r="C338" s="12"/>
      <x:c r="D338" s="12"/>
      <x:c r="E338" s="12"/>
      <x:c r="F338" s="12"/>
      <x:c r="G338" s="17"/>
      <x:c r="H338" s="12"/>
      <x:c r="I338" s="12"/>
      <x:c r="J338" s="18"/>
      <x:c r="K338" s="12"/>
      <x:c r="L338" s="12"/>
      <x:c r="M338" s="12"/>
      <x:c r="N338" s="12"/>
      <x:c r="O338" s="12"/>
      <x:c r="P338" s="12"/>
      <x:c r="Q338" s="12"/>
      <x:c r="R338" s="12"/>
      <x:c r="S338" s="12"/>
      <x:c r="T338" s="12"/>
      <x:c r="U338" s="12"/>
      <x:c r="V338" s="12"/>
      <x:c r="W338" s="12"/>
      <x:c r="X338" s="12"/>
      <x:c r="Y338" s="12"/>
      <x:c r="Z338" s="12"/>
      <x:c r="AA338" s="12"/>
    </x:row>
    <x:row r="339">
      <x:c r="A339" s="12"/>
      <x:c r="B339" s="12"/>
      <x:c r="C339" s="12"/>
      <x:c r="D339" s="12"/>
      <x:c r="E339" s="12"/>
      <x:c r="F339" s="12"/>
      <x:c r="G339" s="17"/>
      <x:c r="H339" s="12"/>
      <x:c r="I339" s="12"/>
      <x:c r="J339" s="18"/>
      <x:c r="K339" s="12"/>
      <x:c r="L339" s="12"/>
      <x:c r="M339" s="12"/>
      <x:c r="N339" s="12"/>
      <x:c r="O339" s="12"/>
      <x:c r="P339" s="12"/>
      <x:c r="Q339" s="12"/>
      <x:c r="R339" s="12"/>
      <x:c r="S339" s="12"/>
      <x:c r="T339" s="12"/>
      <x:c r="U339" s="12"/>
      <x:c r="V339" s="12"/>
      <x:c r="W339" s="12"/>
      <x:c r="X339" s="12"/>
      <x:c r="Y339" s="12"/>
      <x:c r="Z339" s="12"/>
      <x:c r="AA339" s="12"/>
    </x:row>
    <x:row r="340">
      <x:c r="A340" s="12"/>
      <x:c r="B340" s="12"/>
      <x:c r="C340" s="12"/>
      <x:c r="D340" s="12"/>
      <x:c r="E340" s="12"/>
      <x:c r="F340" s="12"/>
      <x:c r="G340" s="17"/>
      <x:c r="H340" s="12"/>
      <x:c r="I340" s="12"/>
      <x:c r="J340" s="18"/>
      <x:c r="K340" s="12"/>
      <x:c r="L340" s="12"/>
      <x:c r="M340" s="12"/>
      <x:c r="N340" s="12"/>
      <x:c r="O340" s="12"/>
      <x:c r="P340" s="12"/>
      <x:c r="Q340" s="12"/>
      <x:c r="R340" s="12"/>
      <x:c r="S340" s="12"/>
      <x:c r="T340" s="12"/>
      <x:c r="U340" s="12"/>
      <x:c r="V340" s="12"/>
      <x:c r="W340" s="12"/>
      <x:c r="X340" s="12"/>
      <x:c r="Y340" s="12"/>
      <x:c r="Z340" s="12"/>
      <x:c r="AA340" s="12"/>
    </x:row>
    <x:row r="341">
      <x:c r="A341" s="12"/>
      <x:c r="B341" s="12"/>
      <x:c r="C341" s="12"/>
      <x:c r="D341" s="12"/>
      <x:c r="E341" s="12"/>
      <x:c r="F341" s="12"/>
      <x:c r="G341" s="17"/>
      <x:c r="H341" s="12"/>
      <x:c r="I341" s="12"/>
      <x:c r="J341" s="18"/>
      <x:c r="K341" s="12"/>
      <x:c r="L341" s="12"/>
      <x:c r="M341" s="12"/>
      <x:c r="N341" s="12"/>
      <x:c r="O341" s="12"/>
      <x:c r="P341" s="12"/>
      <x:c r="Q341" s="12"/>
      <x:c r="R341" s="12"/>
      <x:c r="S341" s="12"/>
      <x:c r="T341" s="12"/>
      <x:c r="U341" s="12"/>
      <x:c r="V341" s="12"/>
      <x:c r="W341" s="12"/>
      <x:c r="X341" s="12"/>
      <x:c r="Y341" s="12"/>
      <x:c r="Z341" s="12"/>
      <x:c r="AA341" s="12"/>
    </x:row>
    <x:row r="342">
      <x:c r="A342" s="12"/>
      <x:c r="B342" s="12"/>
      <x:c r="C342" s="12"/>
      <x:c r="D342" s="12"/>
      <x:c r="E342" s="12"/>
      <x:c r="F342" s="12"/>
      <x:c r="G342" s="17"/>
      <x:c r="H342" s="12"/>
      <x:c r="I342" s="12"/>
      <x:c r="J342" s="18"/>
      <x:c r="K342" s="12"/>
      <x:c r="L342" s="12"/>
      <x:c r="M342" s="12"/>
      <x:c r="N342" s="12"/>
      <x:c r="O342" s="12"/>
      <x:c r="P342" s="12"/>
      <x:c r="Q342" s="12"/>
      <x:c r="R342" s="12"/>
      <x:c r="S342" s="12"/>
      <x:c r="T342" s="12"/>
      <x:c r="U342" s="12"/>
      <x:c r="V342" s="12"/>
      <x:c r="W342" s="12"/>
      <x:c r="X342" s="12"/>
      <x:c r="Y342" s="12"/>
      <x:c r="Z342" s="12"/>
      <x:c r="AA342" s="12"/>
    </x:row>
    <x:row r="343">
      <x:c r="A343" s="12"/>
      <x:c r="B343" s="12"/>
      <x:c r="C343" s="12"/>
      <x:c r="D343" s="12"/>
      <x:c r="E343" s="12"/>
      <x:c r="F343" s="12"/>
      <x:c r="G343" s="17"/>
      <x:c r="H343" s="12"/>
      <x:c r="I343" s="12"/>
      <x:c r="J343" s="18"/>
      <x:c r="K343" s="12"/>
      <x:c r="L343" s="12"/>
      <x:c r="M343" s="12"/>
      <x:c r="N343" s="12"/>
      <x:c r="O343" s="12"/>
      <x:c r="P343" s="12"/>
      <x:c r="Q343" s="12"/>
      <x:c r="R343" s="12"/>
      <x:c r="S343" s="12"/>
      <x:c r="T343" s="12"/>
      <x:c r="U343" s="12"/>
      <x:c r="V343" s="12"/>
      <x:c r="W343" s="12"/>
      <x:c r="X343" s="12"/>
      <x:c r="Y343" s="12"/>
      <x:c r="Z343" s="12"/>
      <x:c r="AA343" s="12"/>
    </x:row>
    <x:row r="344">
      <x:c r="A344" s="12"/>
      <x:c r="B344" s="12"/>
      <x:c r="C344" s="12"/>
      <x:c r="D344" s="12"/>
      <x:c r="E344" s="12"/>
      <x:c r="F344" s="12"/>
      <x:c r="G344" s="17"/>
      <x:c r="H344" s="12"/>
      <x:c r="I344" s="12"/>
      <x:c r="J344" s="18"/>
      <x:c r="K344" s="12"/>
      <x:c r="L344" s="12"/>
      <x:c r="M344" s="12"/>
      <x:c r="N344" s="12"/>
      <x:c r="O344" s="12"/>
      <x:c r="P344" s="12"/>
      <x:c r="Q344" s="12"/>
      <x:c r="R344" s="12"/>
      <x:c r="S344" s="12"/>
      <x:c r="T344" s="12"/>
      <x:c r="U344" s="12"/>
      <x:c r="V344" s="12"/>
      <x:c r="W344" s="12"/>
      <x:c r="X344" s="12"/>
      <x:c r="Y344" s="12"/>
      <x:c r="Z344" s="12"/>
      <x:c r="AA344" s="12"/>
    </x:row>
    <x:row r="345">
      <x:c r="A345" s="12"/>
      <x:c r="B345" s="12"/>
      <x:c r="C345" s="12"/>
      <x:c r="D345" s="12"/>
      <x:c r="E345" s="12"/>
      <x:c r="F345" s="12"/>
      <x:c r="G345" s="17"/>
      <x:c r="H345" s="12"/>
      <x:c r="I345" s="12"/>
      <x:c r="J345" s="18"/>
      <x:c r="K345" s="12"/>
      <x:c r="L345" s="12"/>
      <x:c r="M345" s="12"/>
      <x:c r="N345" s="12"/>
      <x:c r="O345" s="12"/>
      <x:c r="P345" s="12"/>
      <x:c r="Q345" s="12"/>
      <x:c r="R345" s="12"/>
      <x:c r="S345" s="12"/>
      <x:c r="T345" s="12"/>
      <x:c r="U345" s="12"/>
      <x:c r="V345" s="12"/>
      <x:c r="W345" s="12"/>
      <x:c r="X345" s="12"/>
      <x:c r="Y345" s="12"/>
      <x:c r="Z345" s="12"/>
      <x:c r="AA345" s="12"/>
    </x:row>
    <x:row r="346">
      <x:c r="A346" s="12"/>
      <x:c r="B346" s="12"/>
      <x:c r="C346" s="12"/>
      <x:c r="D346" s="12"/>
      <x:c r="E346" s="12"/>
      <x:c r="F346" s="12"/>
      <x:c r="G346" s="17"/>
      <x:c r="H346" s="12"/>
      <x:c r="I346" s="12"/>
      <x:c r="J346" s="18"/>
      <x:c r="K346" s="12"/>
      <x:c r="L346" s="12"/>
      <x:c r="M346" s="12"/>
      <x:c r="N346" s="12"/>
      <x:c r="O346" s="12"/>
      <x:c r="P346" s="12"/>
      <x:c r="Q346" s="12"/>
      <x:c r="R346" s="12"/>
      <x:c r="S346" s="12"/>
      <x:c r="T346" s="12"/>
      <x:c r="U346" s="12"/>
      <x:c r="V346" s="12"/>
      <x:c r="W346" s="12"/>
      <x:c r="X346" s="12"/>
      <x:c r="Y346" s="12"/>
      <x:c r="Z346" s="12"/>
      <x:c r="AA346" s="12"/>
    </x:row>
    <x:row r="347">
      <x:c r="A347" s="12"/>
      <x:c r="B347" s="12"/>
      <x:c r="C347" s="12"/>
      <x:c r="D347" s="12"/>
      <x:c r="E347" s="12"/>
      <x:c r="F347" s="12"/>
      <x:c r="G347" s="17"/>
      <x:c r="H347" s="12"/>
      <x:c r="I347" s="12"/>
      <x:c r="J347" s="18"/>
      <x:c r="K347" s="12"/>
      <x:c r="L347" s="12"/>
      <x:c r="M347" s="12"/>
      <x:c r="N347" s="12"/>
      <x:c r="O347" s="12"/>
      <x:c r="P347" s="12"/>
      <x:c r="Q347" s="12"/>
      <x:c r="R347" s="12"/>
      <x:c r="S347" s="12"/>
      <x:c r="T347" s="12"/>
      <x:c r="U347" s="12"/>
      <x:c r="V347" s="12"/>
      <x:c r="W347" s="12"/>
      <x:c r="X347" s="12"/>
      <x:c r="Y347" s="12"/>
      <x:c r="Z347" s="12"/>
      <x:c r="AA347" s="12"/>
    </x:row>
    <x:row r="348">
      <x:c r="A348" s="12"/>
      <x:c r="B348" s="12"/>
      <x:c r="C348" s="12"/>
      <x:c r="D348" s="12"/>
      <x:c r="E348" s="12"/>
      <x:c r="F348" s="12"/>
      <x:c r="G348" s="17"/>
      <x:c r="H348" s="12"/>
      <x:c r="I348" s="12"/>
      <x:c r="J348" s="18"/>
      <x:c r="K348" s="12"/>
      <x:c r="L348" s="12"/>
      <x:c r="M348" s="12"/>
      <x:c r="N348" s="12"/>
      <x:c r="O348" s="12"/>
      <x:c r="P348" s="12"/>
      <x:c r="Q348" s="12"/>
      <x:c r="R348" s="12"/>
      <x:c r="S348" s="12"/>
      <x:c r="T348" s="12"/>
      <x:c r="U348" s="12"/>
      <x:c r="V348" s="12"/>
      <x:c r="W348" s="12"/>
      <x:c r="X348" s="12"/>
      <x:c r="Y348" s="12"/>
      <x:c r="Z348" s="12"/>
      <x:c r="AA348" s="12"/>
    </x:row>
    <x:row r="349">
      <x:c r="A349" s="12"/>
      <x:c r="B349" s="12"/>
      <x:c r="C349" s="12"/>
      <x:c r="D349" s="12"/>
      <x:c r="E349" s="12"/>
      <x:c r="F349" s="12"/>
      <x:c r="G349" s="17"/>
      <x:c r="H349" s="12"/>
      <x:c r="I349" s="12"/>
      <x:c r="J349" s="18"/>
      <x:c r="K349" s="12"/>
      <x:c r="L349" s="12"/>
      <x:c r="M349" s="12"/>
      <x:c r="N349" s="12"/>
      <x:c r="O349" s="12"/>
      <x:c r="P349" s="12"/>
      <x:c r="Q349" s="12"/>
      <x:c r="R349" s="12"/>
      <x:c r="S349" s="12"/>
      <x:c r="T349" s="12"/>
      <x:c r="U349" s="12"/>
      <x:c r="V349" s="12"/>
      <x:c r="W349" s="12"/>
      <x:c r="X349" s="12"/>
      <x:c r="Y349" s="12"/>
      <x:c r="Z349" s="12"/>
      <x:c r="AA349" s="12"/>
    </x:row>
    <x:row r="350">
      <x:c r="A350" s="12"/>
      <x:c r="B350" s="12"/>
      <x:c r="C350" s="12"/>
      <x:c r="D350" s="12"/>
      <x:c r="E350" s="12"/>
      <x:c r="F350" s="12"/>
      <x:c r="G350" s="17"/>
      <x:c r="H350" s="12"/>
      <x:c r="I350" s="12"/>
      <x:c r="J350" s="18"/>
      <x:c r="K350" s="12"/>
      <x:c r="L350" s="12"/>
      <x:c r="M350" s="12"/>
      <x:c r="N350" s="12"/>
      <x:c r="O350" s="12"/>
      <x:c r="P350" s="12"/>
      <x:c r="Q350" s="12"/>
      <x:c r="R350" s="12"/>
      <x:c r="S350" s="12"/>
      <x:c r="T350" s="12"/>
      <x:c r="U350" s="12"/>
      <x:c r="V350" s="12"/>
      <x:c r="W350" s="12"/>
      <x:c r="X350" s="12"/>
      <x:c r="Y350" s="12"/>
      <x:c r="Z350" s="12"/>
      <x:c r="AA350" s="12"/>
    </x:row>
    <x:row r="351">
      <x:c r="A351" s="12"/>
      <x:c r="B351" s="12"/>
      <x:c r="C351" s="12"/>
      <x:c r="D351" s="12"/>
      <x:c r="E351" s="12"/>
      <x:c r="F351" s="12"/>
      <x:c r="G351" s="17"/>
      <x:c r="H351" s="12"/>
      <x:c r="I351" s="12"/>
      <x:c r="J351" s="18"/>
      <x:c r="K351" s="12"/>
      <x:c r="L351" s="12"/>
      <x:c r="M351" s="12"/>
      <x:c r="N351" s="12"/>
      <x:c r="O351" s="12"/>
      <x:c r="P351" s="12"/>
      <x:c r="Q351" s="12"/>
      <x:c r="R351" s="12"/>
      <x:c r="S351" s="12"/>
      <x:c r="T351" s="12"/>
      <x:c r="U351" s="12"/>
      <x:c r="V351" s="12"/>
      <x:c r="W351" s="12"/>
      <x:c r="X351" s="12"/>
      <x:c r="Y351" s="12"/>
      <x:c r="Z351" s="12"/>
      <x:c r="AA351" s="12"/>
    </x:row>
    <x:row r="352">
      <x:c r="A352" s="12"/>
      <x:c r="B352" s="12"/>
      <x:c r="C352" s="12"/>
      <x:c r="D352" s="12"/>
      <x:c r="E352" s="12"/>
      <x:c r="F352" s="12"/>
      <x:c r="G352" s="17"/>
      <x:c r="H352" s="12"/>
      <x:c r="I352" s="12"/>
      <x:c r="J352" s="18"/>
      <x:c r="K352" s="12"/>
      <x:c r="L352" s="12"/>
      <x:c r="M352" s="12"/>
      <x:c r="N352" s="12"/>
      <x:c r="O352" s="12"/>
      <x:c r="P352" s="12"/>
      <x:c r="Q352" s="12"/>
      <x:c r="R352" s="12"/>
      <x:c r="S352" s="12"/>
      <x:c r="T352" s="12"/>
      <x:c r="U352" s="12"/>
      <x:c r="V352" s="12"/>
      <x:c r="W352" s="12"/>
      <x:c r="X352" s="12"/>
      <x:c r="Y352" s="12"/>
      <x:c r="Z352" s="12"/>
      <x:c r="AA352" s="12"/>
    </x:row>
    <x:row r="353">
      <x:c r="A353" s="12"/>
      <x:c r="B353" s="12"/>
      <x:c r="C353" s="12"/>
      <x:c r="D353" s="12"/>
      <x:c r="E353" s="12"/>
      <x:c r="F353" s="12"/>
      <x:c r="G353" s="17"/>
      <x:c r="H353" s="12"/>
      <x:c r="I353" s="12"/>
      <x:c r="J353" s="18"/>
      <x:c r="K353" s="12"/>
      <x:c r="L353" s="12"/>
      <x:c r="M353" s="12"/>
      <x:c r="N353" s="12"/>
      <x:c r="O353" s="12"/>
      <x:c r="P353" s="12"/>
      <x:c r="Q353" s="12"/>
      <x:c r="R353" s="12"/>
      <x:c r="S353" s="12"/>
      <x:c r="T353" s="12"/>
      <x:c r="U353" s="12"/>
      <x:c r="V353" s="12"/>
      <x:c r="W353" s="12"/>
      <x:c r="X353" s="12"/>
      <x:c r="Y353" s="12"/>
      <x:c r="Z353" s="12"/>
      <x:c r="AA353" s="12"/>
    </x:row>
    <x:row r="354">
      <x:c r="A354" s="12"/>
      <x:c r="B354" s="12"/>
      <x:c r="C354" s="12"/>
      <x:c r="D354" s="12"/>
      <x:c r="E354" s="12"/>
      <x:c r="F354" s="12"/>
      <x:c r="G354" s="17"/>
      <x:c r="H354" s="12"/>
      <x:c r="I354" s="12"/>
      <x:c r="J354" s="18"/>
      <x:c r="K354" s="12"/>
      <x:c r="L354" s="12"/>
      <x:c r="M354" s="12"/>
      <x:c r="N354" s="12"/>
      <x:c r="O354" s="12"/>
      <x:c r="P354" s="12"/>
      <x:c r="Q354" s="12"/>
      <x:c r="R354" s="12"/>
      <x:c r="S354" s="12"/>
      <x:c r="T354" s="12"/>
      <x:c r="U354" s="12"/>
      <x:c r="V354" s="12"/>
      <x:c r="W354" s="12"/>
      <x:c r="X354" s="12"/>
      <x:c r="Y354" s="12"/>
      <x:c r="Z354" s="12"/>
      <x:c r="AA354" s="12"/>
    </x:row>
    <x:row r="355">
      <x:c r="A355" s="12"/>
      <x:c r="B355" s="12"/>
      <x:c r="C355" s="12"/>
      <x:c r="D355" s="12"/>
      <x:c r="E355" s="12"/>
      <x:c r="F355" s="12"/>
      <x:c r="G355" s="17"/>
      <x:c r="H355" s="12"/>
      <x:c r="I355" s="12"/>
      <x:c r="J355" s="18"/>
      <x:c r="K355" s="12"/>
      <x:c r="L355" s="12"/>
      <x:c r="M355" s="12"/>
      <x:c r="N355" s="12"/>
      <x:c r="O355" s="12"/>
      <x:c r="P355" s="12"/>
      <x:c r="Q355" s="12"/>
      <x:c r="R355" s="12"/>
      <x:c r="S355" s="12"/>
      <x:c r="T355" s="12"/>
      <x:c r="U355" s="12"/>
      <x:c r="V355" s="12"/>
      <x:c r="W355" s="12"/>
      <x:c r="X355" s="12"/>
      <x:c r="Y355" s="12"/>
      <x:c r="Z355" s="12"/>
      <x:c r="AA355" s="12"/>
    </x:row>
    <x:row r="356">
      <x:c r="A356" s="12"/>
      <x:c r="B356" s="12"/>
      <x:c r="C356" s="12"/>
      <x:c r="D356" s="12"/>
      <x:c r="E356" s="12"/>
      <x:c r="F356" s="12"/>
      <x:c r="G356" s="17"/>
      <x:c r="H356" s="12"/>
      <x:c r="I356" s="12"/>
      <x:c r="J356" s="18"/>
      <x:c r="K356" s="12"/>
      <x:c r="L356" s="12"/>
      <x:c r="M356" s="12"/>
      <x:c r="N356" s="12"/>
      <x:c r="O356" s="12"/>
      <x:c r="P356" s="12"/>
      <x:c r="Q356" s="12"/>
      <x:c r="R356" s="12"/>
      <x:c r="S356" s="12"/>
      <x:c r="T356" s="12"/>
      <x:c r="U356" s="12"/>
      <x:c r="V356" s="12"/>
      <x:c r="W356" s="12"/>
      <x:c r="X356" s="12"/>
      <x:c r="Y356" s="12"/>
      <x:c r="Z356" s="12"/>
      <x:c r="AA356" s="12"/>
    </x:row>
    <x:row r="357">
      <x:c r="A357" s="12"/>
      <x:c r="B357" s="12"/>
      <x:c r="C357" s="12"/>
      <x:c r="D357" s="12"/>
      <x:c r="E357" s="12"/>
      <x:c r="F357" s="12"/>
      <x:c r="G357" s="17"/>
      <x:c r="H357" s="12"/>
      <x:c r="I357" s="12"/>
      <x:c r="J357" s="18"/>
      <x:c r="K357" s="12"/>
      <x:c r="L357" s="12"/>
      <x:c r="M357" s="12"/>
      <x:c r="N357" s="12"/>
      <x:c r="O357" s="12"/>
      <x:c r="P357" s="12"/>
      <x:c r="Q357" s="12"/>
      <x:c r="R357" s="12"/>
      <x:c r="S357" s="12"/>
      <x:c r="T357" s="12"/>
      <x:c r="U357" s="12"/>
      <x:c r="V357" s="12"/>
      <x:c r="W357" s="12"/>
      <x:c r="X357" s="12"/>
      <x:c r="Y357" s="12"/>
      <x:c r="Z357" s="12"/>
      <x:c r="AA357" s="12"/>
    </x:row>
    <x:row r="358">
      <x:c r="A358" s="12"/>
      <x:c r="B358" s="12"/>
      <x:c r="C358" s="12"/>
      <x:c r="D358" s="12"/>
      <x:c r="E358" s="12"/>
      <x:c r="F358" s="12"/>
      <x:c r="G358" s="17"/>
      <x:c r="H358" s="12"/>
      <x:c r="I358" s="12"/>
      <x:c r="J358" s="18"/>
      <x:c r="K358" s="12"/>
      <x:c r="L358" s="12"/>
      <x:c r="M358" s="12"/>
      <x:c r="N358" s="12"/>
      <x:c r="O358" s="12"/>
      <x:c r="P358" s="12"/>
      <x:c r="Q358" s="12"/>
      <x:c r="R358" s="12"/>
      <x:c r="S358" s="12"/>
      <x:c r="T358" s="12"/>
      <x:c r="U358" s="12"/>
      <x:c r="V358" s="12"/>
      <x:c r="W358" s="12"/>
      <x:c r="X358" s="12"/>
      <x:c r="Y358" s="12"/>
      <x:c r="Z358" s="12"/>
      <x:c r="AA358" s="12"/>
    </x:row>
    <x:row r="359">
      <x:c r="A359" s="12"/>
      <x:c r="B359" s="12"/>
      <x:c r="C359" s="12"/>
      <x:c r="D359" s="12"/>
      <x:c r="E359" s="12"/>
      <x:c r="F359" s="12"/>
      <x:c r="G359" s="17"/>
      <x:c r="H359" s="12"/>
      <x:c r="I359" s="12"/>
      <x:c r="J359" s="18"/>
      <x:c r="K359" s="12"/>
      <x:c r="L359" s="12"/>
      <x:c r="M359" s="12"/>
      <x:c r="N359" s="12"/>
      <x:c r="O359" s="12"/>
      <x:c r="P359" s="12"/>
      <x:c r="Q359" s="12"/>
      <x:c r="R359" s="12"/>
      <x:c r="S359" s="12"/>
      <x:c r="T359" s="12"/>
      <x:c r="U359" s="12"/>
      <x:c r="V359" s="12"/>
      <x:c r="W359" s="12"/>
      <x:c r="X359" s="12"/>
      <x:c r="Y359" s="12"/>
      <x:c r="Z359" s="12"/>
      <x:c r="AA359" s="12"/>
    </x:row>
    <x:row r="360">
      <x:c r="A360" s="12"/>
      <x:c r="B360" s="12"/>
      <x:c r="C360" s="12"/>
      <x:c r="D360" s="12"/>
      <x:c r="E360" s="12"/>
      <x:c r="F360" s="12"/>
      <x:c r="G360" s="17"/>
      <x:c r="H360" s="12"/>
      <x:c r="I360" s="12"/>
      <x:c r="J360" s="18"/>
      <x:c r="K360" s="12"/>
      <x:c r="L360" s="12"/>
      <x:c r="M360" s="12"/>
      <x:c r="N360" s="12"/>
      <x:c r="O360" s="12"/>
      <x:c r="P360" s="12"/>
      <x:c r="Q360" s="12"/>
      <x:c r="R360" s="12"/>
      <x:c r="S360" s="12"/>
      <x:c r="T360" s="12"/>
      <x:c r="U360" s="12"/>
      <x:c r="V360" s="12"/>
      <x:c r="W360" s="12"/>
      <x:c r="X360" s="12"/>
      <x:c r="Y360" s="12"/>
      <x:c r="Z360" s="12"/>
      <x:c r="AA360" s="12"/>
    </x:row>
    <x:row r="361">
      <x:c r="A361" s="12"/>
      <x:c r="B361" s="12"/>
      <x:c r="C361" s="12"/>
      <x:c r="D361" s="12"/>
      <x:c r="E361" s="12"/>
      <x:c r="F361" s="12"/>
      <x:c r="G361" s="17"/>
      <x:c r="H361" s="12"/>
      <x:c r="I361" s="12"/>
      <x:c r="J361" s="18"/>
      <x:c r="K361" s="12"/>
      <x:c r="L361" s="12"/>
      <x:c r="M361" s="12"/>
      <x:c r="N361" s="12"/>
      <x:c r="O361" s="12"/>
      <x:c r="P361" s="12"/>
      <x:c r="Q361" s="12"/>
      <x:c r="R361" s="12"/>
      <x:c r="S361" s="12"/>
      <x:c r="T361" s="12"/>
      <x:c r="U361" s="12"/>
      <x:c r="V361" s="12"/>
      <x:c r="W361" s="12"/>
      <x:c r="X361" s="12"/>
      <x:c r="Y361" s="12"/>
      <x:c r="Z361" s="12"/>
      <x:c r="AA361" s="12"/>
    </x:row>
    <x:row r="362">
      <x:c r="A362" s="12"/>
      <x:c r="B362" s="12"/>
      <x:c r="C362" s="12"/>
      <x:c r="D362" s="12"/>
      <x:c r="E362" s="12"/>
      <x:c r="F362" s="12"/>
      <x:c r="G362" s="17"/>
      <x:c r="H362" s="12"/>
      <x:c r="I362" s="12"/>
      <x:c r="J362" s="18"/>
      <x:c r="K362" s="12"/>
      <x:c r="L362" s="12"/>
      <x:c r="M362" s="12"/>
      <x:c r="N362" s="12"/>
      <x:c r="O362" s="12"/>
      <x:c r="P362" s="12"/>
      <x:c r="Q362" s="12"/>
      <x:c r="R362" s="12"/>
      <x:c r="S362" s="12"/>
      <x:c r="T362" s="12"/>
      <x:c r="U362" s="12"/>
      <x:c r="V362" s="12"/>
      <x:c r="W362" s="12"/>
      <x:c r="X362" s="12"/>
      <x:c r="Y362" s="12"/>
      <x:c r="Z362" s="12"/>
      <x:c r="AA362" s="12"/>
    </x:row>
    <x:row r="363">
      <x:c r="A363" s="12"/>
      <x:c r="B363" s="12"/>
      <x:c r="C363" s="12"/>
      <x:c r="D363" s="12"/>
      <x:c r="E363" s="12"/>
      <x:c r="F363" s="12"/>
      <x:c r="G363" s="17"/>
      <x:c r="H363" s="12"/>
      <x:c r="I363" s="12"/>
      <x:c r="J363" s="18"/>
      <x:c r="K363" s="12"/>
      <x:c r="L363" s="12"/>
      <x:c r="M363" s="12"/>
      <x:c r="N363" s="12"/>
      <x:c r="O363" s="12"/>
      <x:c r="P363" s="12"/>
      <x:c r="Q363" s="12"/>
      <x:c r="R363" s="12"/>
      <x:c r="S363" s="12"/>
      <x:c r="T363" s="12"/>
      <x:c r="U363" s="12"/>
      <x:c r="V363" s="12"/>
      <x:c r="W363" s="12"/>
      <x:c r="X363" s="12"/>
      <x:c r="Y363" s="12"/>
      <x:c r="Z363" s="12"/>
      <x:c r="AA363" s="12"/>
    </x:row>
    <x:row r="364">
      <x:c r="A364" s="12"/>
      <x:c r="B364" s="12"/>
      <x:c r="C364" s="12"/>
      <x:c r="D364" s="12"/>
      <x:c r="E364" s="12"/>
      <x:c r="F364" s="12"/>
      <x:c r="G364" s="17"/>
      <x:c r="H364" s="12"/>
      <x:c r="I364" s="12"/>
      <x:c r="J364" s="18"/>
      <x:c r="K364" s="12"/>
      <x:c r="L364" s="12"/>
      <x:c r="M364" s="12"/>
      <x:c r="N364" s="12"/>
      <x:c r="O364" s="12"/>
      <x:c r="P364" s="12"/>
      <x:c r="Q364" s="12"/>
      <x:c r="R364" s="12"/>
      <x:c r="S364" s="12"/>
      <x:c r="T364" s="12"/>
      <x:c r="U364" s="12"/>
      <x:c r="V364" s="12"/>
      <x:c r="W364" s="12"/>
      <x:c r="X364" s="12"/>
      <x:c r="Y364" s="12"/>
      <x:c r="Z364" s="12"/>
      <x:c r="AA364" s="12"/>
    </x:row>
    <x:row r="365">
      <x:c r="A365" s="12"/>
      <x:c r="B365" s="12"/>
      <x:c r="C365" s="12"/>
      <x:c r="D365" s="12"/>
      <x:c r="E365" s="12"/>
      <x:c r="F365" s="12"/>
      <x:c r="G365" s="17"/>
      <x:c r="H365" s="12"/>
      <x:c r="I365" s="12"/>
      <x:c r="J365" s="18"/>
      <x:c r="K365" s="12"/>
      <x:c r="L365" s="12"/>
      <x:c r="M365" s="12"/>
      <x:c r="N365" s="12"/>
      <x:c r="O365" s="12"/>
      <x:c r="P365" s="12"/>
      <x:c r="Q365" s="12"/>
      <x:c r="R365" s="12"/>
      <x:c r="S365" s="12"/>
      <x:c r="T365" s="12"/>
      <x:c r="U365" s="12"/>
      <x:c r="V365" s="12"/>
      <x:c r="W365" s="12"/>
      <x:c r="X365" s="12"/>
      <x:c r="Y365" s="12"/>
      <x:c r="Z365" s="12"/>
      <x:c r="AA365" s="12"/>
    </x:row>
    <x:row r="366">
      <x:c r="A366" s="12"/>
      <x:c r="B366" s="12"/>
      <x:c r="C366" s="12"/>
      <x:c r="D366" s="12"/>
      <x:c r="E366" s="12"/>
      <x:c r="F366" s="12"/>
      <x:c r="G366" s="17"/>
      <x:c r="H366" s="12"/>
      <x:c r="I366" s="12"/>
      <x:c r="J366" s="18"/>
      <x:c r="K366" s="12"/>
      <x:c r="L366" s="12"/>
      <x:c r="M366" s="12"/>
      <x:c r="N366" s="12"/>
      <x:c r="O366" s="12"/>
      <x:c r="P366" s="12"/>
      <x:c r="Q366" s="12"/>
      <x:c r="R366" s="12"/>
      <x:c r="S366" s="12"/>
      <x:c r="T366" s="12"/>
      <x:c r="U366" s="12"/>
      <x:c r="V366" s="12"/>
      <x:c r="W366" s="12"/>
      <x:c r="X366" s="12"/>
      <x:c r="Y366" s="12"/>
      <x:c r="Z366" s="12"/>
      <x:c r="AA366" s="12"/>
    </x:row>
    <x:row r="367">
      <x:c r="A367" s="12"/>
      <x:c r="B367" s="12"/>
      <x:c r="C367" s="12"/>
      <x:c r="D367" s="12"/>
      <x:c r="E367" s="12"/>
      <x:c r="F367" s="12"/>
      <x:c r="G367" s="17"/>
      <x:c r="H367" s="12"/>
      <x:c r="I367" s="12"/>
      <x:c r="J367" s="18"/>
      <x:c r="K367" s="12"/>
      <x:c r="L367" s="12"/>
      <x:c r="M367" s="12"/>
      <x:c r="N367" s="12"/>
      <x:c r="O367" s="12"/>
      <x:c r="P367" s="12"/>
      <x:c r="Q367" s="12"/>
      <x:c r="R367" s="12"/>
      <x:c r="S367" s="12"/>
      <x:c r="T367" s="12"/>
      <x:c r="U367" s="12"/>
      <x:c r="V367" s="12"/>
      <x:c r="W367" s="12"/>
      <x:c r="X367" s="12"/>
      <x:c r="Y367" s="12"/>
      <x:c r="Z367" s="12"/>
      <x:c r="AA367" s="12"/>
    </x:row>
    <x:row r="368">
      <x:c r="A368" s="12"/>
      <x:c r="B368" s="12"/>
      <x:c r="C368" s="12"/>
      <x:c r="D368" s="12"/>
      <x:c r="E368" s="12"/>
      <x:c r="F368" s="12"/>
      <x:c r="G368" s="17"/>
      <x:c r="H368" s="12"/>
      <x:c r="I368" s="12"/>
      <x:c r="J368" s="18"/>
      <x:c r="K368" s="12"/>
      <x:c r="L368" s="12"/>
      <x:c r="M368" s="12"/>
      <x:c r="N368" s="12"/>
      <x:c r="O368" s="12"/>
      <x:c r="P368" s="12"/>
      <x:c r="Q368" s="12"/>
      <x:c r="R368" s="12"/>
      <x:c r="S368" s="12"/>
      <x:c r="T368" s="12"/>
      <x:c r="U368" s="12"/>
      <x:c r="V368" s="12"/>
      <x:c r="W368" s="12"/>
      <x:c r="X368" s="12"/>
      <x:c r="Y368" s="12"/>
      <x:c r="Z368" s="12"/>
      <x:c r="AA368" s="12"/>
    </x:row>
    <x:row r="369">
      <x:c r="A369" s="12"/>
      <x:c r="B369" s="12"/>
      <x:c r="C369" s="12"/>
      <x:c r="D369" s="12"/>
      <x:c r="E369" s="12"/>
      <x:c r="F369" s="12"/>
      <x:c r="G369" s="17"/>
      <x:c r="H369" s="12"/>
      <x:c r="I369" s="12"/>
      <x:c r="J369" s="18"/>
      <x:c r="K369" s="12"/>
      <x:c r="L369" s="12"/>
      <x:c r="M369" s="12"/>
      <x:c r="N369" s="12"/>
      <x:c r="O369" s="12"/>
      <x:c r="P369" s="12"/>
      <x:c r="Q369" s="12"/>
      <x:c r="R369" s="12"/>
      <x:c r="S369" s="12"/>
      <x:c r="T369" s="12"/>
      <x:c r="U369" s="12"/>
      <x:c r="V369" s="12"/>
      <x:c r="W369" s="12"/>
      <x:c r="X369" s="12"/>
      <x:c r="Y369" s="12"/>
      <x:c r="Z369" s="12"/>
      <x:c r="AA369" s="12"/>
    </x:row>
    <x:row r="370">
      <x:c r="A370" s="12"/>
      <x:c r="B370" s="12"/>
      <x:c r="C370" s="12"/>
      <x:c r="D370" s="12"/>
      <x:c r="E370" s="12"/>
      <x:c r="F370" s="12"/>
      <x:c r="G370" s="17"/>
      <x:c r="H370" s="12"/>
      <x:c r="I370" s="12"/>
      <x:c r="J370" s="18"/>
      <x:c r="K370" s="12"/>
      <x:c r="L370" s="12"/>
      <x:c r="M370" s="12"/>
      <x:c r="N370" s="12"/>
      <x:c r="O370" s="12"/>
      <x:c r="P370" s="12"/>
      <x:c r="Q370" s="12"/>
      <x:c r="R370" s="12"/>
      <x:c r="S370" s="12"/>
      <x:c r="T370" s="12"/>
      <x:c r="U370" s="12"/>
      <x:c r="V370" s="12"/>
      <x:c r="W370" s="12"/>
      <x:c r="X370" s="12"/>
      <x:c r="Y370" s="12"/>
      <x:c r="Z370" s="12"/>
      <x:c r="AA370" s="12"/>
    </x:row>
    <x:row r="371">
      <x:c r="A371" s="12"/>
      <x:c r="B371" s="12"/>
      <x:c r="C371" s="12"/>
      <x:c r="D371" s="12"/>
      <x:c r="E371" s="12"/>
      <x:c r="F371" s="12"/>
      <x:c r="G371" s="17"/>
      <x:c r="H371" s="12"/>
      <x:c r="I371" s="12"/>
      <x:c r="J371" s="18"/>
      <x:c r="K371" s="12"/>
      <x:c r="L371" s="12"/>
      <x:c r="M371" s="12"/>
      <x:c r="N371" s="12"/>
      <x:c r="O371" s="12"/>
      <x:c r="P371" s="12"/>
      <x:c r="Q371" s="12"/>
      <x:c r="R371" s="12"/>
      <x:c r="S371" s="12"/>
      <x:c r="T371" s="12"/>
      <x:c r="U371" s="12"/>
      <x:c r="V371" s="12"/>
      <x:c r="W371" s="12"/>
      <x:c r="X371" s="12"/>
      <x:c r="Y371" s="12"/>
      <x:c r="Z371" s="12"/>
      <x:c r="AA371" s="12"/>
    </x:row>
    <x:row r="372">
      <x:c r="A372" s="12"/>
      <x:c r="B372" s="12"/>
      <x:c r="C372" s="12"/>
      <x:c r="D372" s="12"/>
      <x:c r="E372" s="12"/>
      <x:c r="F372" s="12"/>
      <x:c r="G372" s="17"/>
      <x:c r="H372" s="12"/>
      <x:c r="I372" s="12"/>
      <x:c r="J372" s="18"/>
      <x:c r="K372" s="12"/>
      <x:c r="L372" s="12"/>
      <x:c r="M372" s="12"/>
      <x:c r="N372" s="12"/>
      <x:c r="O372" s="12"/>
      <x:c r="P372" s="12"/>
      <x:c r="Q372" s="12"/>
      <x:c r="R372" s="12"/>
      <x:c r="S372" s="12"/>
      <x:c r="T372" s="12"/>
      <x:c r="U372" s="12"/>
      <x:c r="V372" s="12"/>
      <x:c r="W372" s="12"/>
      <x:c r="X372" s="12"/>
      <x:c r="Y372" s="12"/>
      <x:c r="Z372" s="12"/>
      <x:c r="AA372" s="12"/>
    </x:row>
    <x:row r="373">
      <x:c r="A373" s="12"/>
      <x:c r="B373" s="12"/>
      <x:c r="C373" s="12"/>
      <x:c r="D373" s="12"/>
      <x:c r="E373" s="12"/>
      <x:c r="F373" s="12"/>
      <x:c r="G373" s="17"/>
      <x:c r="H373" s="12"/>
      <x:c r="I373" s="12"/>
      <x:c r="J373" s="18"/>
      <x:c r="K373" s="12"/>
      <x:c r="L373" s="12"/>
      <x:c r="M373" s="12"/>
      <x:c r="N373" s="12"/>
      <x:c r="O373" s="12"/>
      <x:c r="P373" s="12"/>
      <x:c r="Q373" s="12"/>
      <x:c r="R373" s="12"/>
      <x:c r="S373" s="12"/>
      <x:c r="T373" s="12"/>
      <x:c r="U373" s="12"/>
      <x:c r="V373" s="12"/>
      <x:c r="W373" s="12"/>
      <x:c r="X373" s="12"/>
      <x:c r="Y373" s="12"/>
      <x:c r="Z373" s="12"/>
      <x:c r="AA373" s="12"/>
    </x:row>
    <x:row r="374">
      <x:c r="A374" s="12"/>
      <x:c r="B374" s="12"/>
      <x:c r="C374" s="12"/>
      <x:c r="D374" s="12"/>
      <x:c r="E374" s="12"/>
      <x:c r="F374" s="12"/>
      <x:c r="G374" s="17"/>
      <x:c r="H374" s="12"/>
      <x:c r="I374" s="12"/>
      <x:c r="J374" s="18"/>
      <x:c r="K374" s="12"/>
      <x:c r="L374" s="12"/>
      <x:c r="M374" s="12"/>
      <x:c r="N374" s="12"/>
      <x:c r="O374" s="12"/>
      <x:c r="P374" s="12"/>
      <x:c r="Q374" s="12"/>
      <x:c r="R374" s="12"/>
      <x:c r="S374" s="12"/>
      <x:c r="T374" s="12"/>
      <x:c r="U374" s="12"/>
      <x:c r="V374" s="12"/>
      <x:c r="W374" s="12"/>
      <x:c r="X374" s="12"/>
      <x:c r="Y374" s="12"/>
      <x:c r="Z374" s="12"/>
      <x:c r="AA374" s="12"/>
    </x:row>
    <x:row r="375">
      <x:c r="A375" s="12"/>
      <x:c r="B375" s="12"/>
      <x:c r="C375" s="12"/>
      <x:c r="D375" s="12"/>
      <x:c r="E375" s="12"/>
      <x:c r="F375" s="12"/>
      <x:c r="G375" s="17"/>
      <x:c r="H375" s="12"/>
      <x:c r="I375" s="12"/>
      <x:c r="J375" s="18"/>
      <x:c r="K375" s="12"/>
      <x:c r="L375" s="12"/>
      <x:c r="M375" s="12"/>
      <x:c r="N375" s="12"/>
      <x:c r="O375" s="12"/>
      <x:c r="P375" s="12"/>
      <x:c r="Q375" s="12"/>
      <x:c r="R375" s="12"/>
      <x:c r="S375" s="12"/>
      <x:c r="T375" s="12"/>
      <x:c r="U375" s="12"/>
      <x:c r="V375" s="12"/>
      <x:c r="W375" s="12"/>
      <x:c r="X375" s="12"/>
      <x:c r="Y375" s="12"/>
      <x:c r="Z375" s="12"/>
      <x:c r="AA375" s="12"/>
    </x:row>
    <x:row r="376">
      <x:c r="A376" s="12"/>
      <x:c r="B376" s="12"/>
      <x:c r="C376" s="12"/>
      <x:c r="D376" s="12"/>
      <x:c r="E376" s="12"/>
      <x:c r="F376" s="12"/>
      <x:c r="G376" s="17"/>
      <x:c r="H376" s="12"/>
      <x:c r="I376" s="12"/>
      <x:c r="J376" s="18"/>
      <x:c r="K376" s="12"/>
      <x:c r="L376" s="12"/>
      <x:c r="M376" s="12"/>
      <x:c r="N376" s="12"/>
      <x:c r="O376" s="12"/>
      <x:c r="P376" s="12"/>
      <x:c r="Q376" s="12"/>
      <x:c r="R376" s="12"/>
      <x:c r="S376" s="12"/>
      <x:c r="T376" s="12"/>
      <x:c r="U376" s="12"/>
      <x:c r="V376" s="12"/>
      <x:c r="W376" s="12"/>
      <x:c r="X376" s="12"/>
      <x:c r="Y376" s="12"/>
      <x:c r="Z376" s="12"/>
      <x:c r="AA376" s="12"/>
    </x:row>
    <x:row r="377">
      <x:c r="A377" s="12"/>
      <x:c r="B377" s="12"/>
      <x:c r="C377" s="12"/>
      <x:c r="D377" s="12"/>
      <x:c r="E377" s="12"/>
      <x:c r="F377" s="12"/>
      <x:c r="G377" s="17"/>
      <x:c r="H377" s="12"/>
      <x:c r="I377" s="12"/>
      <x:c r="J377" s="18"/>
      <x:c r="K377" s="12"/>
      <x:c r="L377" s="12"/>
      <x:c r="M377" s="12"/>
      <x:c r="N377" s="12"/>
      <x:c r="O377" s="12"/>
      <x:c r="P377" s="12"/>
      <x:c r="Q377" s="12"/>
      <x:c r="R377" s="12"/>
      <x:c r="S377" s="12"/>
      <x:c r="T377" s="12"/>
      <x:c r="U377" s="12"/>
      <x:c r="V377" s="12"/>
      <x:c r="W377" s="12"/>
      <x:c r="X377" s="12"/>
      <x:c r="Y377" s="12"/>
      <x:c r="Z377" s="12"/>
      <x:c r="AA377" s="12"/>
    </x:row>
    <x:row r="378">
      <x:c r="A378" s="12"/>
      <x:c r="B378" s="12"/>
      <x:c r="C378" s="12"/>
      <x:c r="D378" s="12"/>
      <x:c r="E378" s="12"/>
      <x:c r="F378" s="12"/>
      <x:c r="G378" s="17"/>
      <x:c r="H378" s="12"/>
      <x:c r="I378" s="12"/>
      <x:c r="J378" s="18"/>
      <x:c r="K378" s="12"/>
      <x:c r="L378" s="12"/>
      <x:c r="M378" s="12"/>
      <x:c r="N378" s="12"/>
      <x:c r="O378" s="12"/>
      <x:c r="P378" s="12"/>
      <x:c r="Q378" s="12"/>
      <x:c r="R378" s="12"/>
      <x:c r="S378" s="12"/>
      <x:c r="T378" s="12"/>
      <x:c r="U378" s="12"/>
      <x:c r="V378" s="12"/>
      <x:c r="W378" s="12"/>
      <x:c r="X378" s="12"/>
      <x:c r="Y378" s="12"/>
      <x:c r="Z378" s="12"/>
      <x:c r="AA378" s="12"/>
    </x:row>
    <x:row r="379">
      <x:c r="A379" s="12"/>
      <x:c r="B379" s="12"/>
      <x:c r="C379" s="12"/>
      <x:c r="D379" s="12"/>
      <x:c r="E379" s="12"/>
      <x:c r="F379" s="12"/>
      <x:c r="G379" s="17"/>
      <x:c r="H379" s="12"/>
      <x:c r="I379" s="12"/>
      <x:c r="J379" s="18"/>
      <x:c r="K379" s="12"/>
      <x:c r="L379" s="12"/>
      <x:c r="M379" s="12"/>
      <x:c r="N379" s="12"/>
      <x:c r="O379" s="12"/>
      <x:c r="P379" s="12"/>
      <x:c r="Q379" s="12"/>
      <x:c r="R379" s="12"/>
      <x:c r="S379" s="12"/>
      <x:c r="T379" s="12"/>
      <x:c r="U379" s="12"/>
      <x:c r="V379" s="12"/>
      <x:c r="W379" s="12"/>
      <x:c r="X379" s="12"/>
      <x:c r="Y379" s="12"/>
      <x:c r="Z379" s="12"/>
      <x:c r="AA379" s="12"/>
    </x:row>
    <x:row r="380">
      <x:c r="A380" s="12"/>
      <x:c r="B380" s="12"/>
      <x:c r="C380" s="12"/>
      <x:c r="D380" s="12"/>
      <x:c r="E380" s="12"/>
      <x:c r="F380" s="12"/>
      <x:c r="G380" s="17"/>
      <x:c r="H380" s="12"/>
      <x:c r="I380" s="12"/>
      <x:c r="J380" s="18"/>
      <x:c r="K380" s="12"/>
      <x:c r="L380" s="12"/>
      <x:c r="M380" s="12"/>
      <x:c r="N380" s="12"/>
      <x:c r="O380" s="12"/>
      <x:c r="P380" s="12"/>
      <x:c r="Q380" s="12"/>
      <x:c r="R380" s="12"/>
      <x:c r="S380" s="12"/>
      <x:c r="T380" s="12"/>
      <x:c r="U380" s="12"/>
      <x:c r="V380" s="12"/>
      <x:c r="W380" s="12"/>
      <x:c r="X380" s="12"/>
      <x:c r="Y380" s="12"/>
      <x:c r="Z380" s="12"/>
      <x:c r="AA380" s="12"/>
    </x:row>
    <x:row r="381">
      <x:c r="A381" s="12"/>
      <x:c r="B381" s="12"/>
      <x:c r="C381" s="12"/>
      <x:c r="D381" s="12"/>
      <x:c r="E381" s="12"/>
      <x:c r="F381" s="12"/>
      <x:c r="G381" s="17"/>
      <x:c r="H381" s="12"/>
      <x:c r="I381" s="12"/>
      <x:c r="J381" s="18"/>
      <x:c r="K381" s="12"/>
      <x:c r="L381" s="12"/>
      <x:c r="M381" s="12"/>
      <x:c r="N381" s="12"/>
      <x:c r="O381" s="12"/>
      <x:c r="P381" s="12"/>
      <x:c r="Q381" s="12"/>
      <x:c r="R381" s="12"/>
      <x:c r="S381" s="12"/>
      <x:c r="T381" s="12"/>
      <x:c r="U381" s="12"/>
      <x:c r="V381" s="12"/>
      <x:c r="W381" s="12"/>
      <x:c r="X381" s="12"/>
      <x:c r="Y381" s="12"/>
      <x:c r="Z381" s="12"/>
      <x:c r="AA381" s="12"/>
    </x:row>
    <x:row r="382">
      <x:c r="A382" s="12"/>
      <x:c r="B382" s="12"/>
      <x:c r="C382" s="12"/>
      <x:c r="D382" s="12"/>
      <x:c r="E382" s="12"/>
      <x:c r="F382" s="12"/>
      <x:c r="G382" s="17"/>
      <x:c r="H382" s="12"/>
      <x:c r="I382" s="12"/>
      <x:c r="J382" s="18"/>
      <x:c r="K382" s="12"/>
      <x:c r="L382" s="12"/>
      <x:c r="M382" s="12"/>
      <x:c r="N382" s="12"/>
      <x:c r="O382" s="12"/>
      <x:c r="P382" s="12"/>
      <x:c r="Q382" s="12"/>
      <x:c r="R382" s="12"/>
      <x:c r="S382" s="12"/>
      <x:c r="T382" s="12"/>
      <x:c r="U382" s="12"/>
      <x:c r="V382" s="12"/>
      <x:c r="W382" s="12"/>
      <x:c r="X382" s="12"/>
      <x:c r="Y382" s="12"/>
      <x:c r="Z382" s="12"/>
      <x:c r="AA382" s="12"/>
    </x:row>
    <x:row r="383">
      <x:c r="A383" s="12"/>
      <x:c r="B383" s="12"/>
      <x:c r="C383" s="12"/>
      <x:c r="D383" s="12"/>
      <x:c r="E383" s="12"/>
      <x:c r="F383" s="12"/>
      <x:c r="G383" s="17"/>
      <x:c r="H383" s="12"/>
      <x:c r="I383" s="12"/>
      <x:c r="J383" s="18"/>
      <x:c r="K383" s="12"/>
      <x:c r="L383" s="12"/>
      <x:c r="M383" s="12"/>
      <x:c r="N383" s="12"/>
      <x:c r="O383" s="12"/>
      <x:c r="P383" s="12"/>
      <x:c r="Q383" s="12"/>
      <x:c r="R383" s="12"/>
      <x:c r="S383" s="12"/>
      <x:c r="T383" s="12"/>
      <x:c r="U383" s="12"/>
      <x:c r="V383" s="12"/>
      <x:c r="W383" s="12"/>
      <x:c r="X383" s="12"/>
      <x:c r="Y383" s="12"/>
      <x:c r="Z383" s="12"/>
      <x:c r="AA383" s="12"/>
    </x:row>
    <x:row r="384">
      <x:c r="A384" s="12"/>
      <x:c r="B384" s="12"/>
      <x:c r="C384" s="12"/>
      <x:c r="D384" s="12"/>
      <x:c r="E384" s="12"/>
      <x:c r="F384" s="12"/>
      <x:c r="G384" s="17"/>
      <x:c r="H384" s="12"/>
      <x:c r="I384" s="12"/>
      <x:c r="J384" s="18"/>
      <x:c r="K384" s="12"/>
      <x:c r="L384" s="12"/>
      <x:c r="M384" s="12"/>
      <x:c r="N384" s="12"/>
      <x:c r="O384" s="12"/>
      <x:c r="P384" s="12"/>
      <x:c r="Q384" s="12"/>
      <x:c r="R384" s="12"/>
      <x:c r="S384" s="12"/>
      <x:c r="T384" s="12"/>
      <x:c r="U384" s="12"/>
      <x:c r="V384" s="12"/>
      <x:c r="W384" s="12"/>
      <x:c r="X384" s="12"/>
      <x:c r="Y384" s="12"/>
      <x:c r="Z384" s="12"/>
      <x:c r="AA384" s="12"/>
    </x:row>
    <x:row r="385">
      <x:c r="A385" s="12"/>
      <x:c r="B385" s="12"/>
      <x:c r="C385" s="12"/>
      <x:c r="D385" s="12"/>
      <x:c r="E385" s="12"/>
      <x:c r="F385" s="12"/>
      <x:c r="G385" s="17"/>
      <x:c r="H385" s="12"/>
      <x:c r="I385" s="12"/>
      <x:c r="J385" s="18"/>
      <x:c r="K385" s="12"/>
      <x:c r="L385" s="12"/>
      <x:c r="M385" s="12"/>
      <x:c r="N385" s="12"/>
      <x:c r="O385" s="12"/>
      <x:c r="P385" s="12"/>
      <x:c r="Q385" s="12"/>
      <x:c r="R385" s="12"/>
      <x:c r="S385" s="12"/>
      <x:c r="T385" s="12"/>
      <x:c r="U385" s="12"/>
      <x:c r="V385" s="12"/>
      <x:c r="W385" s="12"/>
      <x:c r="X385" s="12"/>
      <x:c r="Y385" s="12"/>
      <x:c r="Z385" s="12"/>
      <x:c r="AA385" s="12"/>
    </x:row>
    <x:row r="386">
      <x:c r="A386" s="12"/>
      <x:c r="B386" s="12"/>
      <x:c r="C386" s="12"/>
      <x:c r="D386" s="12"/>
      <x:c r="E386" s="12"/>
      <x:c r="F386" s="12"/>
      <x:c r="G386" s="17"/>
      <x:c r="H386" s="12"/>
      <x:c r="I386" s="12"/>
      <x:c r="J386" s="18"/>
      <x:c r="K386" s="12"/>
      <x:c r="L386" s="12"/>
      <x:c r="M386" s="12"/>
      <x:c r="N386" s="12"/>
      <x:c r="O386" s="12"/>
      <x:c r="P386" s="12"/>
      <x:c r="Q386" s="12"/>
      <x:c r="R386" s="12"/>
      <x:c r="S386" s="12"/>
      <x:c r="T386" s="12"/>
      <x:c r="U386" s="12"/>
      <x:c r="V386" s="12"/>
      <x:c r="W386" s="12"/>
      <x:c r="X386" s="12"/>
      <x:c r="Y386" s="12"/>
      <x:c r="Z386" s="12"/>
      <x:c r="AA386" s="12"/>
    </x:row>
    <x:row r="387">
      <x:c r="A387" s="12"/>
      <x:c r="B387" s="12"/>
      <x:c r="C387" s="12"/>
      <x:c r="D387" s="12"/>
      <x:c r="E387" s="12"/>
      <x:c r="F387" s="12"/>
      <x:c r="G387" s="17"/>
      <x:c r="H387" s="12"/>
      <x:c r="I387" s="12"/>
      <x:c r="J387" s="18"/>
      <x:c r="K387" s="12"/>
      <x:c r="L387" s="12"/>
      <x:c r="M387" s="12"/>
      <x:c r="N387" s="12"/>
      <x:c r="O387" s="12"/>
      <x:c r="P387" s="12"/>
      <x:c r="Q387" s="12"/>
      <x:c r="R387" s="12"/>
      <x:c r="S387" s="12"/>
      <x:c r="T387" s="12"/>
      <x:c r="U387" s="12"/>
      <x:c r="V387" s="12"/>
      <x:c r="W387" s="12"/>
      <x:c r="X387" s="12"/>
      <x:c r="Y387" s="12"/>
      <x:c r="Z387" s="12"/>
      <x:c r="AA387" s="12"/>
    </x:row>
    <x:row r="388">
      <x:c r="A388" s="12"/>
      <x:c r="B388" s="12"/>
      <x:c r="C388" s="12"/>
      <x:c r="D388" s="12"/>
      <x:c r="E388" s="12"/>
      <x:c r="F388" s="12"/>
      <x:c r="G388" s="17"/>
      <x:c r="H388" s="12"/>
      <x:c r="I388" s="12"/>
      <x:c r="J388" s="18"/>
      <x:c r="K388" s="12"/>
      <x:c r="L388" s="12"/>
      <x:c r="M388" s="12"/>
      <x:c r="N388" s="12"/>
      <x:c r="O388" s="12"/>
      <x:c r="P388" s="12"/>
      <x:c r="Q388" s="12"/>
      <x:c r="R388" s="12"/>
      <x:c r="S388" s="12"/>
      <x:c r="T388" s="12"/>
      <x:c r="U388" s="12"/>
      <x:c r="V388" s="12"/>
      <x:c r="W388" s="12"/>
      <x:c r="X388" s="12"/>
      <x:c r="Y388" s="12"/>
      <x:c r="Z388" s="12"/>
      <x:c r="AA388" s="12"/>
    </x:row>
    <x:row r="389">
      <x:c r="A389" s="12"/>
      <x:c r="B389" s="12"/>
      <x:c r="C389" s="12"/>
      <x:c r="D389" s="12"/>
      <x:c r="E389" s="12"/>
      <x:c r="F389" s="12"/>
      <x:c r="G389" s="17"/>
      <x:c r="H389" s="12"/>
      <x:c r="I389" s="12"/>
      <x:c r="J389" s="18"/>
      <x:c r="K389" s="12"/>
      <x:c r="L389" s="12"/>
      <x:c r="M389" s="12"/>
      <x:c r="N389" s="12"/>
      <x:c r="O389" s="12"/>
      <x:c r="P389" s="12"/>
      <x:c r="Q389" s="12"/>
      <x:c r="R389" s="12"/>
      <x:c r="S389" s="12"/>
      <x:c r="T389" s="12"/>
      <x:c r="U389" s="12"/>
      <x:c r="V389" s="12"/>
      <x:c r="W389" s="12"/>
      <x:c r="X389" s="12"/>
      <x:c r="Y389" s="12"/>
      <x:c r="Z389" s="12"/>
      <x:c r="AA389" s="12"/>
    </x:row>
    <x:row r="390">
      <x:c r="A390" s="12"/>
      <x:c r="B390" s="12"/>
      <x:c r="C390" s="12"/>
      <x:c r="D390" s="12"/>
      <x:c r="E390" s="12"/>
      <x:c r="F390" s="12"/>
      <x:c r="G390" s="17"/>
      <x:c r="H390" s="12"/>
      <x:c r="I390" s="12"/>
      <x:c r="J390" s="18"/>
      <x:c r="K390" s="12"/>
      <x:c r="L390" s="12"/>
      <x:c r="M390" s="12"/>
      <x:c r="N390" s="12"/>
      <x:c r="O390" s="12"/>
      <x:c r="P390" s="12"/>
      <x:c r="Q390" s="12"/>
      <x:c r="R390" s="12"/>
      <x:c r="S390" s="12"/>
      <x:c r="T390" s="12"/>
      <x:c r="U390" s="12"/>
      <x:c r="V390" s="12"/>
      <x:c r="W390" s="12"/>
      <x:c r="X390" s="12"/>
      <x:c r="Y390" s="12"/>
      <x:c r="Z390" s="12"/>
      <x:c r="AA390" s="12"/>
    </x:row>
    <x:row r="391">
      <x:c r="A391" s="12"/>
      <x:c r="B391" s="12"/>
      <x:c r="C391" s="12"/>
      <x:c r="D391" s="12"/>
      <x:c r="E391" s="12"/>
      <x:c r="F391" s="12"/>
      <x:c r="G391" s="17"/>
      <x:c r="H391" s="12"/>
      <x:c r="I391" s="12"/>
      <x:c r="J391" s="18"/>
      <x:c r="K391" s="12"/>
      <x:c r="L391" s="12"/>
      <x:c r="M391" s="12"/>
      <x:c r="N391" s="12"/>
      <x:c r="O391" s="12"/>
      <x:c r="P391" s="12"/>
      <x:c r="Q391" s="12"/>
      <x:c r="R391" s="12"/>
      <x:c r="S391" s="12"/>
      <x:c r="T391" s="12"/>
      <x:c r="U391" s="12"/>
      <x:c r="V391" s="12"/>
      <x:c r="W391" s="12"/>
      <x:c r="X391" s="12"/>
      <x:c r="Y391" s="12"/>
      <x:c r="Z391" s="12"/>
      <x:c r="AA391" s="12"/>
    </x:row>
    <x:row r="392">
      <x:c r="A392" s="12"/>
      <x:c r="B392" s="12"/>
      <x:c r="C392" s="12"/>
      <x:c r="D392" s="12"/>
      <x:c r="E392" s="12"/>
      <x:c r="F392" s="12"/>
      <x:c r="G392" s="17"/>
      <x:c r="H392" s="12"/>
      <x:c r="I392" s="12"/>
      <x:c r="J392" s="18"/>
      <x:c r="K392" s="12"/>
      <x:c r="L392" s="12"/>
      <x:c r="M392" s="12"/>
      <x:c r="N392" s="12"/>
      <x:c r="O392" s="12"/>
      <x:c r="P392" s="12"/>
      <x:c r="Q392" s="12"/>
      <x:c r="R392" s="12"/>
      <x:c r="S392" s="12"/>
      <x:c r="T392" s="12"/>
      <x:c r="U392" s="12"/>
      <x:c r="V392" s="12"/>
      <x:c r="W392" s="12"/>
      <x:c r="X392" s="12"/>
      <x:c r="Y392" s="12"/>
      <x:c r="Z392" s="12"/>
      <x:c r="AA392" s="12"/>
    </x:row>
    <x:row r="393">
      <x:c r="A393" s="12"/>
      <x:c r="B393" s="12"/>
      <x:c r="C393" s="12"/>
      <x:c r="D393" s="12"/>
      <x:c r="E393" s="12"/>
      <x:c r="F393" s="12"/>
      <x:c r="G393" s="17"/>
      <x:c r="H393" s="12"/>
      <x:c r="I393" s="12"/>
      <x:c r="J393" s="18"/>
      <x:c r="K393" s="12"/>
      <x:c r="L393" s="12"/>
      <x:c r="M393" s="12"/>
      <x:c r="N393" s="12"/>
      <x:c r="O393" s="12"/>
      <x:c r="P393" s="12"/>
      <x:c r="Q393" s="12"/>
      <x:c r="R393" s="12"/>
      <x:c r="S393" s="12"/>
      <x:c r="T393" s="12"/>
      <x:c r="U393" s="12"/>
      <x:c r="V393" s="12"/>
      <x:c r="W393" s="12"/>
      <x:c r="X393" s="12"/>
      <x:c r="Y393" s="12"/>
      <x:c r="Z393" s="12"/>
      <x:c r="AA393" s="12"/>
    </x:row>
    <x:row r="394">
      <x:c r="A394" s="12"/>
      <x:c r="B394" s="12"/>
      <x:c r="C394" s="12"/>
      <x:c r="D394" s="12"/>
      <x:c r="E394" s="12"/>
      <x:c r="F394" s="12"/>
      <x:c r="G394" s="17"/>
      <x:c r="H394" s="12"/>
      <x:c r="I394" s="12"/>
      <x:c r="J394" s="18"/>
      <x:c r="K394" s="12"/>
      <x:c r="L394" s="12"/>
      <x:c r="M394" s="12"/>
      <x:c r="N394" s="12"/>
      <x:c r="O394" s="12"/>
      <x:c r="P394" s="12"/>
      <x:c r="Q394" s="12"/>
      <x:c r="R394" s="12"/>
      <x:c r="S394" s="12"/>
      <x:c r="T394" s="12"/>
      <x:c r="U394" s="12"/>
      <x:c r="V394" s="12"/>
      <x:c r="W394" s="12"/>
      <x:c r="X394" s="12"/>
      <x:c r="Y394" s="12"/>
      <x:c r="Z394" s="12"/>
      <x:c r="AA394" s="12"/>
    </x:row>
    <x:row r="395">
      <x:c r="A395" s="12"/>
      <x:c r="B395" s="12"/>
      <x:c r="C395" s="12"/>
      <x:c r="D395" s="12"/>
      <x:c r="E395" s="12"/>
      <x:c r="F395" s="12"/>
      <x:c r="G395" s="17"/>
      <x:c r="H395" s="12"/>
      <x:c r="I395" s="12"/>
      <x:c r="J395" s="18"/>
      <x:c r="K395" s="12"/>
      <x:c r="L395" s="12"/>
      <x:c r="M395" s="12"/>
      <x:c r="N395" s="12"/>
      <x:c r="O395" s="12"/>
      <x:c r="P395" s="12"/>
      <x:c r="Q395" s="12"/>
      <x:c r="R395" s="12"/>
      <x:c r="S395" s="12"/>
      <x:c r="T395" s="12"/>
      <x:c r="U395" s="12"/>
      <x:c r="V395" s="12"/>
      <x:c r="W395" s="12"/>
      <x:c r="X395" s="12"/>
      <x:c r="Y395" s="12"/>
      <x:c r="Z395" s="12"/>
      <x:c r="AA395" s="12"/>
    </x:row>
    <x:row r="396">
      <x:c r="A396" s="12"/>
      <x:c r="B396" s="12"/>
      <x:c r="C396" s="12"/>
      <x:c r="D396" s="12"/>
      <x:c r="E396" s="12"/>
      <x:c r="F396" s="12"/>
      <x:c r="G396" s="17"/>
      <x:c r="H396" s="12"/>
      <x:c r="I396" s="12"/>
      <x:c r="J396" s="18"/>
      <x:c r="K396" s="12"/>
      <x:c r="L396" s="12"/>
      <x:c r="M396" s="12"/>
      <x:c r="N396" s="12"/>
      <x:c r="O396" s="12"/>
      <x:c r="P396" s="12"/>
      <x:c r="Q396" s="12"/>
      <x:c r="R396" s="12"/>
      <x:c r="S396" s="12"/>
      <x:c r="T396" s="12"/>
      <x:c r="U396" s="12"/>
      <x:c r="V396" s="12"/>
      <x:c r="W396" s="12"/>
      <x:c r="X396" s="12"/>
      <x:c r="Y396" s="12"/>
      <x:c r="Z396" s="12"/>
      <x:c r="AA396" s="12"/>
    </x:row>
    <x:row r="397">
      <x:c r="A397" s="12"/>
      <x:c r="B397" s="12"/>
      <x:c r="C397" s="12"/>
      <x:c r="D397" s="12"/>
      <x:c r="E397" s="12"/>
      <x:c r="F397" s="12"/>
      <x:c r="G397" s="17"/>
      <x:c r="H397" s="12"/>
      <x:c r="I397" s="12"/>
      <x:c r="J397" s="18"/>
      <x:c r="K397" s="12"/>
      <x:c r="L397" s="12"/>
      <x:c r="M397" s="12"/>
      <x:c r="N397" s="12"/>
      <x:c r="O397" s="12"/>
      <x:c r="P397" s="12"/>
      <x:c r="Q397" s="12"/>
      <x:c r="R397" s="12"/>
      <x:c r="S397" s="12"/>
      <x:c r="T397" s="12"/>
      <x:c r="U397" s="12"/>
      <x:c r="V397" s="12"/>
      <x:c r="W397" s="12"/>
      <x:c r="X397" s="12"/>
      <x:c r="Y397" s="12"/>
      <x:c r="Z397" s="12"/>
      <x:c r="AA397" s="12"/>
    </x:row>
    <x:row r="398">
      <x:c r="A398" s="12"/>
      <x:c r="B398" s="12"/>
      <x:c r="C398" s="12"/>
      <x:c r="D398" s="12"/>
      <x:c r="E398" s="12"/>
      <x:c r="F398" s="12"/>
      <x:c r="G398" s="17"/>
      <x:c r="H398" s="12"/>
      <x:c r="I398" s="12"/>
      <x:c r="J398" s="18"/>
      <x:c r="K398" s="12"/>
      <x:c r="L398" s="12"/>
      <x:c r="M398" s="12"/>
      <x:c r="N398" s="12"/>
      <x:c r="O398" s="12"/>
      <x:c r="P398" s="12"/>
      <x:c r="Q398" s="12"/>
      <x:c r="R398" s="12"/>
      <x:c r="S398" s="12"/>
      <x:c r="T398" s="12"/>
      <x:c r="U398" s="12"/>
      <x:c r="V398" s="12"/>
      <x:c r="W398" s="12"/>
      <x:c r="X398" s="12"/>
      <x:c r="Y398" s="12"/>
      <x:c r="Z398" s="12"/>
      <x:c r="AA398" s="12"/>
    </x:row>
    <x:row r="399">
      <x:c r="A399" s="12"/>
      <x:c r="B399" s="12"/>
      <x:c r="C399" s="12"/>
      <x:c r="D399" s="12"/>
      <x:c r="E399" s="12"/>
      <x:c r="F399" s="12"/>
      <x:c r="G399" s="17"/>
      <x:c r="H399" s="12"/>
      <x:c r="I399" s="12"/>
      <x:c r="J399" s="18"/>
      <x:c r="K399" s="12"/>
      <x:c r="L399" s="12"/>
      <x:c r="M399" s="12"/>
      <x:c r="N399" s="12"/>
      <x:c r="O399" s="12"/>
      <x:c r="P399" s="12"/>
      <x:c r="Q399" s="12"/>
      <x:c r="R399" s="12"/>
      <x:c r="S399" s="12"/>
      <x:c r="T399" s="12"/>
      <x:c r="U399" s="12"/>
      <x:c r="V399" s="12"/>
      <x:c r="W399" s="12"/>
      <x:c r="X399" s="12"/>
      <x:c r="Y399" s="12"/>
      <x:c r="Z399" s="12"/>
      <x:c r="AA399" s="12"/>
    </x:row>
    <x:row r="400">
      <x:c r="A400" s="12"/>
      <x:c r="B400" s="12"/>
      <x:c r="C400" s="12"/>
      <x:c r="D400" s="12"/>
      <x:c r="E400" s="12"/>
      <x:c r="F400" s="12"/>
      <x:c r="G400" s="17"/>
      <x:c r="H400" s="12"/>
      <x:c r="I400" s="12"/>
      <x:c r="J400" s="18"/>
      <x:c r="K400" s="12"/>
      <x:c r="L400" s="12"/>
      <x:c r="M400" s="12"/>
      <x:c r="N400" s="12"/>
      <x:c r="O400" s="12"/>
      <x:c r="P400" s="12"/>
      <x:c r="Q400" s="12"/>
      <x:c r="R400" s="12"/>
      <x:c r="S400" s="12"/>
      <x:c r="T400" s="12"/>
      <x:c r="U400" s="12"/>
      <x:c r="V400" s="12"/>
      <x:c r="W400" s="12"/>
      <x:c r="X400" s="12"/>
      <x:c r="Y400" s="12"/>
      <x:c r="Z400" s="12"/>
      <x:c r="AA400" s="12"/>
    </x:row>
    <x:row r="401">
      <x:c r="A401" s="12"/>
      <x:c r="B401" s="12"/>
      <x:c r="C401" s="12"/>
      <x:c r="D401" s="12"/>
      <x:c r="E401" s="12"/>
      <x:c r="F401" s="12"/>
      <x:c r="G401" s="17"/>
      <x:c r="H401" s="12"/>
      <x:c r="I401" s="12"/>
      <x:c r="J401" s="18"/>
      <x:c r="K401" s="12"/>
      <x:c r="L401" s="12"/>
      <x:c r="M401" s="12"/>
      <x:c r="N401" s="12"/>
      <x:c r="O401" s="12"/>
      <x:c r="P401" s="12"/>
      <x:c r="Q401" s="12"/>
      <x:c r="R401" s="12"/>
      <x:c r="S401" s="12"/>
      <x:c r="T401" s="12"/>
      <x:c r="U401" s="12"/>
      <x:c r="V401" s="12"/>
      <x:c r="W401" s="12"/>
      <x:c r="X401" s="12"/>
      <x:c r="Y401" s="12"/>
      <x:c r="Z401" s="12"/>
      <x:c r="AA401" s="12"/>
    </x:row>
    <x:row r="402">
      <x:c r="A402" s="12"/>
      <x:c r="B402" s="12"/>
      <x:c r="C402" s="12"/>
      <x:c r="D402" s="12"/>
      <x:c r="E402" s="12"/>
      <x:c r="F402" s="12"/>
      <x:c r="G402" s="17"/>
      <x:c r="H402" s="12"/>
      <x:c r="I402" s="12"/>
      <x:c r="J402" s="18"/>
      <x:c r="K402" s="12"/>
      <x:c r="L402" s="12"/>
      <x:c r="M402" s="12"/>
      <x:c r="N402" s="12"/>
      <x:c r="O402" s="12"/>
      <x:c r="P402" s="12"/>
      <x:c r="Q402" s="12"/>
      <x:c r="R402" s="12"/>
      <x:c r="S402" s="12"/>
      <x:c r="T402" s="12"/>
      <x:c r="U402" s="12"/>
      <x:c r="V402" s="12"/>
      <x:c r="W402" s="12"/>
      <x:c r="X402" s="12"/>
      <x:c r="Y402" s="12"/>
      <x:c r="Z402" s="12"/>
      <x:c r="AA402" s="12"/>
    </x:row>
    <x:row r="403">
      <x:c r="A403" s="12"/>
      <x:c r="B403" s="12"/>
      <x:c r="C403" s="12"/>
      <x:c r="D403" s="12"/>
      <x:c r="E403" s="12"/>
      <x:c r="F403" s="12"/>
      <x:c r="G403" s="17"/>
      <x:c r="H403" s="12"/>
      <x:c r="I403" s="12"/>
      <x:c r="J403" s="18"/>
      <x:c r="K403" s="12"/>
      <x:c r="L403" s="12"/>
      <x:c r="M403" s="12"/>
      <x:c r="N403" s="12"/>
      <x:c r="O403" s="12"/>
      <x:c r="P403" s="12"/>
      <x:c r="Q403" s="12"/>
      <x:c r="R403" s="12"/>
      <x:c r="S403" s="12"/>
      <x:c r="T403" s="12"/>
      <x:c r="U403" s="12"/>
      <x:c r="V403" s="12"/>
      <x:c r="W403" s="12"/>
      <x:c r="X403" s="12"/>
      <x:c r="Y403" s="12"/>
      <x:c r="Z403" s="12"/>
      <x:c r="AA403" s="12"/>
    </x:row>
    <x:row r="404">
      <x:c r="A404" s="12"/>
      <x:c r="B404" s="12"/>
      <x:c r="C404" s="12"/>
      <x:c r="D404" s="12"/>
      <x:c r="E404" s="12"/>
      <x:c r="F404" s="12"/>
      <x:c r="G404" s="17"/>
      <x:c r="H404" s="12"/>
      <x:c r="I404" s="12"/>
      <x:c r="J404" s="18"/>
      <x:c r="K404" s="12"/>
      <x:c r="L404" s="12"/>
      <x:c r="M404" s="12"/>
      <x:c r="N404" s="12"/>
      <x:c r="O404" s="12"/>
      <x:c r="P404" s="12"/>
      <x:c r="Q404" s="12"/>
      <x:c r="R404" s="12"/>
      <x:c r="S404" s="12"/>
      <x:c r="T404" s="12"/>
      <x:c r="U404" s="12"/>
      <x:c r="V404" s="12"/>
      <x:c r="W404" s="12"/>
      <x:c r="X404" s="12"/>
      <x:c r="Y404" s="12"/>
      <x:c r="Z404" s="12"/>
      <x:c r="AA404" s="12"/>
    </x:row>
    <x:row r="405">
      <x:c r="A405" s="12"/>
      <x:c r="B405" s="12"/>
      <x:c r="C405" s="12"/>
      <x:c r="D405" s="12"/>
      <x:c r="E405" s="12"/>
      <x:c r="F405" s="12"/>
      <x:c r="G405" s="17"/>
      <x:c r="H405" s="12"/>
      <x:c r="I405" s="12"/>
      <x:c r="J405" s="18"/>
      <x:c r="K405" s="12"/>
      <x:c r="L405" s="12"/>
      <x:c r="M405" s="12"/>
      <x:c r="N405" s="12"/>
      <x:c r="O405" s="12"/>
      <x:c r="P405" s="12"/>
      <x:c r="Q405" s="12"/>
      <x:c r="R405" s="12"/>
      <x:c r="S405" s="12"/>
      <x:c r="T405" s="12"/>
      <x:c r="U405" s="12"/>
      <x:c r="V405" s="12"/>
      <x:c r="W405" s="12"/>
      <x:c r="X405" s="12"/>
      <x:c r="Y405" s="12"/>
      <x:c r="Z405" s="12"/>
      <x:c r="AA405" s="12"/>
    </x:row>
    <x:row r="406">
      <x:c r="A406" s="12"/>
      <x:c r="B406" s="12"/>
      <x:c r="C406" s="12"/>
      <x:c r="D406" s="12"/>
      <x:c r="E406" s="12"/>
      <x:c r="F406" s="12"/>
      <x:c r="G406" s="17"/>
      <x:c r="H406" s="12"/>
      <x:c r="I406" s="12"/>
      <x:c r="J406" s="18"/>
      <x:c r="K406" s="12"/>
      <x:c r="L406" s="12"/>
      <x:c r="M406" s="12"/>
      <x:c r="N406" s="12"/>
      <x:c r="O406" s="12"/>
      <x:c r="P406" s="12"/>
      <x:c r="Q406" s="12"/>
      <x:c r="R406" s="12"/>
      <x:c r="S406" s="12"/>
      <x:c r="T406" s="12"/>
      <x:c r="U406" s="12"/>
      <x:c r="V406" s="12"/>
      <x:c r="W406" s="12"/>
      <x:c r="X406" s="12"/>
      <x:c r="Y406" s="12"/>
      <x:c r="Z406" s="12"/>
      <x:c r="AA406" s="12"/>
    </x:row>
    <x:row r="407">
      <x:c r="A407" s="12"/>
      <x:c r="B407" s="12"/>
      <x:c r="C407" s="12"/>
      <x:c r="D407" s="12"/>
      <x:c r="E407" s="12"/>
      <x:c r="F407" s="12"/>
      <x:c r="G407" s="17"/>
      <x:c r="H407" s="12"/>
      <x:c r="I407" s="12"/>
      <x:c r="J407" s="18"/>
      <x:c r="K407" s="12"/>
      <x:c r="L407" s="12"/>
      <x:c r="M407" s="12"/>
      <x:c r="N407" s="12"/>
      <x:c r="O407" s="12"/>
      <x:c r="P407" s="12"/>
      <x:c r="Q407" s="12"/>
      <x:c r="R407" s="12"/>
      <x:c r="S407" s="12"/>
      <x:c r="T407" s="12"/>
      <x:c r="U407" s="12"/>
      <x:c r="V407" s="12"/>
      <x:c r="W407" s="12"/>
      <x:c r="X407" s="12"/>
      <x:c r="Y407" s="12"/>
      <x:c r="Z407" s="12"/>
      <x:c r="AA407" s="12"/>
    </x:row>
    <x:row r="408">
      <x:c r="A408" s="12"/>
      <x:c r="B408" s="12"/>
      <x:c r="C408" s="12"/>
      <x:c r="D408" s="12"/>
      <x:c r="E408" s="12"/>
      <x:c r="F408" s="12"/>
      <x:c r="G408" s="17"/>
      <x:c r="H408" s="12"/>
      <x:c r="I408" s="12"/>
      <x:c r="J408" s="18"/>
      <x:c r="K408" s="12"/>
      <x:c r="L408" s="12"/>
      <x:c r="M408" s="12"/>
      <x:c r="N408" s="12"/>
      <x:c r="O408" s="12"/>
      <x:c r="P408" s="12"/>
      <x:c r="Q408" s="12"/>
      <x:c r="R408" s="12"/>
      <x:c r="S408" s="12"/>
      <x:c r="T408" s="12"/>
      <x:c r="U408" s="12"/>
      <x:c r="V408" s="12"/>
      <x:c r="W408" s="12"/>
      <x:c r="X408" s="12"/>
      <x:c r="Y408" s="12"/>
      <x:c r="Z408" s="12"/>
      <x:c r="AA408" s="12"/>
    </x:row>
    <x:row r="409">
      <x:c r="A409" s="12"/>
      <x:c r="B409" s="12"/>
      <x:c r="C409" s="12"/>
      <x:c r="D409" s="12"/>
      <x:c r="E409" s="12"/>
      <x:c r="F409" s="12"/>
      <x:c r="G409" s="17"/>
      <x:c r="H409" s="12"/>
      <x:c r="I409" s="12"/>
      <x:c r="J409" s="18"/>
      <x:c r="K409" s="12"/>
      <x:c r="L409" s="12"/>
      <x:c r="M409" s="12"/>
      <x:c r="N409" s="12"/>
      <x:c r="O409" s="12"/>
      <x:c r="P409" s="12"/>
      <x:c r="Q409" s="12"/>
      <x:c r="R409" s="12"/>
      <x:c r="S409" s="12"/>
      <x:c r="T409" s="12"/>
      <x:c r="U409" s="12"/>
      <x:c r="V409" s="12"/>
      <x:c r="W409" s="12"/>
      <x:c r="X409" s="12"/>
      <x:c r="Y409" s="12"/>
      <x:c r="Z409" s="12"/>
      <x:c r="AA409" s="12"/>
    </x:row>
    <x:row r="410">
      <x:c r="A410" s="12"/>
      <x:c r="B410" s="12"/>
      <x:c r="C410" s="12"/>
      <x:c r="D410" s="12"/>
      <x:c r="E410" s="12"/>
      <x:c r="F410" s="12"/>
      <x:c r="G410" s="17"/>
      <x:c r="H410" s="12"/>
      <x:c r="I410" s="12"/>
      <x:c r="J410" s="18"/>
      <x:c r="K410" s="12"/>
      <x:c r="L410" s="12"/>
      <x:c r="M410" s="12"/>
      <x:c r="N410" s="12"/>
      <x:c r="O410" s="12"/>
      <x:c r="P410" s="12"/>
      <x:c r="Q410" s="12"/>
      <x:c r="R410" s="12"/>
      <x:c r="S410" s="12"/>
      <x:c r="T410" s="12"/>
      <x:c r="U410" s="12"/>
      <x:c r="V410" s="12"/>
      <x:c r="W410" s="12"/>
      <x:c r="X410" s="12"/>
      <x:c r="Y410" s="12"/>
      <x:c r="Z410" s="12"/>
      <x:c r="AA410" s="12"/>
    </x:row>
    <x:row r="411">
      <x:c r="A411" s="12"/>
      <x:c r="B411" s="12"/>
      <x:c r="C411" s="12"/>
      <x:c r="D411" s="12"/>
      <x:c r="E411" s="12"/>
      <x:c r="F411" s="12"/>
      <x:c r="G411" s="17"/>
      <x:c r="H411" s="12"/>
      <x:c r="I411" s="12"/>
      <x:c r="J411" s="18"/>
      <x:c r="K411" s="12"/>
      <x:c r="L411" s="12"/>
      <x:c r="M411" s="12"/>
      <x:c r="N411" s="12"/>
      <x:c r="O411" s="12"/>
      <x:c r="P411" s="12"/>
      <x:c r="Q411" s="12"/>
      <x:c r="R411" s="12"/>
      <x:c r="S411" s="12"/>
      <x:c r="T411" s="12"/>
      <x:c r="U411" s="12"/>
      <x:c r="V411" s="12"/>
      <x:c r="W411" s="12"/>
      <x:c r="X411" s="12"/>
      <x:c r="Y411" s="12"/>
      <x:c r="Z411" s="12"/>
      <x:c r="AA411" s="12"/>
    </x:row>
    <x:row r="412">
      <x:c r="A412" s="12"/>
      <x:c r="B412" s="12"/>
      <x:c r="C412" s="12"/>
      <x:c r="D412" s="12"/>
      <x:c r="E412" s="12"/>
      <x:c r="F412" s="12"/>
      <x:c r="G412" s="17"/>
      <x:c r="H412" s="12"/>
      <x:c r="I412" s="12"/>
      <x:c r="J412" s="18"/>
      <x:c r="K412" s="12"/>
      <x:c r="L412" s="12"/>
      <x:c r="M412" s="12"/>
      <x:c r="N412" s="12"/>
      <x:c r="O412" s="12"/>
      <x:c r="P412" s="12"/>
      <x:c r="Q412" s="12"/>
      <x:c r="R412" s="12"/>
      <x:c r="S412" s="12"/>
      <x:c r="T412" s="12"/>
      <x:c r="U412" s="12"/>
      <x:c r="V412" s="12"/>
      <x:c r="W412" s="12"/>
      <x:c r="X412" s="12"/>
      <x:c r="Y412" s="12"/>
      <x:c r="Z412" s="12"/>
      <x:c r="AA412" s="12"/>
    </x:row>
    <x:row r="413">
      <x:c r="A413" s="12"/>
      <x:c r="B413" s="12"/>
      <x:c r="C413" s="12"/>
      <x:c r="D413" s="12"/>
      <x:c r="E413" s="12"/>
      <x:c r="F413" s="12"/>
      <x:c r="G413" s="17"/>
      <x:c r="H413" s="12"/>
      <x:c r="I413" s="12"/>
      <x:c r="J413" s="18"/>
      <x:c r="K413" s="12"/>
      <x:c r="L413" s="12"/>
      <x:c r="M413" s="12"/>
      <x:c r="N413" s="12"/>
      <x:c r="O413" s="12"/>
      <x:c r="P413" s="12"/>
      <x:c r="Q413" s="12"/>
      <x:c r="R413" s="12"/>
      <x:c r="S413" s="12"/>
      <x:c r="T413" s="12"/>
      <x:c r="U413" s="12"/>
      <x:c r="V413" s="12"/>
      <x:c r="W413" s="12"/>
      <x:c r="X413" s="12"/>
      <x:c r="Y413" s="12"/>
      <x:c r="Z413" s="12"/>
      <x:c r="AA413" s="12"/>
    </x:row>
    <x:row r="414">
      <x:c r="A414" s="12"/>
      <x:c r="B414" s="12"/>
      <x:c r="C414" s="12"/>
      <x:c r="D414" s="12"/>
      <x:c r="E414" s="12"/>
      <x:c r="F414" s="12"/>
      <x:c r="G414" s="17"/>
      <x:c r="H414" s="12"/>
      <x:c r="I414" s="12"/>
      <x:c r="J414" s="18"/>
      <x:c r="K414" s="12"/>
      <x:c r="L414" s="12"/>
      <x:c r="M414" s="12"/>
      <x:c r="N414" s="12"/>
      <x:c r="O414" s="12"/>
      <x:c r="P414" s="12"/>
      <x:c r="Q414" s="12"/>
      <x:c r="R414" s="12"/>
      <x:c r="S414" s="12"/>
      <x:c r="T414" s="12"/>
      <x:c r="U414" s="12"/>
      <x:c r="V414" s="12"/>
      <x:c r="W414" s="12"/>
      <x:c r="X414" s="12"/>
      <x:c r="Y414" s="12"/>
      <x:c r="Z414" s="12"/>
      <x:c r="AA414" s="12"/>
    </x:row>
    <x:row r="415">
      <x:c r="A415" s="12"/>
      <x:c r="B415" s="12"/>
      <x:c r="C415" s="12"/>
      <x:c r="D415" s="12"/>
      <x:c r="E415" s="12"/>
      <x:c r="F415" s="12"/>
      <x:c r="G415" s="17"/>
      <x:c r="H415" s="12"/>
      <x:c r="I415" s="12"/>
      <x:c r="J415" s="18"/>
      <x:c r="K415" s="12"/>
      <x:c r="L415" s="12"/>
      <x:c r="M415" s="12"/>
      <x:c r="N415" s="12"/>
      <x:c r="O415" s="12"/>
      <x:c r="P415" s="12"/>
      <x:c r="Q415" s="12"/>
      <x:c r="R415" s="12"/>
      <x:c r="S415" s="12"/>
      <x:c r="T415" s="12"/>
      <x:c r="U415" s="12"/>
      <x:c r="V415" s="12"/>
      <x:c r="W415" s="12"/>
      <x:c r="X415" s="12"/>
      <x:c r="Y415" s="12"/>
      <x:c r="Z415" s="12"/>
      <x:c r="AA415" s="12"/>
    </x:row>
    <x:row r="416">
      <x:c r="A416" s="12"/>
      <x:c r="B416" s="12"/>
      <x:c r="C416" s="12"/>
      <x:c r="D416" s="12"/>
      <x:c r="E416" s="12"/>
      <x:c r="F416" s="12"/>
      <x:c r="G416" s="17"/>
      <x:c r="H416" s="12"/>
      <x:c r="I416" s="12"/>
      <x:c r="J416" s="18"/>
      <x:c r="K416" s="12"/>
      <x:c r="L416" s="12"/>
      <x:c r="M416" s="12"/>
      <x:c r="N416" s="12"/>
      <x:c r="O416" s="12"/>
      <x:c r="P416" s="12"/>
      <x:c r="Q416" s="12"/>
      <x:c r="R416" s="12"/>
      <x:c r="S416" s="12"/>
      <x:c r="T416" s="12"/>
      <x:c r="U416" s="12"/>
      <x:c r="V416" s="12"/>
      <x:c r="W416" s="12"/>
      <x:c r="X416" s="12"/>
      <x:c r="Y416" s="12"/>
      <x:c r="Z416" s="12"/>
      <x:c r="AA416" s="12"/>
    </x:row>
    <x:row r="417">
      <x:c r="A417" s="12"/>
      <x:c r="B417" s="12"/>
      <x:c r="C417" s="12"/>
      <x:c r="D417" s="12"/>
      <x:c r="E417" s="12"/>
      <x:c r="F417" s="12"/>
      <x:c r="G417" s="17"/>
      <x:c r="H417" s="12"/>
      <x:c r="I417" s="12"/>
      <x:c r="J417" s="18"/>
      <x:c r="K417" s="12"/>
      <x:c r="L417" s="12"/>
      <x:c r="M417" s="12"/>
      <x:c r="N417" s="12"/>
      <x:c r="O417" s="12"/>
      <x:c r="P417" s="12"/>
      <x:c r="Q417" s="12"/>
      <x:c r="R417" s="12"/>
      <x:c r="S417" s="12"/>
      <x:c r="T417" s="12"/>
      <x:c r="U417" s="12"/>
      <x:c r="V417" s="12"/>
      <x:c r="W417" s="12"/>
      <x:c r="X417" s="12"/>
      <x:c r="Y417" s="12"/>
      <x:c r="Z417" s="12"/>
      <x:c r="AA417" s="12"/>
    </x:row>
    <x:row r="418">
      <x:c r="A418" s="12"/>
      <x:c r="B418" s="12"/>
      <x:c r="C418" s="12"/>
      <x:c r="D418" s="12"/>
      <x:c r="E418" s="12"/>
      <x:c r="F418" s="12"/>
      <x:c r="G418" s="17"/>
      <x:c r="H418" s="12"/>
      <x:c r="I418" s="12"/>
      <x:c r="J418" s="18"/>
      <x:c r="K418" s="12"/>
      <x:c r="L418" s="12"/>
      <x:c r="M418" s="12"/>
      <x:c r="N418" s="12"/>
      <x:c r="O418" s="12"/>
      <x:c r="P418" s="12"/>
      <x:c r="Q418" s="12"/>
      <x:c r="R418" s="12"/>
      <x:c r="S418" s="12"/>
      <x:c r="T418" s="12"/>
      <x:c r="U418" s="12"/>
      <x:c r="V418" s="12"/>
      <x:c r="W418" s="12"/>
      <x:c r="X418" s="12"/>
      <x:c r="Y418" s="12"/>
      <x:c r="Z418" s="12"/>
      <x:c r="AA418" s="12"/>
    </x:row>
    <x:row r="419">
      <x:c r="A419" s="12"/>
      <x:c r="B419" s="12"/>
      <x:c r="C419" s="12"/>
      <x:c r="D419" s="12"/>
      <x:c r="E419" s="12"/>
      <x:c r="F419" s="12"/>
      <x:c r="G419" s="17"/>
      <x:c r="H419" s="12"/>
      <x:c r="I419" s="12"/>
      <x:c r="J419" s="18"/>
      <x:c r="K419" s="12"/>
      <x:c r="L419" s="12"/>
      <x:c r="M419" s="12"/>
      <x:c r="N419" s="12"/>
      <x:c r="O419" s="12"/>
      <x:c r="P419" s="12"/>
      <x:c r="Q419" s="12"/>
      <x:c r="R419" s="12"/>
      <x:c r="S419" s="12"/>
      <x:c r="T419" s="12"/>
      <x:c r="U419" s="12"/>
      <x:c r="V419" s="12"/>
      <x:c r="W419" s="12"/>
      <x:c r="X419" s="12"/>
      <x:c r="Y419" s="12"/>
      <x:c r="Z419" s="12"/>
      <x:c r="AA419" s="12"/>
    </x:row>
    <x:row r="420">
      <x:c r="A420" s="12"/>
      <x:c r="B420" s="12"/>
      <x:c r="C420" s="12"/>
      <x:c r="D420" s="12"/>
      <x:c r="E420" s="12"/>
      <x:c r="F420" s="12"/>
      <x:c r="G420" s="17"/>
      <x:c r="H420" s="12"/>
      <x:c r="I420" s="12"/>
      <x:c r="J420" s="18"/>
      <x:c r="K420" s="12"/>
      <x:c r="L420" s="12"/>
      <x:c r="M420" s="12"/>
      <x:c r="N420" s="12"/>
      <x:c r="O420" s="12"/>
      <x:c r="P420" s="12"/>
      <x:c r="Q420" s="12"/>
      <x:c r="R420" s="12"/>
      <x:c r="S420" s="12"/>
      <x:c r="T420" s="12"/>
      <x:c r="U420" s="12"/>
      <x:c r="V420" s="12"/>
      <x:c r="W420" s="12"/>
      <x:c r="X420" s="12"/>
      <x:c r="Y420" s="12"/>
      <x:c r="Z420" s="12"/>
      <x:c r="AA420" s="12"/>
    </x:row>
    <x:row r="421">
      <x:c r="A421" s="12"/>
      <x:c r="B421" s="12"/>
      <x:c r="C421" s="12"/>
      <x:c r="D421" s="12"/>
      <x:c r="E421" s="12"/>
      <x:c r="F421" s="12"/>
      <x:c r="G421" s="17"/>
      <x:c r="H421" s="12"/>
      <x:c r="I421" s="12"/>
      <x:c r="J421" s="18"/>
      <x:c r="K421" s="12"/>
      <x:c r="L421" s="12"/>
      <x:c r="M421" s="12"/>
      <x:c r="N421" s="12"/>
      <x:c r="O421" s="12"/>
      <x:c r="P421" s="12"/>
      <x:c r="Q421" s="12"/>
      <x:c r="R421" s="12"/>
      <x:c r="S421" s="12"/>
      <x:c r="T421" s="12"/>
      <x:c r="U421" s="12"/>
      <x:c r="V421" s="12"/>
      <x:c r="W421" s="12"/>
      <x:c r="X421" s="12"/>
      <x:c r="Y421" s="12"/>
      <x:c r="Z421" s="12"/>
      <x:c r="AA421" s="12"/>
    </x:row>
    <x:row r="422">
      <x:c r="A422" s="12"/>
      <x:c r="B422" s="12"/>
      <x:c r="C422" s="12"/>
      <x:c r="D422" s="12"/>
      <x:c r="E422" s="12"/>
      <x:c r="F422" s="12"/>
      <x:c r="G422" s="17"/>
      <x:c r="H422" s="12"/>
      <x:c r="I422" s="12"/>
      <x:c r="J422" s="18"/>
      <x:c r="K422" s="12"/>
      <x:c r="L422" s="12"/>
      <x:c r="M422" s="12"/>
      <x:c r="N422" s="12"/>
      <x:c r="O422" s="12"/>
      <x:c r="P422" s="12"/>
      <x:c r="Q422" s="12"/>
      <x:c r="R422" s="12"/>
      <x:c r="S422" s="12"/>
      <x:c r="T422" s="12"/>
      <x:c r="U422" s="12"/>
      <x:c r="V422" s="12"/>
      <x:c r="W422" s="12"/>
      <x:c r="X422" s="12"/>
      <x:c r="Y422" s="12"/>
      <x:c r="Z422" s="12"/>
      <x:c r="AA422" s="12"/>
    </x:row>
    <x:row r="423">
      <x:c r="A423" s="12"/>
      <x:c r="B423" s="12"/>
      <x:c r="C423" s="12"/>
      <x:c r="D423" s="12"/>
      <x:c r="E423" s="12"/>
      <x:c r="F423" s="12"/>
      <x:c r="G423" s="17"/>
      <x:c r="H423" s="12"/>
      <x:c r="I423" s="12"/>
      <x:c r="J423" s="18"/>
      <x:c r="K423" s="12"/>
      <x:c r="L423" s="12"/>
      <x:c r="M423" s="12"/>
      <x:c r="N423" s="12"/>
      <x:c r="O423" s="12"/>
      <x:c r="P423" s="12"/>
      <x:c r="Q423" s="12"/>
      <x:c r="R423" s="12"/>
      <x:c r="S423" s="12"/>
      <x:c r="T423" s="12"/>
      <x:c r="U423" s="12"/>
      <x:c r="V423" s="12"/>
      <x:c r="W423" s="12"/>
      <x:c r="X423" s="12"/>
      <x:c r="Y423" s="12"/>
      <x:c r="Z423" s="12"/>
      <x:c r="AA423" s="12"/>
    </x:row>
    <x:row r="424">
      <x:c r="A424" s="12"/>
      <x:c r="B424" s="12"/>
      <x:c r="C424" s="12"/>
      <x:c r="D424" s="12"/>
      <x:c r="E424" s="12"/>
      <x:c r="F424" s="12"/>
      <x:c r="G424" s="17"/>
      <x:c r="H424" s="12"/>
      <x:c r="I424" s="12"/>
      <x:c r="J424" s="18"/>
      <x:c r="K424" s="12"/>
      <x:c r="L424" s="12"/>
      <x:c r="M424" s="12"/>
      <x:c r="N424" s="12"/>
      <x:c r="O424" s="12"/>
      <x:c r="P424" s="12"/>
      <x:c r="Q424" s="12"/>
      <x:c r="R424" s="12"/>
      <x:c r="S424" s="12"/>
      <x:c r="T424" s="12"/>
      <x:c r="U424" s="12"/>
      <x:c r="V424" s="12"/>
      <x:c r="W424" s="12"/>
      <x:c r="X424" s="12"/>
      <x:c r="Y424" s="12"/>
      <x:c r="Z424" s="12"/>
      <x:c r="AA424" s="12"/>
    </x:row>
    <x:row r="425">
      <x:c r="A425" s="12"/>
      <x:c r="B425" s="12"/>
      <x:c r="C425" s="12"/>
      <x:c r="D425" s="12"/>
      <x:c r="E425" s="12"/>
      <x:c r="F425" s="12"/>
      <x:c r="G425" s="17"/>
      <x:c r="H425" s="12"/>
      <x:c r="I425" s="12"/>
      <x:c r="J425" s="18"/>
      <x:c r="K425" s="12"/>
      <x:c r="L425" s="12"/>
      <x:c r="M425" s="12"/>
      <x:c r="N425" s="12"/>
      <x:c r="O425" s="12"/>
      <x:c r="P425" s="12"/>
      <x:c r="Q425" s="12"/>
      <x:c r="R425" s="12"/>
      <x:c r="S425" s="12"/>
      <x:c r="T425" s="12"/>
      <x:c r="U425" s="12"/>
      <x:c r="V425" s="12"/>
      <x:c r="W425" s="12"/>
      <x:c r="X425" s="12"/>
      <x:c r="Y425" s="12"/>
      <x:c r="Z425" s="12"/>
      <x:c r="AA425" s="12"/>
    </x:row>
    <x:row r="426">
      <x:c r="A426" s="12"/>
      <x:c r="B426" s="12"/>
      <x:c r="C426" s="12"/>
      <x:c r="D426" s="12"/>
      <x:c r="E426" s="12"/>
      <x:c r="F426" s="12"/>
      <x:c r="G426" s="17"/>
      <x:c r="H426" s="12"/>
      <x:c r="I426" s="12"/>
      <x:c r="J426" s="18"/>
      <x:c r="K426" s="12"/>
      <x:c r="L426" s="12"/>
      <x:c r="M426" s="12"/>
      <x:c r="N426" s="12"/>
      <x:c r="O426" s="12"/>
      <x:c r="P426" s="12"/>
      <x:c r="Q426" s="12"/>
      <x:c r="R426" s="12"/>
      <x:c r="S426" s="12"/>
      <x:c r="T426" s="12"/>
      <x:c r="U426" s="12"/>
      <x:c r="V426" s="12"/>
      <x:c r="W426" s="12"/>
      <x:c r="X426" s="12"/>
      <x:c r="Y426" s="12"/>
      <x:c r="Z426" s="12"/>
      <x:c r="AA426" s="12"/>
    </x:row>
    <x:row r="427">
      <x:c r="A427" s="12"/>
      <x:c r="B427" s="12"/>
      <x:c r="C427" s="12"/>
      <x:c r="D427" s="12"/>
      <x:c r="E427" s="12"/>
      <x:c r="F427" s="12"/>
      <x:c r="G427" s="17"/>
      <x:c r="H427" s="12"/>
      <x:c r="I427" s="12"/>
      <x:c r="J427" s="18"/>
      <x:c r="K427" s="12"/>
      <x:c r="L427" s="12"/>
      <x:c r="M427" s="12"/>
      <x:c r="N427" s="12"/>
      <x:c r="O427" s="12"/>
      <x:c r="P427" s="12"/>
      <x:c r="Q427" s="12"/>
      <x:c r="R427" s="12"/>
      <x:c r="S427" s="12"/>
      <x:c r="T427" s="12"/>
      <x:c r="U427" s="12"/>
      <x:c r="V427" s="12"/>
      <x:c r="W427" s="12"/>
      <x:c r="X427" s="12"/>
      <x:c r="Y427" s="12"/>
      <x:c r="Z427" s="12"/>
      <x:c r="AA427" s="12"/>
    </x:row>
    <x:row r="428">
      <x:c r="A428" s="12"/>
      <x:c r="B428" s="12"/>
      <x:c r="C428" s="12"/>
      <x:c r="D428" s="12"/>
      <x:c r="E428" s="12"/>
      <x:c r="F428" s="12"/>
      <x:c r="G428" s="17"/>
      <x:c r="H428" s="12"/>
      <x:c r="I428" s="12"/>
      <x:c r="J428" s="18"/>
      <x:c r="K428" s="12"/>
      <x:c r="L428" s="12"/>
      <x:c r="M428" s="12"/>
      <x:c r="N428" s="12"/>
      <x:c r="O428" s="12"/>
      <x:c r="P428" s="12"/>
      <x:c r="Q428" s="12"/>
      <x:c r="R428" s="12"/>
      <x:c r="S428" s="12"/>
      <x:c r="T428" s="12"/>
      <x:c r="U428" s="12"/>
      <x:c r="V428" s="12"/>
      <x:c r="W428" s="12"/>
      <x:c r="X428" s="12"/>
      <x:c r="Y428" s="12"/>
      <x:c r="Z428" s="12"/>
      <x:c r="AA428" s="12"/>
    </x:row>
    <x:row r="429">
      <x:c r="A429" s="12"/>
      <x:c r="B429" s="12"/>
      <x:c r="C429" s="12"/>
      <x:c r="D429" s="12"/>
      <x:c r="E429" s="12"/>
      <x:c r="F429" s="12"/>
      <x:c r="G429" s="17"/>
      <x:c r="H429" s="12"/>
      <x:c r="I429" s="12"/>
      <x:c r="J429" s="18"/>
      <x:c r="K429" s="12"/>
      <x:c r="L429" s="12"/>
      <x:c r="M429" s="12"/>
      <x:c r="N429" s="12"/>
      <x:c r="O429" s="12"/>
      <x:c r="P429" s="12"/>
      <x:c r="Q429" s="12"/>
      <x:c r="R429" s="12"/>
      <x:c r="S429" s="12"/>
      <x:c r="T429" s="12"/>
      <x:c r="U429" s="12"/>
      <x:c r="V429" s="12"/>
      <x:c r="W429" s="12"/>
      <x:c r="X429" s="12"/>
      <x:c r="Y429" s="12"/>
      <x:c r="Z429" s="12"/>
      <x:c r="AA429" s="12"/>
    </x:row>
    <x:row r="430">
      <x:c r="A430" s="12"/>
      <x:c r="B430" s="12"/>
      <x:c r="C430" s="12"/>
      <x:c r="D430" s="12"/>
      <x:c r="E430" s="12"/>
      <x:c r="F430" s="12"/>
      <x:c r="G430" s="17"/>
      <x:c r="H430" s="12"/>
      <x:c r="I430" s="12"/>
      <x:c r="J430" s="18"/>
      <x:c r="K430" s="12"/>
      <x:c r="L430" s="12"/>
      <x:c r="M430" s="12"/>
      <x:c r="N430" s="12"/>
      <x:c r="O430" s="12"/>
      <x:c r="P430" s="12"/>
      <x:c r="Q430" s="12"/>
      <x:c r="R430" s="12"/>
      <x:c r="S430" s="12"/>
      <x:c r="T430" s="12"/>
      <x:c r="U430" s="12"/>
      <x:c r="V430" s="12"/>
      <x:c r="W430" s="12"/>
      <x:c r="X430" s="12"/>
      <x:c r="Y430" s="12"/>
      <x:c r="Z430" s="12"/>
      <x:c r="AA430" s="12"/>
    </x:row>
    <x:row r="431">
      <x:c r="A431" s="12"/>
      <x:c r="B431" s="12"/>
      <x:c r="C431" s="12"/>
      <x:c r="D431" s="12"/>
      <x:c r="E431" s="12"/>
      <x:c r="F431" s="12"/>
      <x:c r="G431" s="17"/>
      <x:c r="H431" s="12"/>
      <x:c r="I431" s="12"/>
      <x:c r="J431" s="18"/>
      <x:c r="K431" s="12"/>
      <x:c r="L431" s="12"/>
      <x:c r="M431" s="12"/>
      <x:c r="N431" s="12"/>
      <x:c r="O431" s="12"/>
      <x:c r="P431" s="12"/>
      <x:c r="Q431" s="12"/>
      <x:c r="R431" s="12"/>
      <x:c r="S431" s="12"/>
      <x:c r="T431" s="12"/>
      <x:c r="U431" s="12"/>
      <x:c r="V431" s="12"/>
      <x:c r="W431" s="12"/>
      <x:c r="X431" s="12"/>
      <x:c r="Y431" s="12"/>
      <x:c r="Z431" s="12"/>
      <x:c r="AA431" s="12"/>
    </x:row>
    <x:row r="432">
      <x:c r="A432" s="12"/>
      <x:c r="B432" s="12"/>
      <x:c r="C432" s="12"/>
      <x:c r="D432" s="12"/>
      <x:c r="E432" s="12"/>
      <x:c r="F432" s="12"/>
      <x:c r="G432" s="17"/>
      <x:c r="H432" s="12"/>
      <x:c r="I432" s="12"/>
      <x:c r="J432" s="18"/>
      <x:c r="K432" s="12"/>
      <x:c r="L432" s="12"/>
      <x:c r="M432" s="12"/>
      <x:c r="N432" s="12"/>
      <x:c r="O432" s="12"/>
      <x:c r="P432" s="12"/>
      <x:c r="Q432" s="12"/>
      <x:c r="R432" s="12"/>
      <x:c r="S432" s="12"/>
      <x:c r="T432" s="12"/>
      <x:c r="U432" s="12"/>
      <x:c r="V432" s="12"/>
      <x:c r="W432" s="12"/>
      <x:c r="X432" s="12"/>
      <x:c r="Y432" s="12"/>
      <x:c r="Z432" s="12"/>
      <x:c r="AA432" s="12"/>
    </x:row>
    <x:row r="433">
      <x:c r="A433" s="12"/>
      <x:c r="B433" s="12"/>
      <x:c r="C433" s="12"/>
      <x:c r="D433" s="12"/>
      <x:c r="E433" s="12"/>
      <x:c r="F433" s="12"/>
      <x:c r="G433" s="17"/>
      <x:c r="H433" s="12"/>
      <x:c r="I433" s="12"/>
      <x:c r="J433" s="18"/>
      <x:c r="K433" s="12"/>
      <x:c r="L433" s="12"/>
      <x:c r="M433" s="12"/>
      <x:c r="N433" s="12"/>
      <x:c r="O433" s="12"/>
      <x:c r="P433" s="12"/>
      <x:c r="Q433" s="12"/>
      <x:c r="R433" s="12"/>
      <x:c r="S433" s="12"/>
      <x:c r="T433" s="12"/>
      <x:c r="U433" s="12"/>
      <x:c r="V433" s="12"/>
      <x:c r="W433" s="12"/>
      <x:c r="X433" s="12"/>
      <x:c r="Y433" s="12"/>
      <x:c r="Z433" s="12"/>
      <x:c r="AA433" s="12"/>
    </x:row>
    <x:row r="434">
      <x:c r="A434" s="12"/>
      <x:c r="B434" s="12"/>
      <x:c r="C434" s="12"/>
      <x:c r="D434" s="12"/>
      <x:c r="E434" s="12"/>
      <x:c r="F434" s="12"/>
      <x:c r="G434" s="17"/>
      <x:c r="H434" s="12"/>
      <x:c r="I434" s="12"/>
      <x:c r="J434" s="18"/>
      <x:c r="K434" s="12"/>
      <x:c r="L434" s="12"/>
      <x:c r="M434" s="12"/>
      <x:c r="N434" s="12"/>
      <x:c r="O434" s="12"/>
      <x:c r="P434" s="12"/>
      <x:c r="Q434" s="12"/>
      <x:c r="R434" s="12"/>
      <x:c r="S434" s="12"/>
      <x:c r="T434" s="12"/>
      <x:c r="U434" s="12"/>
      <x:c r="V434" s="12"/>
      <x:c r="W434" s="12"/>
      <x:c r="X434" s="12"/>
      <x:c r="Y434" s="12"/>
      <x:c r="Z434" s="12"/>
      <x:c r="AA434" s="12"/>
    </x:row>
    <x:row r="435">
      <x:c r="A435" s="12"/>
      <x:c r="B435" s="12"/>
      <x:c r="C435" s="12"/>
      <x:c r="D435" s="12"/>
      <x:c r="E435" s="12"/>
      <x:c r="F435" s="12"/>
      <x:c r="G435" s="17"/>
      <x:c r="H435" s="12"/>
      <x:c r="I435" s="12"/>
      <x:c r="J435" s="18"/>
      <x:c r="K435" s="12"/>
      <x:c r="L435" s="12"/>
      <x:c r="M435" s="12"/>
      <x:c r="N435" s="12"/>
      <x:c r="O435" s="12"/>
      <x:c r="P435" s="12"/>
      <x:c r="Q435" s="12"/>
      <x:c r="R435" s="12"/>
      <x:c r="S435" s="12"/>
      <x:c r="T435" s="12"/>
      <x:c r="U435" s="12"/>
      <x:c r="V435" s="12"/>
      <x:c r="W435" s="12"/>
      <x:c r="X435" s="12"/>
      <x:c r="Y435" s="12"/>
      <x:c r="Z435" s="12"/>
      <x:c r="AA435" s="12"/>
    </x:row>
    <x:row r="436">
      <x:c r="A436" s="12"/>
      <x:c r="B436" s="12"/>
      <x:c r="C436" s="12"/>
      <x:c r="D436" s="12"/>
      <x:c r="E436" s="12"/>
      <x:c r="F436" s="12"/>
      <x:c r="G436" s="17"/>
      <x:c r="H436" s="12"/>
      <x:c r="I436" s="12"/>
      <x:c r="J436" s="18"/>
      <x:c r="K436" s="12"/>
      <x:c r="L436" s="12"/>
      <x:c r="M436" s="12"/>
      <x:c r="N436" s="12"/>
      <x:c r="O436" s="12"/>
      <x:c r="P436" s="12"/>
      <x:c r="Q436" s="12"/>
      <x:c r="R436" s="12"/>
      <x:c r="S436" s="12"/>
      <x:c r="T436" s="12"/>
      <x:c r="U436" s="12"/>
      <x:c r="V436" s="12"/>
      <x:c r="W436" s="12"/>
      <x:c r="X436" s="12"/>
      <x:c r="Y436" s="12"/>
      <x:c r="Z436" s="12"/>
      <x:c r="AA436" s="12"/>
    </x:row>
    <x:row r="437">
      <x:c r="A437" s="12"/>
      <x:c r="B437" s="12"/>
      <x:c r="C437" s="12"/>
      <x:c r="D437" s="12"/>
      <x:c r="E437" s="12"/>
      <x:c r="F437" s="12"/>
      <x:c r="G437" s="17"/>
      <x:c r="H437" s="12"/>
      <x:c r="I437" s="12"/>
      <x:c r="J437" s="18"/>
      <x:c r="K437" s="12"/>
      <x:c r="L437" s="12"/>
      <x:c r="M437" s="12"/>
      <x:c r="N437" s="12"/>
      <x:c r="O437" s="12"/>
      <x:c r="P437" s="12"/>
      <x:c r="Q437" s="12"/>
      <x:c r="R437" s="12"/>
      <x:c r="S437" s="12"/>
      <x:c r="T437" s="12"/>
      <x:c r="U437" s="12"/>
      <x:c r="V437" s="12"/>
      <x:c r="W437" s="12"/>
      <x:c r="X437" s="12"/>
      <x:c r="Y437" s="12"/>
      <x:c r="Z437" s="12"/>
      <x:c r="AA437" s="12"/>
    </x:row>
    <x:row r="438">
      <x:c r="A438" s="12"/>
      <x:c r="B438" s="12"/>
      <x:c r="C438" s="12"/>
      <x:c r="D438" s="12"/>
      <x:c r="E438" s="12"/>
      <x:c r="F438" s="12"/>
      <x:c r="G438" s="17"/>
      <x:c r="H438" s="12"/>
      <x:c r="I438" s="12"/>
      <x:c r="J438" s="18"/>
      <x:c r="K438" s="12"/>
      <x:c r="L438" s="12"/>
      <x:c r="M438" s="12"/>
      <x:c r="N438" s="12"/>
      <x:c r="O438" s="12"/>
      <x:c r="P438" s="12"/>
      <x:c r="Q438" s="12"/>
      <x:c r="R438" s="12"/>
      <x:c r="S438" s="12"/>
      <x:c r="T438" s="12"/>
      <x:c r="U438" s="12"/>
      <x:c r="V438" s="12"/>
      <x:c r="W438" s="12"/>
      <x:c r="X438" s="12"/>
      <x:c r="Y438" s="12"/>
      <x:c r="Z438" s="12"/>
      <x:c r="AA438" s="12"/>
    </x:row>
    <x:row r="439">
      <x:c r="A439" s="12"/>
      <x:c r="B439" s="12"/>
      <x:c r="C439" s="12"/>
      <x:c r="D439" s="12"/>
      <x:c r="E439" s="12"/>
      <x:c r="F439" s="12"/>
      <x:c r="G439" s="17"/>
      <x:c r="H439" s="12"/>
      <x:c r="I439" s="12"/>
      <x:c r="J439" s="18"/>
      <x:c r="K439" s="12"/>
      <x:c r="L439" s="12"/>
      <x:c r="M439" s="12"/>
      <x:c r="N439" s="12"/>
      <x:c r="O439" s="12"/>
      <x:c r="P439" s="12"/>
      <x:c r="Q439" s="12"/>
      <x:c r="R439" s="12"/>
      <x:c r="S439" s="12"/>
      <x:c r="T439" s="12"/>
      <x:c r="U439" s="12"/>
      <x:c r="V439" s="12"/>
      <x:c r="W439" s="12"/>
      <x:c r="X439" s="12"/>
      <x:c r="Y439" s="12"/>
      <x:c r="Z439" s="12"/>
      <x:c r="AA439" s="12"/>
    </x:row>
    <x:row r="440">
      <x:c r="A440" s="12"/>
      <x:c r="B440" s="12"/>
      <x:c r="C440" s="12"/>
      <x:c r="D440" s="12"/>
      <x:c r="E440" s="12"/>
      <x:c r="F440" s="12"/>
      <x:c r="G440" s="17"/>
      <x:c r="H440" s="12"/>
      <x:c r="I440" s="12"/>
      <x:c r="J440" s="18"/>
      <x:c r="K440" s="12"/>
      <x:c r="L440" s="12"/>
      <x:c r="M440" s="12"/>
      <x:c r="N440" s="12"/>
      <x:c r="O440" s="12"/>
      <x:c r="P440" s="12"/>
      <x:c r="Q440" s="12"/>
      <x:c r="R440" s="12"/>
      <x:c r="S440" s="12"/>
      <x:c r="T440" s="12"/>
      <x:c r="U440" s="12"/>
      <x:c r="V440" s="12"/>
      <x:c r="W440" s="12"/>
      <x:c r="X440" s="12"/>
      <x:c r="Y440" s="12"/>
      <x:c r="Z440" s="12"/>
      <x:c r="AA440" s="12"/>
    </x:row>
    <x:row r="441">
      <x:c r="A441" s="12"/>
      <x:c r="B441" s="12"/>
      <x:c r="C441" s="12"/>
      <x:c r="D441" s="12"/>
      <x:c r="E441" s="12"/>
      <x:c r="F441" s="12"/>
      <x:c r="G441" s="17"/>
      <x:c r="H441" s="12"/>
      <x:c r="I441" s="12"/>
      <x:c r="J441" s="18"/>
      <x:c r="K441" s="12"/>
      <x:c r="L441" s="12"/>
      <x:c r="M441" s="12"/>
      <x:c r="N441" s="12"/>
      <x:c r="O441" s="12"/>
      <x:c r="P441" s="12"/>
      <x:c r="Q441" s="12"/>
      <x:c r="R441" s="12"/>
      <x:c r="S441" s="12"/>
      <x:c r="T441" s="12"/>
      <x:c r="U441" s="12"/>
      <x:c r="V441" s="12"/>
      <x:c r="W441" s="12"/>
      <x:c r="X441" s="12"/>
      <x:c r="Y441" s="12"/>
      <x:c r="Z441" s="12"/>
      <x:c r="AA441" s="12"/>
    </x:row>
    <x:row r="442">
      <x:c r="A442" s="12"/>
      <x:c r="B442" s="12"/>
      <x:c r="C442" s="12"/>
      <x:c r="D442" s="12"/>
      <x:c r="E442" s="12"/>
      <x:c r="F442" s="12"/>
      <x:c r="G442" s="17"/>
      <x:c r="H442" s="12"/>
      <x:c r="I442" s="12"/>
      <x:c r="J442" s="18"/>
      <x:c r="K442" s="12"/>
      <x:c r="L442" s="12"/>
      <x:c r="M442" s="12"/>
      <x:c r="N442" s="12"/>
      <x:c r="O442" s="12"/>
      <x:c r="P442" s="12"/>
      <x:c r="Q442" s="12"/>
      <x:c r="R442" s="12"/>
      <x:c r="S442" s="12"/>
      <x:c r="T442" s="12"/>
      <x:c r="U442" s="12"/>
      <x:c r="V442" s="12"/>
      <x:c r="W442" s="12"/>
      <x:c r="X442" s="12"/>
      <x:c r="Y442" s="12"/>
      <x:c r="Z442" s="12"/>
      <x:c r="AA442" s="12"/>
    </x:row>
    <x:row r="443">
      <x:c r="A443" s="12"/>
      <x:c r="B443" s="12"/>
      <x:c r="C443" s="12"/>
      <x:c r="D443" s="12"/>
      <x:c r="E443" s="12"/>
      <x:c r="F443" s="12"/>
      <x:c r="G443" s="17"/>
      <x:c r="H443" s="12"/>
      <x:c r="I443" s="12"/>
      <x:c r="J443" s="18"/>
      <x:c r="K443" s="12"/>
      <x:c r="L443" s="12"/>
      <x:c r="M443" s="12"/>
      <x:c r="N443" s="12"/>
      <x:c r="O443" s="12"/>
      <x:c r="P443" s="12"/>
      <x:c r="Q443" s="12"/>
      <x:c r="R443" s="12"/>
      <x:c r="S443" s="12"/>
      <x:c r="T443" s="12"/>
      <x:c r="U443" s="12"/>
      <x:c r="V443" s="12"/>
      <x:c r="W443" s="12"/>
      <x:c r="X443" s="12"/>
      <x:c r="Y443" s="12"/>
      <x:c r="Z443" s="12"/>
      <x:c r="AA443" s="12"/>
    </x:row>
    <x:row r="444">
      <x:c r="A444" s="12"/>
      <x:c r="B444" s="12"/>
      <x:c r="C444" s="12"/>
      <x:c r="D444" s="12"/>
      <x:c r="E444" s="12"/>
      <x:c r="F444" s="12"/>
      <x:c r="G444" s="17"/>
      <x:c r="H444" s="12"/>
      <x:c r="I444" s="12"/>
      <x:c r="J444" s="18"/>
      <x:c r="K444" s="12"/>
      <x:c r="L444" s="12"/>
      <x:c r="M444" s="12"/>
      <x:c r="N444" s="12"/>
      <x:c r="O444" s="12"/>
      <x:c r="P444" s="12"/>
      <x:c r="Q444" s="12"/>
      <x:c r="R444" s="12"/>
      <x:c r="S444" s="12"/>
      <x:c r="T444" s="12"/>
      <x:c r="U444" s="12"/>
      <x:c r="V444" s="12"/>
      <x:c r="W444" s="12"/>
      <x:c r="X444" s="12"/>
      <x:c r="Y444" s="12"/>
      <x:c r="Z444" s="12"/>
      <x:c r="AA444" s="12"/>
    </x:row>
    <x:row r="445">
      <x:c r="A445" s="12"/>
      <x:c r="B445" s="12"/>
      <x:c r="C445" s="12"/>
      <x:c r="D445" s="12"/>
      <x:c r="E445" s="12"/>
      <x:c r="F445" s="12"/>
      <x:c r="G445" s="17"/>
      <x:c r="H445" s="12"/>
      <x:c r="I445" s="12"/>
      <x:c r="J445" s="18"/>
      <x:c r="K445" s="12"/>
      <x:c r="L445" s="12"/>
      <x:c r="M445" s="12"/>
      <x:c r="N445" s="12"/>
      <x:c r="O445" s="12"/>
      <x:c r="P445" s="12"/>
      <x:c r="Q445" s="12"/>
      <x:c r="R445" s="12"/>
      <x:c r="S445" s="12"/>
      <x:c r="T445" s="12"/>
      <x:c r="U445" s="12"/>
      <x:c r="V445" s="12"/>
      <x:c r="W445" s="12"/>
      <x:c r="X445" s="12"/>
      <x:c r="Y445" s="12"/>
      <x:c r="Z445" s="12"/>
      <x:c r="AA445" s="12"/>
    </x:row>
    <x:row r="446">
      <x:c r="A446" s="12"/>
      <x:c r="B446" s="12"/>
      <x:c r="C446" s="12"/>
      <x:c r="D446" s="12"/>
      <x:c r="E446" s="12"/>
      <x:c r="F446" s="12"/>
      <x:c r="G446" s="17"/>
      <x:c r="H446" s="12"/>
      <x:c r="I446" s="12"/>
      <x:c r="J446" s="18"/>
      <x:c r="K446" s="12"/>
      <x:c r="L446" s="12"/>
      <x:c r="M446" s="12"/>
      <x:c r="N446" s="12"/>
      <x:c r="O446" s="12"/>
      <x:c r="P446" s="12"/>
      <x:c r="Q446" s="12"/>
      <x:c r="R446" s="12"/>
      <x:c r="S446" s="12"/>
      <x:c r="T446" s="12"/>
      <x:c r="U446" s="12"/>
      <x:c r="V446" s="12"/>
      <x:c r="W446" s="12"/>
      <x:c r="X446" s="12"/>
      <x:c r="Y446" s="12"/>
      <x:c r="Z446" s="12"/>
      <x:c r="AA446" s="12"/>
    </x:row>
    <x:row r="447">
      <x:c r="A447" s="12"/>
      <x:c r="B447" s="12"/>
      <x:c r="C447" s="12"/>
      <x:c r="D447" s="12"/>
      <x:c r="E447" s="12"/>
      <x:c r="F447" s="12"/>
      <x:c r="G447" s="17"/>
      <x:c r="H447" s="12"/>
      <x:c r="I447" s="12"/>
      <x:c r="J447" s="18"/>
      <x:c r="K447" s="12"/>
      <x:c r="L447" s="12"/>
      <x:c r="M447" s="12"/>
      <x:c r="N447" s="12"/>
      <x:c r="O447" s="12"/>
      <x:c r="P447" s="12"/>
      <x:c r="Q447" s="12"/>
      <x:c r="R447" s="12"/>
      <x:c r="S447" s="12"/>
      <x:c r="T447" s="12"/>
      <x:c r="U447" s="12"/>
      <x:c r="V447" s="12"/>
      <x:c r="W447" s="12"/>
      <x:c r="X447" s="12"/>
      <x:c r="Y447" s="12"/>
      <x:c r="Z447" s="12"/>
      <x:c r="AA447" s="12"/>
    </x:row>
    <x:row r="448">
      <x:c r="A448" s="12"/>
      <x:c r="B448" s="12"/>
      <x:c r="C448" s="12"/>
      <x:c r="D448" s="12"/>
      <x:c r="E448" s="12"/>
      <x:c r="F448" s="12"/>
      <x:c r="G448" s="17"/>
      <x:c r="H448" s="12"/>
      <x:c r="I448" s="12"/>
      <x:c r="J448" s="18"/>
      <x:c r="K448" s="12"/>
      <x:c r="L448" s="12"/>
      <x:c r="M448" s="12"/>
      <x:c r="N448" s="12"/>
      <x:c r="O448" s="12"/>
      <x:c r="P448" s="12"/>
      <x:c r="Q448" s="12"/>
      <x:c r="R448" s="12"/>
      <x:c r="S448" s="12"/>
      <x:c r="T448" s="12"/>
      <x:c r="U448" s="12"/>
      <x:c r="V448" s="12"/>
      <x:c r="W448" s="12"/>
      <x:c r="X448" s="12"/>
      <x:c r="Y448" s="12"/>
      <x:c r="Z448" s="12"/>
      <x:c r="AA448" s="12"/>
    </x:row>
    <x:row r="449">
      <x:c r="A449" s="12"/>
      <x:c r="B449" s="12"/>
      <x:c r="C449" s="12"/>
      <x:c r="D449" s="12"/>
      <x:c r="E449" s="12"/>
      <x:c r="F449" s="12"/>
      <x:c r="G449" s="17"/>
      <x:c r="H449" s="12"/>
      <x:c r="I449" s="12"/>
      <x:c r="J449" s="18"/>
      <x:c r="K449" s="12"/>
      <x:c r="L449" s="12"/>
      <x:c r="M449" s="12"/>
      <x:c r="N449" s="12"/>
      <x:c r="O449" s="12"/>
      <x:c r="P449" s="12"/>
      <x:c r="Q449" s="12"/>
      <x:c r="R449" s="12"/>
      <x:c r="S449" s="12"/>
      <x:c r="T449" s="12"/>
      <x:c r="U449" s="12"/>
      <x:c r="V449" s="12"/>
      <x:c r="W449" s="12"/>
      <x:c r="X449" s="12"/>
      <x:c r="Y449" s="12"/>
      <x:c r="Z449" s="12"/>
      <x:c r="AA449" s="12"/>
    </x:row>
    <x:row r="450">
      <x:c r="A450" s="12"/>
      <x:c r="B450" s="12"/>
      <x:c r="C450" s="12"/>
      <x:c r="D450" s="12"/>
      <x:c r="E450" s="12"/>
      <x:c r="F450" s="12"/>
      <x:c r="G450" s="17"/>
      <x:c r="H450" s="12"/>
      <x:c r="I450" s="12"/>
      <x:c r="J450" s="18"/>
      <x:c r="K450" s="12"/>
      <x:c r="L450" s="12"/>
      <x:c r="M450" s="12"/>
      <x:c r="N450" s="12"/>
      <x:c r="O450" s="12"/>
      <x:c r="P450" s="12"/>
      <x:c r="Q450" s="12"/>
      <x:c r="R450" s="12"/>
      <x:c r="S450" s="12"/>
      <x:c r="T450" s="12"/>
      <x:c r="U450" s="12"/>
      <x:c r="V450" s="12"/>
      <x:c r="W450" s="12"/>
      <x:c r="X450" s="12"/>
      <x:c r="Y450" s="12"/>
      <x:c r="Z450" s="12"/>
      <x:c r="AA450" s="12"/>
    </x:row>
    <x:row r="451">
      <x:c r="A451" s="12"/>
      <x:c r="B451" s="12"/>
      <x:c r="C451" s="12"/>
      <x:c r="D451" s="12"/>
      <x:c r="E451" s="12"/>
      <x:c r="F451" s="12"/>
      <x:c r="G451" s="17"/>
      <x:c r="H451" s="12"/>
      <x:c r="I451" s="12"/>
      <x:c r="J451" s="18"/>
      <x:c r="K451" s="12"/>
      <x:c r="L451" s="12"/>
      <x:c r="M451" s="12"/>
      <x:c r="N451" s="12"/>
      <x:c r="O451" s="12"/>
      <x:c r="P451" s="12"/>
      <x:c r="Q451" s="12"/>
      <x:c r="R451" s="12"/>
      <x:c r="S451" s="12"/>
      <x:c r="T451" s="12"/>
      <x:c r="U451" s="12"/>
      <x:c r="V451" s="12"/>
      <x:c r="W451" s="12"/>
      <x:c r="X451" s="12"/>
      <x:c r="Y451" s="12"/>
      <x:c r="Z451" s="12"/>
      <x:c r="AA451" s="12"/>
    </x:row>
    <x:row r="452">
      <x:c r="A452" s="12"/>
      <x:c r="B452" s="12"/>
      <x:c r="C452" s="12"/>
      <x:c r="D452" s="12"/>
      <x:c r="E452" s="12"/>
      <x:c r="F452" s="12"/>
      <x:c r="G452" s="17"/>
      <x:c r="H452" s="12"/>
      <x:c r="I452" s="12"/>
      <x:c r="J452" s="18"/>
      <x:c r="K452" s="12"/>
      <x:c r="L452" s="12"/>
      <x:c r="M452" s="12"/>
      <x:c r="N452" s="12"/>
      <x:c r="O452" s="12"/>
      <x:c r="P452" s="12"/>
      <x:c r="Q452" s="12"/>
      <x:c r="R452" s="12"/>
      <x:c r="S452" s="12"/>
      <x:c r="T452" s="12"/>
      <x:c r="U452" s="12"/>
      <x:c r="V452" s="12"/>
      <x:c r="W452" s="12"/>
      <x:c r="X452" s="12"/>
      <x:c r="Y452" s="12"/>
      <x:c r="Z452" s="12"/>
      <x:c r="AA452" s="12"/>
    </x:row>
    <x:row r="453">
      <x:c r="A453" s="12"/>
      <x:c r="B453" s="12"/>
      <x:c r="C453" s="12"/>
      <x:c r="D453" s="12"/>
      <x:c r="E453" s="12"/>
      <x:c r="F453" s="12"/>
      <x:c r="G453" s="17"/>
      <x:c r="H453" s="12"/>
      <x:c r="I453" s="12"/>
      <x:c r="J453" s="18"/>
      <x:c r="K453" s="12"/>
      <x:c r="L453" s="12"/>
      <x:c r="M453" s="12"/>
      <x:c r="N453" s="12"/>
      <x:c r="O453" s="12"/>
      <x:c r="P453" s="12"/>
      <x:c r="Q453" s="12"/>
      <x:c r="R453" s="12"/>
      <x:c r="S453" s="12"/>
      <x:c r="T453" s="12"/>
      <x:c r="U453" s="12"/>
      <x:c r="V453" s="12"/>
      <x:c r="W453" s="12"/>
      <x:c r="X453" s="12"/>
      <x:c r="Y453" s="12"/>
      <x:c r="Z453" s="12"/>
      <x:c r="AA453" s="12"/>
    </x:row>
    <x:row r="454">
      <x:c r="A454" s="12"/>
      <x:c r="B454" s="12"/>
      <x:c r="C454" s="12"/>
      <x:c r="D454" s="12"/>
      <x:c r="E454" s="12"/>
      <x:c r="F454" s="12"/>
      <x:c r="G454" s="17"/>
      <x:c r="H454" s="12"/>
      <x:c r="I454" s="12"/>
      <x:c r="J454" s="18"/>
      <x:c r="K454" s="12"/>
      <x:c r="L454" s="12"/>
      <x:c r="M454" s="12"/>
      <x:c r="N454" s="12"/>
      <x:c r="O454" s="12"/>
      <x:c r="P454" s="12"/>
      <x:c r="Q454" s="12"/>
      <x:c r="R454" s="12"/>
      <x:c r="S454" s="12"/>
      <x:c r="T454" s="12"/>
      <x:c r="U454" s="12"/>
      <x:c r="V454" s="12"/>
      <x:c r="W454" s="12"/>
      <x:c r="X454" s="12"/>
      <x:c r="Y454" s="12"/>
      <x:c r="Z454" s="12"/>
      <x:c r="AA454" s="12"/>
    </x:row>
    <x:row r="455">
      <x:c r="A455" s="12"/>
      <x:c r="B455" s="12"/>
      <x:c r="C455" s="12"/>
      <x:c r="D455" s="12"/>
      <x:c r="E455" s="12"/>
      <x:c r="F455" s="12"/>
      <x:c r="G455" s="17"/>
      <x:c r="H455" s="12"/>
      <x:c r="I455" s="12"/>
      <x:c r="J455" s="18"/>
      <x:c r="K455" s="12"/>
      <x:c r="L455" s="12"/>
      <x:c r="M455" s="12"/>
      <x:c r="N455" s="12"/>
      <x:c r="O455" s="12"/>
      <x:c r="P455" s="12"/>
      <x:c r="Q455" s="12"/>
      <x:c r="R455" s="12"/>
      <x:c r="S455" s="12"/>
      <x:c r="T455" s="12"/>
      <x:c r="U455" s="12"/>
      <x:c r="V455" s="12"/>
      <x:c r="W455" s="12"/>
      <x:c r="X455" s="12"/>
      <x:c r="Y455" s="12"/>
      <x:c r="Z455" s="12"/>
      <x:c r="AA455" s="12"/>
    </x:row>
    <x:row r="456">
      <x:c r="A456" s="12"/>
      <x:c r="B456" s="12"/>
      <x:c r="C456" s="12"/>
      <x:c r="D456" s="12"/>
      <x:c r="E456" s="12"/>
      <x:c r="F456" s="12"/>
      <x:c r="G456" s="17"/>
      <x:c r="H456" s="12"/>
      <x:c r="I456" s="12"/>
      <x:c r="J456" s="18"/>
      <x:c r="K456" s="12"/>
      <x:c r="L456" s="12"/>
      <x:c r="M456" s="12"/>
      <x:c r="N456" s="12"/>
      <x:c r="O456" s="12"/>
      <x:c r="P456" s="12"/>
      <x:c r="Q456" s="12"/>
      <x:c r="R456" s="12"/>
      <x:c r="S456" s="12"/>
      <x:c r="T456" s="12"/>
      <x:c r="U456" s="12"/>
      <x:c r="V456" s="12"/>
      <x:c r="W456" s="12"/>
      <x:c r="X456" s="12"/>
      <x:c r="Y456" s="12"/>
      <x:c r="Z456" s="12"/>
      <x:c r="AA456" s="12"/>
    </x:row>
    <x:row r="457">
      <x:c r="A457" s="12"/>
      <x:c r="B457" s="12"/>
      <x:c r="C457" s="12"/>
      <x:c r="D457" s="12"/>
      <x:c r="E457" s="12"/>
      <x:c r="F457" s="12"/>
      <x:c r="G457" s="17"/>
      <x:c r="H457" s="12"/>
      <x:c r="I457" s="12"/>
      <x:c r="J457" s="18"/>
      <x:c r="K457" s="12"/>
      <x:c r="L457" s="12"/>
      <x:c r="M457" s="12"/>
      <x:c r="N457" s="12"/>
      <x:c r="O457" s="12"/>
      <x:c r="P457" s="12"/>
      <x:c r="Q457" s="12"/>
      <x:c r="R457" s="12"/>
      <x:c r="S457" s="12"/>
      <x:c r="T457" s="12"/>
      <x:c r="U457" s="12"/>
      <x:c r="V457" s="12"/>
      <x:c r="W457" s="12"/>
      <x:c r="X457" s="12"/>
      <x:c r="Y457" s="12"/>
      <x:c r="Z457" s="12"/>
      <x:c r="AA457" s="12"/>
    </x:row>
    <x:row r="458">
      <x:c r="A458" s="12"/>
      <x:c r="B458" s="12"/>
      <x:c r="C458" s="12"/>
      <x:c r="D458" s="12"/>
      <x:c r="E458" s="12"/>
      <x:c r="F458" s="12"/>
      <x:c r="G458" s="17"/>
      <x:c r="H458" s="12"/>
      <x:c r="I458" s="12"/>
      <x:c r="J458" s="18"/>
      <x:c r="K458" s="12"/>
      <x:c r="L458" s="12"/>
      <x:c r="M458" s="12"/>
      <x:c r="N458" s="12"/>
      <x:c r="O458" s="12"/>
      <x:c r="P458" s="12"/>
      <x:c r="Q458" s="12"/>
      <x:c r="R458" s="12"/>
      <x:c r="S458" s="12"/>
      <x:c r="T458" s="12"/>
      <x:c r="U458" s="12"/>
      <x:c r="V458" s="12"/>
      <x:c r="W458" s="12"/>
      <x:c r="X458" s="12"/>
      <x:c r="Y458" s="12"/>
      <x:c r="Z458" s="12"/>
      <x:c r="AA458" s="12"/>
    </x:row>
    <x:row r="459">
      <x:c r="A459" s="12"/>
      <x:c r="B459" s="12"/>
      <x:c r="C459" s="12"/>
      <x:c r="D459" s="12"/>
      <x:c r="E459" s="12"/>
      <x:c r="F459" s="12"/>
      <x:c r="G459" s="17"/>
      <x:c r="H459" s="12"/>
      <x:c r="I459" s="12"/>
      <x:c r="J459" s="18"/>
      <x:c r="K459" s="12"/>
      <x:c r="L459" s="12"/>
      <x:c r="M459" s="12"/>
      <x:c r="N459" s="12"/>
      <x:c r="O459" s="12"/>
      <x:c r="P459" s="12"/>
      <x:c r="Q459" s="12"/>
      <x:c r="R459" s="12"/>
      <x:c r="S459" s="12"/>
      <x:c r="T459" s="12"/>
      <x:c r="U459" s="12"/>
      <x:c r="V459" s="12"/>
      <x:c r="W459" s="12"/>
      <x:c r="X459" s="12"/>
      <x:c r="Y459" s="12"/>
      <x:c r="Z459" s="12"/>
      <x:c r="AA459" s="12"/>
    </x:row>
    <x:row r="460">
      <x:c r="A460" s="12"/>
      <x:c r="B460" s="12"/>
      <x:c r="C460" s="12"/>
      <x:c r="D460" s="12"/>
      <x:c r="E460" s="12"/>
      <x:c r="F460" s="12"/>
      <x:c r="G460" s="17"/>
      <x:c r="H460" s="12"/>
      <x:c r="I460" s="12"/>
      <x:c r="J460" s="18"/>
      <x:c r="K460" s="12"/>
      <x:c r="L460" s="12"/>
      <x:c r="M460" s="12"/>
      <x:c r="N460" s="12"/>
      <x:c r="O460" s="12"/>
      <x:c r="P460" s="12"/>
      <x:c r="Q460" s="12"/>
      <x:c r="R460" s="12"/>
      <x:c r="S460" s="12"/>
      <x:c r="T460" s="12"/>
      <x:c r="U460" s="12"/>
      <x:c r="V460" s="12"/>
      <x:c r="W460" s="12"/>
      <x:c r="X460" s="12"/>
      <x:c r="Y460" s="12"/>
      <x:c r="Z460" s="12"/>
      <x:c r="AA460" s="12"/>
    </x:row>
    <x:row r="461">
      <x:c r="A461" s="12"/>
      <x:c r="B461" s="12"/>
      <x:c r="C461" s="12"/>
      <x:c r="D461" s="12"/>
      <x:c r="E461" s="12"/>
      <x:c r="F461" s="12"/>
      <x:c r="G461" s="17"/>
      <x:c r="H461" s="12"/>
      <x:c r="I461" s="12"/>
      <x:c r="J461" s="18"/>
      <x:c r="K461" s="12"/>
      <x:c r="L461" s="12"/>
      <x:c r="M461" s="12"/>
      <x:c r="N461" s="12"/>
      <x:c r="O461" s="12"/>
      <x:c r="P461" s="12"/>
      <x:c r="Q461" s="12"/>
      <x:c r="R461" s="12"/>
      <x:c r="S461" s="12"/>
      <x:c r="T461" s="12"/>
      <x:c r="U461" s="12"/>
      <x:c r="V461" s="12"/>
      <x:c r="W461" s="12"/>
      <x:c r="X461" s="12"/>
      <x:c r="Y461" s="12"/>
      <x:c r="Z461" s="12"/>
      <x:c r="AA461" s="12"/>
    </x:row>
    <x:row r="462">
      <x:c r="A462" s="12"/>
      <x:c r="B462" s="12"/>
      <x:c r="C462" s="12"/>
      <x:c r="D462" s="12"/>
      <x:c r="E462" s="12"/>
      <x:c r="F462" s="12"/>
      <x:c r="G462" s="17"/>
      <x:c r="H462" s="12"/>
      <x:c r="I462" s="12"/>
      <x:c r="J462" s="18"/>
      <x:c r="K462" s="12"/>
      <x:c r="L462" s="12"/>
      <x:c r="M462" s="12"/>
      <x:c r="N462" s="12"/>
      <x:c r="O462" s="12"/>
      <x:c r="P462" s="12"/>
      <x:c r="Q462" s="12"/>
      <x:c r="R462" s="12"/>
      <x:c r="S462" s="12"/>
      <x:c r="T462" s="12"/>
      <x:c r="U462" s="12"/>
      <x:c r="V462" s="12"/>
      <x:c r="W462" s="12"/>
      <x:c r="X462" s="12"/>
      <x:c r="Y462" s="12"/>
      <x:c r="Z462" s="12"/>
      <x:c r="AA462" s="12"/>
    </x:row>
    <x:row r="463">
      <x:c r="A463" s="12"/>
      <x:c r="B463" s="12"/>
      <x:c r="C463" s="12"/>
      <x:c r="D463" s="12"/>
      <x:c r="E463" s="12"/>
      <x:c r="F463" s="12"/>
      <x:c r="G463" s="17"/>
      <x:c r="H463" s="12"/>
      <x:c r="I463" s="12"/>
      <x:c r="J463" s="18"/>
      <x:c r="K463" s="12"/>
      <x:c r="L463" s="12"/>
      <x:c r="M463" s="12"/>
      <x:c r="N463" s="12"/>
      <x:c r="O463" s="12"/>
      <x:c r="P463" s="12"/>
      <x:c r="Q463" s="12"/>
      <x:c r="R463" s="12"/>
      <x:c r="S463" s="12"/>
      <x:c r="T463" s="12"/>
      <x:c r="U463" s="12"/>
      <x:c r="V463" s="12"/>
      <x:c r="W463" s="12"/>
      <x:c r="X463" s="12"/>
      <x:c r="Y463" s="12"/>
      <x:c r="Z463" s="12"/>
      <x:c r="AA463" s="12"/>
    </x:row>
    <x:row r="464">
      <x:c r="A464" s="12"/>
      <x:c r="B464" s="12"/>
      <x:c r="C464" s="12"/>
      <x:c r="D464" s="12"/>
      <x:c r="E464" s="12"/>
      <x:c r="F464" s="12"/>
      <x:c r="G464" s="17"/>
      <x:c r="H464" s="12"/>
      <x:c r="I464" s="12"/>
      <x:c r="J464" s="18"/>
      <x:c r="K464" s="12"/>
      <x:c r="L464" s="12"/>
      <x:c r="M464" s="12"/>
      <x:c r="N464" s="12"/>
      <x:c r="O464" s="12"/>
      <x:c r="P464" s="12"/>
      <x:c r="Q464" s="12"/>
      <x:c r="R464" s="12"/>
      <x:c r="S464" s="12"/>
      <x:c r="T464" s="12"/>
      <x:c r="U464" s="12"/>
      <x:c r="V464" s="12"/>
      <x:c r="W464" s="12"/>
      <x:c r="X464" s="12"/>
      <x:c r="Y464" s="12"/>
      <x:c r="Z464" s="12"/>
      <x:c r="AA464" s="12"/>
    </x:row>
    <x:row r="465">
      <x:c r="A465" s="12"/>
      <x:c r="B465" s="12"/>
      <x:c r="C465" s="12"/>
      <x:c r="D465" s="12"/>
      <x:c r="E465" s="12"/>
      <x:c r="F465" s="12"/>
      <x:c r="G465" s="17"/>
      <x:c r="H465" s="12"/>
      <x:c r="I465" s="12"/>
      <x:c r="J465" s="18"/>
      <x:c r="K465" s="12"/>
      <x:c r="L465" s="12"/>
      <x:c r="M465" s="12"/>
      <x:c r="N465" s="12"/>
      <x:c r="O465" s="12"/>
      <x:c r="P465" s="12"/>
      <x:c r="Q465" s="12"/>
      <x:c r="R465" s="12"/>
      <x:c r="S465" s="12"/>
      <x:c r="T465" s="12"/>
      <x:c r="U465" s="12"/>
      <x:c r="V465" s="12"/>
      <x:c r="W465" s="12"/>
      <x:c r="X465" s="12"/>
      <x:c r="Y465" s="12"/>
      <x:c r="Z465" s="12"/>
      <x:c r="AA465" s="12"/>
    </x:row>
    <x:row r="466">
      <x:c r="A466" s="12"/>
      <x:c r="B466" s="12"/>
      <x:c r="C466" s="12"/>
      <x:c r="D466" s="12"/>
      <x:c r="E466" s="12"/>
      <x:c r="F466" s="12"/>
      <x:c r="G466" s="17"/>
      <x:c r="H466" s="12"/>
      <x:c r="I466" s="12"/>
      <x:c r="J466" s="18"/>
      <x:c r="K466" s="12"/>
      <x:c r="L466" s="12"/>
      <x:c r="M466" s="12"/>
      <x:c r="N466" s="12"/>
      <x:c r="O466" s="12"/>
      <x:c r="P466" s="12"/>
      <x:c r="Q466" s="12"/>
      <x:c r="R466" s="12"/>
      <x:c r="S466" s="12"/>
      <x:c r="T466" s="12"/>
      <x:c r="U466" s="12"/>
      <x:c r="V466" s="12"/>
      <x:c r="W466" s="12"/>
      <x:c r="X466" s="12"/>
      <x:c r="Y466" s="12"/>
      <x:c r="Z466" s="12"/>
      <x:c r="AA466" s="12"/>
    </x:row>
    <x:row r="467">
      <x:c r="A467" s="12"/>
      <x:c r="B467" s="12"/>
      <x:c r="C467" s="12"/>
      <x:c r="D467" s="12"/>
      <x:c r="E467" s="12"/>
      <x:c r="F467" s="12"/>
      <x:c r="G467" s="17"/>
      <x:c r="H467" s="12"/>
      <x:c r="I467" s="12"/>
      <x:c r="J467" s="18"/>
      <x:c r="K467" s="12"/>
      <x:c r="L467" s="12"/>
      <x:c r="M467" s="12"/>
      <x:c r="N467" s="12"/>
      <x:c r="O467" s="12"/>
      <x:c r="P467" s="12"/>
      <x:c r="Q467" s="12"/>
      <x:c r="R467" s="12"/>
      <x:c r="S467" s="12"/>
      <x:c r="T467" s="12"/>
      <x:c r="U467" s="12"/>
      <x:c r="V467" s="12"/>
      <x:c r="W467" s="12"/>
      <x:c r="X467" s="12"/>
      <x:c r="Y467" s="12"/>
      <x:c r="Z467" s="12"/>
      <x:c r="AA467" s="12"/>
    </x:row>
    <x:row r="468">
      <x:c r="A468" s="12"/>
      <x:c r="B468" s="12"/>
      <x:c r="C468" s="12"/>
      <x:c r="D468" s="12"/>
      <x:c r="E468" s="12"/>
      <x:c r="F468" s="12"/>
      <x:c r="G468" s="17"/>
      <x:c r="H468" s="12"/>
      <x:c r="I468" s="12"/>
      <x:c r="J468" s="18"/>
      <x:c r="K468" s="12"/>
      <x:c r="L468" s="12"/>
      <x:c r="M468" s="12"/>
      <x:c r="N468" s="12"/>
      <x:c r="O468" s="12"/>
      <x:c r="P468" s="12"/>
      <x:c r="Q468" s="12"/>
      <x:c r="R468" s="12"/>
      <x:c r="S468" s="12"/>
      <x:c r="T468" s="12"/>
      <x:c r="U468" s="12"/>
      <x:c r="V468" s="12"/>
      <x:c r="W468" s="12"/>
      <x:c r="X468" s="12"/>
      <x:c r="Y468" s="12"/>
      <x:c r="Z468" s="12"/>
      <x:c r="AA468" s="12"/>
    </x:row>
    <x:row r="469">
      <x:c r="A469" s="12"/>
      <x:c r="B469" s="12"/>
      <x:c r="C469" s="12"/>
      <x:c r="D469" s="12"/>
      <x:c r="E469" s="12"/>
      <x:c r="F469" s="12"/>
      <x:c r="G469" s="17"/>
      <x:c r="H469" s="12"/>
      <x:c r="I469" s="12"/>
      <x:c r="J469" s="18"/>
      <x:c r="K469" s="12"/>
      <x:c r="L469" s="12"/>
      <x:c r="M469" s="12"/>
      <x:c r="N469" s="12"/>
      <x:c r="O469" s="12"/>
      <x:c r="P469" s="12"/>
      <x:c r="Q469" s="12"/>
      <x:c r="R469" s="12"/>
      <x:c r="S469" s="12"/>
      <x:c r="T469" s="12"/>
      <x:c r="U469" s="12"/>
      <x:c r="V469" s="12"/>
      <x:c r="W469" s="12"/>
      <x:c r="X469" s="12"/>
      <x:c r="Y469" s="12"/>
      <x:c r="Z469" s="12"/>
      <x:c r="AA469" s="12"/>
    </x:row>
    <x:row r="470">
      <x:c r="A470" s="12"/>
      <x:c r="B470" s="12"/>
      <x:c r="C470" s="12"/>
      <x:c r="D470" s="12"/>
      <x:c r="E470" s="12"/>
      <x:c r="F470" s="12"/>
      <x:c r="G470" s="17"/>
      <x:c r="H470" s="12"/>
      <x:c r="I470" s="12"/>
      <x:c r="J470" s="18"/>
      <x:c r="K470" s="12"/>
      <x:c r="L470" s="12"/>
      <x:c r="M470" s="12"/>
      <x:c r="N470" s="12"/>
      <x:c r="O470" s="12"/>
      <x:c r="P470" s="12"/>
      <x:c r="Q470" s="12"/>
      <x:c r="R470" s="12"/>
      <x:c r="S470" s="12"/>
      <x:c r="T470" s="12"/>
      <x:c r="U470" s="12"/>
      <x:c r="V470" s="12"/>
      <x:c r="W470" s="12"/>
      <x:c r="X470" s="12"/>
      <x:c r="Y470" s="12"/>
      <x:c r="Z470" s="12"/>
      <x:c r="AA470" s="12"/>
    </x:row>
    <x:row r="471">
      <x:c r="A471" s="12"/>
      <x:c r="B471" s="12"/>
      <x:c r="C471" s="12"/>
      <x:c r="D471" s="12"/>
      <x:c r="E471" s="12"/>
      <x:c r="F471" s="12"/>
      <x:c r="G471" s="17"/>
      <x:c r="H471" s="12"/>
      <x:c r="I471" s="12"/>
      <x:c r="J471" s="18"/>
      <x:c r="K471" s="12"/>
      <x:c r="L471" s="12"/>
      <x:c r="M471" s="12"/>
      <x:c r="N471" s="12"/>
      <x:c r="O471" s="12"/>
      <x:c r="P471" s="12"/>
      <x:c r="Q471" s="12"/>
      <x:c r="R471" s="12"/>
      <x:c r="S471" s="12"/>
      <x:c r="T471" s="12"/>
      <x:c r="U471" s="12"/>
      <x:c r="V471" s="12"/>
      <x:c r="W471" s="12"/>
      <x:c r="X471" s="12"/>
      <x:c r="Y471" s="12"/>
      <x:c r="Z471" s="12"/>
      <x:c r="AA471" s="12"/>
    </x:row>
    <x:row r="472">
      <x:c r="A472" s="12"/>
      <x:c r="B472" s="12"/>
      <x:c r="C472" s="12"/>
      <x:c r="D472" s="12"/>
      <x:c r="E472" s="12"/>
      <x:c r="F472" s="12"/>
      <x:c r="G472" s="17"/>
      <x:c r="H472" s="12"/>
      <x:c r="I472" s="12"/>
      <x:c r="J472" s="18"/>
      <x:c r="K472" s="12"/>
      <x:c r="L472" s="12"/>
      <x:c r="M472" s="12"/>
      <x:c r="N472" s="12"/>
      <x:c r="O472" s="12"/>
      <x:c r="P472" s="12"/>
      <x:c r="Q472" s="12"/>
      <x:c r="R472" s="12"/>
      <x:c r="S472" s="12"/>
      <x:c r="T472" s="12"/>
      <x:c r="U472" s="12"/>
      <x:c r="V472" s="12"/>
      <x:c r="W472" s="12"/>
      <x:c r="X472" s="12"/>
      <x:c r="Y472" s="12"/>
      <x:c r="Z472" s="12"/>
      <x:c r="AA472" s="12"/>
    </x:row>
    <x:row r="473">
      <x:c r="A473" s="12"/>
      <x:c r="B473" s="12"/>
      <x:c r="C473" s="12"/>
      <x:c r="D473" s="12"/>
      <x:c r="E473" s="12"/>
      <x:c r="F473" s="12"/>
      <x:c r="G473" s="17"/>
      <x:c r="H473" s="12"/>
      <x:c r="I473" s="12"/>
      <x:c r="J473" s="18"/>
      <x:c r="K473" s="12"/>
      <x:c r="L473" s="12"/>
      <x:c r="M473" s="12"/>
      <x:c r="N473" s="12"/>
      <x:c r="O473" s="12"/>
      <x:c r="P473" s="12"/>
      <x:c r="Q473" s="12"/>
      <x:c r="R473" s="12"/>
      <x:c r="S473" s="12"/>
      <x:c r="T473" s="12"/>
      <x:c r="U473" s="12"/>
      <x:c r="V473" s="12"/>
      <x:c r="W473" s="12"/>
      <x:c r="X473" s="12"/>
      <x:c r="Y473" s="12"/>
      <x:c r="Z473" s="12"/>
      <x:c r="AA473" s="12"/>
    </x:row>
    <x:row r="474">
      <x:c r="A474" s="12"/>
      <x:c r="B474" s="12"/>
      <x:c r="C474" s="12"/>
      <x:c r="D474" s="12"/>
      <x:c r="E474" s="12"/>
      <x:c r="F474" s="12"/>
      <x:c r="G474" s="17"/>
      <x:c r="H474" s="12"/>
      <x:c r="I474" s="12"/>
      <x:c r="J474" s="18"/>
      <x:c r="K474" s="12"/>
      <x:c r="L474" s="12"/>
      <x:c r="M474" s="12"/>
      <x:c r="N474" s="12"/>
      <x:c r="O474" s="12"/>
      <x:c r="P474" s="12"/>
      <x:c r="Q474" s="12"/>
      <x:c r="R474" s="12"/>
      <x:c r="S474" s="12"/>
      <x:c r="T474" s="12"/>
      <x:c r="U474" s="12"/>
      <x:c r="V474" s="12"/>
      <x:c r="W474" s="12"/>
      <x:c r="X474" s="12"/>
      <x:c r="Y474" s="12"/>
      <x:c r="Z474" s="12"/>
      <x:c r="AA474" s="12"/>
    </x:row>
    <x:row r="475">
      <x:c r="A475" s="12"/>
      <x:c r="B475" s="12"/>
      <x:c r="C475" s="12"/>
      <x:c r="D475" s="12"/>
      <x:c r="E475" s="12"/>
      <x:c r="F475" s="12"/>
      <x:c r="G475" s="17"/>
      <x:c r="H475" s="12"/>
      <x:c r="I475" s="12"/>
      <x:c r="J475" s="18"/>
      <x:c r="K475" s="12"/>
      <x:c r="L475" s="12"/>
      <x:c r="M475" s="12"/>
      <x:c r="N475" s="12"/>
      <x:c r="O475" s="12"/>
      <x:c r="P475" s="12"/>
      <x:c r="Q475" s="12"/>
      <x:c r="R475" s="12"/>
      <x:c r="S475" s="12"/>
      <x:c r="T475" s="12"/>
      <x:c r="U475" s="12"/>
      <x:c r="V475" s="12"/>
      <x:c r="W475" s="12"/>
      <x:c r="X475" s="12"/>
      <x:c r="Y475" s="12"/>
      <x:c r="Z475" s="12"/>
      <x:c r="AA475" s="12"/>
    </x:row>
    <x:row r="476">
      <x:c r="A476" s="12"/>
      <x:c r="B476" s="12"/>
      <x:c r="C476" s="12"/>
      <x:c r="D476" s="12"/>
      <x:c r="E476" s="12"/>
      <x:c r="F476" s="12"/>
      <x:c r="G476" s="17"/>
      <x:c r="H476" s="12"/>
      <x:c r="I476" s="12"/>
      <x:c r="J476" s="18"/>
      <x:c r="K476" s="12"/>
      <x:c r="L476" s="12"/>
      <x:c r="M476" s="12"/>
      <x:c r="N476" s="12"/>
      <x:c r="O476" s="12"/>
      <x:c r="P476" s="12"/>
      <x:c r="Q476" s="12"/>
      <x:c r="R476" s="12"/>
      <x:c r="S476" s="12"/>
      <x:c r="T476" s="12"/>
      <x:c r="U476" s="12"/>
      <x:c r="V476" s="12"/>
      <x:c r="W476" s="12"/>
      <x:c r="X476" s="12"/>
      <x:c r="Y476" s="12"/>
      <x:c r="Z476" s="12"/>
      <x:c r="AA476" s="12"/>
    </x:row>
    <x:row r="477">
      <x:c r="A477" s="12"/>
      <x:c r="B477" s="12"/>
      <x:c r="C477" s="12"/>
      <x:c r="D477" s="12"/>
      <x:c r="E477" s="12"/>
      <x:c r="F477" s="12"/>
      <x:c r="G477" s="17"/>
      <x:c r="H477" s="12"/>
      <x:c r="I477" s="12"/>
      <x:c r="J477" s="18"/>
      <x:c r="K477" s="12"/>
      <x:c r="L477" s="12"/>
      <x:c r="M477" s="12"/>
      <x:c r="N477" s="12"/>
      <x:c r="O477" s="12"/>
      <x:c r="P477" s="12"/>
      <x:c r="Q477" s="12"/>
      <x:c r="R477" s="12"/>
      <x:c r="S477" s="12"/>
      <x:c r="T477" s="12"/>
      <x:c r="U477" s="12"/>
      <x:c r="V477" s="12"/>
      <x:c r="W477" s="12"/>
      <x:c r="X477" s="12"/>
      <x:c r="Y477" s="12"/>
      <x:c r="Z477" s="12"/>
      <x:c r="AA477" s="12"/>
    </x:row>
    <x:row r="478">
      <x:c r="A478" s="12"/>
      <x:c r="B478" s="12"/>
      <x:c r="C478" s="12"/>
      <x:c r="D478" s="12"/>
      <x:c r="E478" s="12"/>
      <x:c r="F478" s="12"/>
      <x:c r="G478" s="17"/>
      <x:c r="H478" s="12"/>
      <x:c r="I478" s="12"/>
      <x:c r="J478" s="18"/>
      <x:c r="K478" s="12"/>
      <x:c r="L478" s="12"/>
      <x:c r="M478" s="12"/>
      <x:c r="N478" s="12"/>
      <x:c r="O478" s="12"/>
      <x:c r="P478" s="12"/>
      <x:c r="Q478" s="12"/>
      <x:c r="R478" s="12"/>
      <x:c r="S478" s="12"/>
      <x:c r="T478" s="12"/>
      <x:c r="U478" s="12"/>
      <x:c r="V478" s="12"/>
      <x:c r="W478" s="12"/>
      <x:c r="X478" s="12"/>
      <x:c r="Y478" s="12"/>
      <x:c r="Z478" s="12"/>
      <x:c r="AA478" s="12"/>
    </x:row>
    <x:row r="479">
      <x:c r="A479" s="12"/>
      <x:c r="B479" s="12"/>
      <x:c r="C479" s="12"/>
      <x:c r="D479" s="12"/>
      <x:c r="E479" s="12"/>
      <x:c r="F479" s="12"/>
      <x:c r="G479" s="17"/>
      <x:c r="H479" s="12"/>
      <x:c r="I479" s="12"/>
      <x:c r="J479" s="18"/>
      <x:c r="K479" s="12"/>
      <x:c r="L479" s="12"/>
      <x:c r="M479" s="12"/>
      <x:c r="N479" s="12"/>
      <x:c r="O479" s="12"/>
      <x:c r="P479" s="12"/>
      <x:c r="Q479" s="12"/>
      <x:c r="R479" s="12"/>
      <x:c r="S479" s="12"/>
      <x:c r="T479" s="12"/>
      <x:c r="U479" s="12"/>
      <x:c r="V479" s="12"/>
      <x:c r="W479" s="12"/>
      <x:c r="X479" s="12"/>
      <x:c r="Y479" s="12"/>
      <x:c r="Z479" s="12"/>
      <x:c r="AA479" s="12"/>
    </x:row>
    <x:row r="480">
      <x:c r="A480" s="12"/>
      <x:c r="B480" s="12"/>
      <x:c r="C480" s="12"/>
      <x:c r="D480" s="12"/>
      <x:c r="E480" s="12"/>
      <x:c r="F480" s="12"/>
      <x:c r="G480" s="17"/>
      <x:c r="H480" s="12"/>
      <x:c r="I480" s="12"/>
      <x:c r="J480" s="18"/>
      <x:c r="K480" s="12"/>
      <x:c r="L480" s="12"/>
      <x:c r="M480" s="12"/>
      <x:c r="N480" s="12"/>
      <x:c r="O480" s="12"/>
      <x:c r="P480" s="12"/>
      <x:c r="Q480" s="12"/>
      <x:c r="R480" s="12"/>
      <x:c r="S480" s="12"/>
      <x:c r="T480" s="12"/>
      <x:c r="U480" s="12"/>
      <x:c r="V480" s="12"/>
      <x:c r="W480" s="12"/>
      <x:c r="X480" s="12"/>
      <x:c r="Y480" s="12"/>
      <x:c r="Z480" s="12"/>
      <x:c r="AA480" s="12"/>
    </x:row>
    <x:row r="481">
      <x:c r="A481" s="12"/>
      <x:c r="B481" s="12"/>
      <x:c r="C481" s="12"/>
      <x:c r="D481" s="12"/>
      <x:c r="E481" s="12"/>
      <x:c r="F481" s="12"/>
      <x:c r="G481" s="17"/>
      <x:c r="H481" s="12"/>
      <x:c r="I481" s="12"/>
      <x:c r="J481" s="18"/>
      <x:c r="K481" s="12"/>
      <x:c r="L481" s="12"/>
      <x:c r="M481" s="12"/>
      <x:c r="N481" s="12"/>
      <x:c r="O481" s="12"/>
      <x:c r="P481" s="12"/>
      <x:c r="Q481" s="12"/>
      <x:c r="R481" s="12"/>
      <x:c r="S481" s="12"/>
      <x:c r="T481" s="12"/>
      <x:c r="U481" s="12"/>
      <x:c r="V481" s="12"/>
      <x:c r="W481" s="12"/>
      <x:c r="X481" s="12"/>
      <x:c r="Y481" s="12"/>
      <x:c r="Z481" s="12"/>
      <x:c r="AA481" s="12"/>
    </x:row>
    <x:row r="482">
      <x:c r="A482" s="12"/>
      <x:c r="B482" s="12"/>
      <x:c r="C482" s="12"/>
      <x:c r="D482" s="12"/>
      <x:c r="E482" s="12"/>
      <x:c r="F482" s="12"/>
      <x:c r="G482" s="17"/>
      <x:c r="H482" s="12"/>
      <x:c r="I482" s="12"/>
      <x:c r="J482" s="18"/>
      <x:c r="K482" s="12"/>
      <x:c r="L482" s="12"/>
      <x:c r="M482" s="12"/>
      <x:c r="N482" s="12"/>
      <x:c r="O482" s="12"/>
      <x:c r="P482" s="12"/>
      <x:c r="Q482" s="12"/>
      <x:c r="R482" s="12"/>
      <x:c r="S482" s="12"/>
      <x:c r="T482" s="12"/>
      <x:c r="U482" s="12"/>
      <x:c r="V482" s="12"/>
      <x:c r="W482" s="12"/>
      <x:c r="X482" s="12"/>
      <x:c r="Y482" s="12"/>
      <x:c r="Z482" s="12"/>
      <x:c r="AA482" s="12"/>
    </x:row>
    <x:row r="483">
      <x:c r="A483" s="12"/>
      <x:c r="B483" s="12"/>
      <x:c r="C483" s="12"/>
      <x:c r="D483" s="12"/>
      <x:c r="E483" s="12"/>
      <x:c r="F483" s="12"/>
      <x:c r="G483" s="17"/>
      <x:c r="H483" s="12"/>
      <x:c r="I483" s="12"/>
      <x:c r="J483" s="18"/>
      <x:c r="K483" s="12"/>
      <x:c r="L483" s="12"/>
      <x:c r="M483" s="12"/>
      <x:c r="N483" s="12"/>
      <x:c r="O483" s="12"/>
      <x:c r="P483" s="12"/>
      <x:c r="Q483" s="12"/>
      <x:c r="R483" s="12"/>
      <x:c r="S483" s="12"/>
      <x:c r="T483" s="12"/>
      <x:c r="U483" s="12"/>
      <x:c r="V483" s="12"/>
      <x:c r="W483" s="12"/>
      <x:c r="X483" s="12"/>
      <x:c r="Y483" s="12"/>
      <x:c r="Z483" s="12"/>
      <x:c r="AA483" s="12"/>
    </x:row>
    <x:row r="484">
      <x:c r="A484" s="12"/>
      <x:c r="B484" s="12"/>
      <x:c r="C484" s="12"/>
      <x:c r="D484" s="12"/>
      <x:c r="E484" s="12"/>
      <x:c r="F484" s="12"/>
      <x:c r="G484" s="17"/>
      <x:c r="H484" s="12"/>
      <x:c r="I484" s="12"/>
      <x:c r="J484" s="18"/>
      <x:c r="K484" s="12"/>
      <x:c r="L484" s="12"/>
      <x:c r="M484" s="12"/>
      <x:c r="N484" s="12"/>
      <x:c r="O484" s="12"/>
      <x:c r="P484" s="12"/>
      <x:c r="Q484" s="12"/>
      <x:c r="R484" s="12"/>
      <x:c r="S484" s="12"/>
      <x:c r="T484" s="12"/>
      <x:c r="U484" s="12"/>
      <x:c r="V484" s="12"/>
      <x:c r="W484" s="12"/>
      <x:c r="X484" s="12"/>
      <x:c r="Y484" s="12"/>
      <x:c r="Z484" s="12"/>
      <x:c r="AA484" s="12"/>
    </x:row>
    <x:row r="485">
      <x:c r="A485" s="12"/>
      <x:c r="B485" s="12"/>
      <x:c r="C485" s="12"/>
      <x:c r="D485" s="12"/>
      <x:c r="E485" s="12"/>
      <x:c r="F485" s="12"/>
      <x:c r="G485" s="17"/>
      <x:c r="H485" s="12"/>
      <x:c r="I485" s="12"/>
      <x:c r="J485" s="18"/>
      <x:c r="K485" s="12"/>
      <x:c r="L485" s="12"/>
      <x:c r="M485" s="12"/>
      <x:c r="N485" s="12"/>
      <x:c r="O485" s="12"/>
      <x:c r="P485" s="12"/>
      <x:c r="Q485" s="12"/>
      <x:c r="R485" s="12"/>
      <x:c r="S485" s="12"/>
      <x:c r="T485" s="12"/>
      <x:c r="U485" s="12"/>
      <x:c r="V485" s="12"/>
      <x:c r="W485" s="12"/>
      <x:c r="X485" s="12"/>
      <x:c r="Y485" s="12"/>
      <x:c r="Z485" s="12"/>
      <x:c r="AA485" s="12"/>
    </x:row>
    <x:row r="486">
      <x:c r="A486" s="12"/>
      <x:c r="B486" s="12"/>
      <x:c r="C486" s="12"/>
      <x:c r="D486" s="12"/>
      <x:c r="E486" s="12"/>
      <x:c r="F486" s="12"/>
      <x:c r="G486" s="17"/>
      <x:c r="H486" s="12"/>
      <x:c r="I486" s="12"/>
      <x:c r="J486" s="18"/>
      <x:c r="K486" s="12"/>
      <x:c r="L486" s="12"/>
      <x:c r="M486" s="12"/>
      <x:c r="N486" s="12"/>
      <x:c r="O486" s="12"/>
      <x:c r="P486" s="12"/>
      <x:c r="Q486" s="12"/>
      <x:c r="R486" s="12"/>
      <x:c r="S486" s="12"/>
      <x:c r="T486" s="12"/>
      <x:c r="U486" s="12"/>
      <x:c r="V486" s="12"/>
      <x:c r="W486" s="12"/>
      <x:c r="X486" s="12"/>
      <x:c r="Y486" s="12"/>
      <x:c r="Z486" s="12"/>
      <x:c r="AA486" s="12"/>
    </x:row>
    <x:row r="487">
      <x:c r="A487" s="12"/>
      <x:c r="B487" s="12"/>
      <x:c r="C487" s="12"/>
      <x:c r="D487" s="12"/>
      <x:c r="E487" s="12"/>
      <x:c r="F487" s="12"/>
      <x:c r="G487" s="17"/>
      <x:c r="H487" s="12"/>
      <x:c r="I487" s="12"/>
      <x:c r="J487" s="18"/>
      <x:c r="K487" s="12"/>
      <x:c r="L487" s="12"/>
      <x:c r="M487" s="12"/>
      <x:c r="N487" s="12"/>
      <x:c r="O487" s="12"/>
      <x:c r="P487" s="12"/>
      <x:c r="Q487" s="12"/>
      <x:c r="R487" s="12"/>
      <x:c r="S487" s="12"/>
      <x:c r="T487" s="12"/>
      <x:c r="U487" s="12"/>
      <x:c r="V487" s="12"/>
      <x:c r="W487" s="12"/>
      <x:c r="X487" s="12"/>
      <x:c r="Y487" s="12"/>
      <x:c r="Z487" s="12"/>
      <x:c r="AA487" s="12"/>
    </x:row>
    <x:row r="488">
      <x:c r="A488" s="12"/>
      <x:c r="B488" s="12"/>
      <x:c r="C488" s="12"/>
      <x:c r="D488" s="12"/>
      <x:c r="E488" s="12"/>
      <x:c r="F488" s="12"/>
      <x:c r="G488" s="17"/>
      <x:c r="H488" s="12"/>
      <x:c r="I488" s="12"/>
      <x:c r="J488" s="18"/>
      <x:c r="K488" s="12"/>
      <x:c r="L488" s="12"/>
      <x:c r="M488" s="12"/>
      <x:c r="N488" s="12"/>
      <x:c r="O488" s="12"/>
      <x:c r="P488" s="12"/>
      <x:c r="Q488" s="12"/>
      <x:c r="R488" s="12"/>
      <x:c r="S488" s="12"/>
      <x:c r="T488" s="12"/>
      <x:c r="U488" s="12"/>
      <x:c r="V488" s="12"/>
      <x:c r="W488" s="12"/>
      <x:c r="X488" s="12"/>
      <x:c r="Y488" s="12"/>
      <x:c r="Z488" s="12"/>
      <x:c r="AA488" s="12"/>
    </x:row>
    <x:row r="489">
      <x:c r="A489" s="12"/>
      <x:c r="B489" s="12"/>
      <x:c r="C489" s="12"/>
      <x:c r="D489" s="12"/>
      <x:c r="E489" s="12"/>
      <x:c r="F489" s="12"/>
      <x:c r="G489" s="17"/>
      <x:c r="H489" s="12"/>
      <x:c r="I489" s="12"/>
      <x:c r="J489" s="18"/>
      <x:c r="K489" s="12"/>
      <x:c r="L489" s="12"/>
      <x:c r="M489" s="12"/>
      <x:c r="N489" s="12"/>
      <x:c r="O489" s="12"/>
      <x:c r="P489" s="12"/>
      <x:c r="Q489" s="12"/>
      <x:c r="R489" s="12"/>
      <x:c r="S489" s="12"/>
      <x:c r="T489" s="12"/>
      <x:c r="U489" s="12"/>
      <x:c r="V489" s="12"/>
      <x:c r="W489" s="12"/>
      <x:c r="X489" s="12"/>
      <x:c r="Y489" s="12"/>
      <x:c r="Z489" s="12"/>
      <x:c r="AA489" s="12"/>
    </x:row>
    <x:row r="490">
      <x:c r="A490" s="12"/>
      <x:c r="B490" s="12"/>
      <x:c r="C490" s="12"/>
      <x:c r="D490" s="12"/>
      <x:c r="E490" s="12"/>
      <x:c r="F490" s="12"/>
      <x:c r="G490" s="17"/>
      <x:c r="H490" s="12"/>
      <x:c r="I490" s="12"/>
      <x:c r="J490" s="18"/>
      <x:c r="K490" s="12"/>
      <x:c r="L490" s="12"/>
      <x:c r="M490" s="12"/>
      <x:c r="N490" s="12"/>
      <x:c r="O490" s="12"/>
      <x:c r="P490" s="12"/>
      <x:c r="Q490" s="12"/>
      <x:c r="R490" s="12"/>
      <x:c r="S490" s="12"/>
      <x:c r="T490" s="12"/>
      <x:c r="U490" s="12"/>
      <x:c r="V490" s="12"/>
      <x:c r="W490" s="12"/>
      <x:c r="X490" s="12"/>
      <x:c r="Y490" s="12"/>
      <x:c r="Z490" s="12"/>
      <x:c r="AA490" s="12"/>
    </x:row>
    <x:row r="491">
      <x:c r="A491" s="12"/>
      <x:c r="B491" s="12"/>
      <x:c r="C491" s="12"/>
      <x:c r="D491" s="12"/>
      <x:c r="E491" s="12"/>
      <x:c r="F491" s="12"/>
      <x:c r="G491" s="17"/>
      <x:c r="H491" s="12"/>
      <x:c r="I491" s="12"/>
      <x:c r="J491" s="18"/>
      <x:c r="K491" s="12"/>
      <x:c r="L491" s="12"/>
      <x:c r="M491" s="12"/>
      <x:c r="N491" s="12"/>
      <x:c r="O491" s="12"/>
      <x:c r="P491" s="12"/>
      <x:c r="Q491" s="12"/>
      <x:c r="R491" s="12"/>
      <x:c r="S491" s="12"/>
      <x:c r="T491" s="12"/>
      <x:c r="U491" s="12"/>
      <x:c r="V491" s="12"/>
      <x:c r="W491" s="12"/>
      <x:c r="X491" s="12"/>
      <x:c r="Y491" s="12"/>
      <x:c r="Z491" s="12"/>
      <x:c r="AA491" s="12"/>
    </x:row>
    <x:row r="492">
      <x:c r="A492" s="12"/>
      <x:c r="B492" s="12"/>
      <x:c r="C492" s="12"/>
      <x:c r="D492" s="12"/>
      <x:c r="E492" s="12"/>
      <x:c r="F492" s="12"/>
      <x:c r="G492" s="17"/>
      <x:c r="H492" s="12"/>
      <x:c r="I492" s="12"/>
      <x:c r="J492" s="18"/>
      <x:c r="K492" s="12"/>
      <x:c r="L492" s="12"/>
      <x:c r="M492" s="12"/>
      <x:c r="N492" s="12"/>
      <x:c r="O492" s="12"/>
      <x:c r="P492" s="12"/>
      <x:c r="Q492" s="12"/>
      <x:c r="R492" s="12"/>
      <x:c r="S492" s="12"/>
      <x:c r="T492" s="12"/>
      <x:c r="U492" s="12"/>
      <x:c r="V492" s="12"/>
      <x:c r="W492" s="12"/>
      <x:c r="X492" s="12"/>
      <x:c r="Y492" s="12"/>
      <x:c r="Z492" s="12"/>
      <x:c r="AA492" s="12"/>
    </x:row>
    <x:row r="493">
      <x:c r="A493" s="12"/>
      <x:c r="B493" s="12"/>
      <x:c r="C493" s="12"/>
      <x:c r="D493" s="12"/>
      <x:c r="E493" s="12"/>
      <x:c r="F493" s="12"/>
      <x:c r="G493" s="17"/>
      <x:c r="H493" s="12"/>
      <x:c r="I493" s="12"/>
      <x:c r="J493" s="18"/>
      <x:c r="K493" s="12"/>
      <x:c r="L493" s="12"/>
      <x:c r="M493" s="12"/>
      <x:c r="N493" s="12"/>
      <x:c r="O493" s="12"/>
      <x:c r="P493" s="12"/>
      <x:c r="Q493" s="12"/>
      <x:c r="R493" s="12"/>
      <x:c r="S493" s="12"/>
      <x:c r="T493" s="12"/>
      <x:c r="U493" s="12"/>
      <x:c r="V493" s="12"/>
      <x:c r="W493" s="12"/>
      <x:c r="X493" s="12"/>
      <x:c r="Y493" s="12"/>
      <x:c r="Z493" s="12"/>
      <x:c r="AA493" s="12"/>
    </x:row>
    <x:row r="494">
      <x:c r="A494" s="12"/>
      <x:c r="B494" s="12"/>
      <x:c r="C494" s="12"/>
      <x:c r="D494" s="12"/>
      <x:c r="E494" s="12"/>
      <x:c r="F494" s="12"/>
      <x:c r="G494" s="17"/>
      <x:c r="H494" s="12"/>
      <x:c r="I494" s="12"/>
      <x:c r="J494" s="18"/>
      <x:c r="K494" s="12"/>
      <x:c r="L494" s="12"/>
      <x:c r="M494" s="12"/>
      <x:c r="N494" s="12"/>
      <x:c r="O494" s="12"/>
      <x:c r="P494" s="12"/>
      <x:c r="Q494" s="12"/>
      <x:c r="R494" s="12"/>
      <x:c r="S494" s="12"/>
      <x:c r="T494" s="12"/>
      <x:c r="U494" s="12"/>
      <x:c r="V494" s="12"/>
      <x:c r="W494" s="12"/>
      <x:c r="X494" s="12"/>
      <x:c r="Y494" s="12"/>
      <x:c r="Z494" s="12"/>
      <x:c r="AA494" s="12"/>
    </x:row>
    <x:row r="495">
      <x:c r="A495" s="12"/>
      <x:c r="B495" s="12"/>
      <x:c r="C495" s="12"/>
      <x:c r="D495" s="12"/>
      <x:c r="E495" s="12"/>
      <x:c r="F495" s="12"/>
      <x:c r="G495" s="17"/>
      <x:c r="H495" s="12"/>
      <x:c r="I495" s="12"/>
      <x:c r="J495" s="18"/>
      <x:c r="K495" s="12"/>
      <x:c r="L495" s="12"/>
      <x:c r="M495" s="12"/>
      <x:c r="N495" s="12"/>
      <x:c r="O495" s="12"/>
      <x:c r="P495" s="12"/>
      <x:c r="Q495" s="12"/>
      <x:c r="R495" s="12"/>
      <x:c r="S495" s="12"/>
      <x:c r="T495" s="12"/>
      <x:c r="U495" s="12"/>
      <x:c r="V495" s="12"/>
      <x:c r="W495" s="12"/>
      <x:c r="X495" s="12"/>
      <x:c r="Y495" s="12"/>
      <x:c r="Z495" s="12"/>
      <x:c r="AA495" s="12"/>
    </x:row>
    <x:row r="496">
      <x:c r="A496" s="12"/>
      <x:c r="B496" s="12"/>
      <x:c r="C496" s="12"/>
      <x:c r="D496" s="12"/>
      <x:c r="E496" s="12"/>
      <x:c r="F496" s="12"/>
      <x:c r="G496" s="17"/>
      <x:c r="H496" s="12"/>
      <x:c r="I496" s="12"/>
      <x:c r="J496" s="18"/>
      <x:c r="K496" s="12"/>
      <x:c r="L496" s="12"/>
      <x:c r="M496" s="12"/>
      <x:c r="N496" s="12"/>
      <x:c r="O496" s="12"/>
      <x:c r="P496" s="12"/>
      <x:c r="Q496" s="12"/>
      <x:c r="R496" s="12"/>
      <x:c r="S496" s="12"/>
      <x:c r="T496" s="12"/>
      <x:c r="U496" s="12"/>
      <x:c r="V496" s="12"/>
      <x:c r="W496" s="12"/>
      <x:c r="X496" s="12"/>
      <x:c r="Y496" s="12"/>
      <x:c r="Z496" s="12"/>
      <x:c r="AA496" s="12"/>
    </x:row>
    <x:row r="497">
      <x:c r="A497" s="12"/>
      <x:c r="B497" s="12"/>
      <x:c r="C497" s="12"/>
      <x:c r="D497" s="12"/>
      <x:c r="E497" s="12"/>
      <x:c r="F497" s="12"/>
      <x:c r="G497" s="17"/>
      <x:c r="H497" s="12"/>
      <x:c r="I497" s="12"/>
      <x:c r="J497" s="18"/>
      <x:c r="K497" s="12"/>
      <x:c r="L497" s="12"/>
      <x:c r="M497" s="12"/>
      <x:c r="N497" s="12"/>
      <x:c r="O497" s="12"/>
      <x:c r="P497" s="12"/>
      <x:c r="Q497" s="12"/>
      <x:c r="R497" s="12"/>
      <x:c r="S497" s="12"/>
      <x:c r="T497" s="12"/>
      <x:c r="U497" s="12"/>
      <x:c r="V497" s="12"/>
      <x:c r="W497" s="12"/>
      <x:c r="X497" s="12"/>
      <x:c r="Y497" s="12"/>
      <x:c r="Z497" s="12"/>
      <x:c r="AA497" s="12"/>
    </x:row>
    <x:row r="498">
      <x:c r="A498" s="12"/>
      <x:c r="B498" s="12"/>
      <x:c r="C498" s="12"/>
      <x:c r="D498" s="12"/>
      <x:c r="E498" s="12"/>
      <x:c r="F498" s="12"/>
      <x:c r="G498" s="17"/>
      <x:c r="H498" s="12"/>
      <x:c r="I498" s="12"/>
      <x:c r="J498" s="18"/>
      <x:c r="K498" s="12"/>
      <x:c r="L498" s="12"/>
      <x:c r="M498" s="12"/>
      <x:c r="N498" s="12"/>
      <x:c r="O498" s="12"/>
      <x:c r="P498" s="12"/>
      <x:c r="Q498" s="12"/>
      <x:c r="R498" s="12"/>
      <x:c r="S498" s="12"/>
      <x:c r="T498" s="12"/>
      <x:c r="U498" s="12"/>
      <x:c r="V498" s="12"/>
      <x:c r="W498" s="12"/>
      <x:c r="X498" s="12"/>
      <x:c r="Y498" s="12"/>
      <x:c r="Z498" s="12"/>
      <x:c r="AA498" s="12"/>
    </x:row>
    <x:row r="499">
      <x:c r="A499" s="12"/>
      <x:c r="B499" s="12"/>
      <x:c r="C499" s="12"/>
      <x:c r="D499" s="12"/>
      <x:c r="E499" s="12"/>
      <x:c r="F499" s="12"/>
      <x:c r="G499" s="17"/>
      <x:c r="H499" s="12"/>
      <x:c r="I499" s="12"/>
      <x:c r="J499" s="18"/>
      <x:c r="K499" s="12"/>
      <x:c r="L499" s="12"/>
      <x:c r="M499" s="12"/>
      <x:c r="N499" s="12"/>
      <x:c r="O499" s="12"/>
      <x:c r="P499" s="12"/>
      <x:c r="Q499" s="12"/>
      <x:c r="R499" s="12"/>
      <x:c r="S499" s="12"/>
      <x:c r="T499" s="12"/>
      <x:c r="U499" s="12"/>
      <x:c r="V499" s="12"/>
      <x:c r="W499" s="12"/>
      <x:c r="X499" s="12"/>
      <x:c r="Y499" s="12"/>
      <x:c r="Z499" s="12"/>
      <x:c r="AA499" s="12"/>
    </x:row>
    <x:row r="500">
      <x:c r="A500" s="12"/>
      <x:c r="B500" s="12"/>
      <x:c r="C500" s="12"/>
      <x:c r="D500" s="12"/>
      <x:c r="E500" s="12"/>
      <x:c r="F500" s="12"/>
      <x:c r="G500" s="17"/>
      <x:c r="H500" s="12"/>
      <x:c r="I500" s="12"/>
      <x:c r="J500" s="18"/>
      <x:c r="K500" s="12"/>
      <x:c r="L500" s="12"/>
      <x:c r="M500" s="12"/>
      <x:c r="N500" s="12"/>
      <x:c r="O500" s="12"/>
      <x:c r="P500" s="12"/>
      <x:c r="Q500" s="12"/>
      <x:c r="R500" s="12"/>
      <x:c r="S500" s="12"/>
      <x:c r="T500" s="12"/>
      <x:c r="U500" s="12"/>
      <x:c r="V500" s="12"/>
      <x:c r="W500" s="12"/>
      <x:c r="X500" s="12"/>
      <x:c r="Y500" s="12"/>
      <x:c r="Z500" s="12"/>
      <x:c r="AA500" s="12"/>
    </x:row>
    <x:row r="501">
      <x:c r="A501" s="12"/>
      <x:c r="B501" s="12"/>
      <x:c r="C501" s="12"/>
      <x:c r="D501" s="12"/>
      <x:c r="E501" s="12"/>
      <x:c r="F501" s="12"/>
      <x:c r="G501" s="17"/>
      <x:c r="H501" s="12"/>
      <x:c r="I501" s="12"/>
      <x:c r="J501" s="18"/>
      <x:c r="K501" s="12"/>
      <x:c r="L501" s="12"/>
      <x:c r="M501" s="12"/>
      <x:c r="N501" s="12"/>
      <x:c r="O501" s="12"/>
      <x:c r="P501" s="12"/>
      <x:c r="Q501" s="12"/>
      <x:c r="R501" s="12"/>
      <x:c r="S501" s="12"/>
      <x:c r="T501" s="12"/>
      <x:c r="U501" s="12"/>
      <x:c r="V501" s="12"/>
      <x:c r="W501" s="12"/>
      <x:c r="X501" s="12"/>
      <x:c r="Y501" s="12"/>
      <x:c r="Z501" s="12"/>
      <x:c r="AA501" s="12"/>
    </x:row>
    <x:row r="502">
      <x:c r="A502" s="12"/>
      <x:c r="B502" s="12"/>
      <x:c r="C502" s="12"/>
      <x:c r="D502" s="12"/>
      <x:c r="E502" s="12"/>
      <x:c r="F502" s="12"/>
      <x:c r="G502" s="17"/>
      <x:c r="H502" s="12"/>
      <x:c r="I502" s="12"/>
      <x:c r="J502" s="18"/>
      <x:c r="K502" s="12"/>
      <x:c r="L502" s="12"/>
      <x:c r="M502" s="12"/>
      <x:c r="N502" s="12"/>
      <x:c r="O502" s="12"/>
      <x:c r="P502" s="12"/>
      <x:c r="Q502" s="12"/>
      <x:c r="R502" s="12"/>
      <x:c r="S502" s="12"/>
      <x:c r="T502" s="12"/>
      <x:c r="U502" s="12"/>
      <x:c r="V502" s="12"/>
      <x:c r="W502" s="12"/>
      <x:c r="X502" s="12"/>
      <x:c r="Y502" s="12"/>
      <x:c r="Z502" s="12"/>
      <x:c r="AA502" s="12"/>
    </x:row>
    <x:row r="503">
      <x:c r="A503" s="12"/>
      <x:c r="B503" s="12"/>
      <x:c r="C503" s="12"/>
      <x:c r="D503" s="12"/>
      <x:c r="E503" s="12"/>
      <x:c r="F503" s="12"/>
      <x:c r="G503" s="17"/>
      <x:c r="H503" s="12"/>
      <x:c r="I503" s="12"/>
      <x:c r="J503" s="18"/>
      <x:c r="K503" s="12"/>
      <x:c r="L503" s="12"/>
      <x:c r="M503" s="12"/>
      <x:c r="N503" s="12"/>
      <x:c r="O503" s="12"/>
      <x:c r="P503" s="12"/>
      <x:c r="Q503" s="12"/>
      <x:c r="R503" s="12"/>
      <x:c r="S503" s="12"/>
      <x:c r="T503" s="12"/>
      <x:c r="U503" s="12"/>
      <x:c r="V503" s="12"/>
      <x:c r="W503" s="12"/>
      <x:c r="X503" s="12"/>
      <x:c r="Y503" s="12"/>
      <x:c r="Z503" s="12"/>
      <x:c r="AA503" s="12"/>
    </x:row>
    <x:row r="504">
      <x:c r="A504" s="12"/>
      <x:c r="B504" s="12"/>
      <x:c r="C504" s="12"/>
      <x:c r="D504" s="12"/>
      <x:c r="E504" s="12"/>
      <x:c r="F504" s="12"/>
      <x:c r="G504" s="17"/>
      <x:c r="H504" s="12"/>
      <x:c r="I504" s="12"/>
      <x:c r="J504" s="18"/>
      <x:c r="K504" s="12"/>
      <x:c r="L504" s="12"/>
      <x:c r="M504" s="12"/>
      <x:c r="N504" s="12"/>
      <x:c r="O504" s="12"/>
      <x:c r="P504" s="12"/>
      <x:c r="Q504" s="12"/>
      <x:c r="R504" s="12"/>
      <x:c r="S504" s="12"/>
      <x:c r="T504" s="12"/>
      <x:c r="U504" s="12"/>
      <x:c r="V504" s="12"/>
      <x:c r="W504" s="12"/>
      <x:c r="X504" s="12"/>
      <x:c r="Y504" s="12"/>
      <x:c r="Z504" s="12"/>
      <x:c r="AA504" s="12"/>
    </x:row>
    <x:row r="505">
      <x:c r="A505" s="12"/>
      <x:c r="B505" s="12"/>
      <x:c r="C505" s="12"/>
      <x:c r="D505" s="12"/>
      <x:c r="E505" s="12"/>
      <x:c r="F505" s="12"/>
      <x:c r="G505" s="17"/>
      <x:c r="H505" s="12"/>
      <x:c r="I505" s="12"/>
      <x:c r="J505" s="18"/>
      <x:c r="K505" s="12"/>
      <x:c r="L505" s="12"/>
      <x:c r="M505" s="12"/>
      <x:c r="N505" s="12"/>
      <x:c r="O505" s="12"/>
      <x:c r="P505" s="12"/>
      <x:c r="Q505" s="12"/>
      <x:c r="R505" s="12"/>
      <x:c r="S505" s="12"/>
      <x:c r="T505" s="12"/>
      <x:c r="U505" s="12"/>
      <x:c r="V505" s="12"/>
      <x:c r="W505" s="12"/>
      <x:c r="X505" s="12"/>
      <x:c r="Y505" s="12"/>
      <x:c r="Z505" s="12"/>
      <x:c r="AA505" s="12"/>
    </x:row>
    <x:row r="506">
      <x:c r="A506" s="12"/>
      <x:c r="B506" s="12"/>
      <x:c r="C506" s="12"/>
      <x:c r="D506" s="12"/>
      <x:c r="E506" s="12"/>
      <x:c r="F506" s="12"/>
      <x:c r="G506" s="17"/>
      <x:c r="H506" s="12"/>
      <x:c r="I506" s="12"/>
      <x:c r="J506" s="18"/>
      <x:c r="K506" s="12"/>
      <x:c r="L506" s="12"/>
      <x:c r="M506" s="12"/>
      <x:c r="N506" s="12"/>
      <x:c r="O506" s="12"/>
      <x:c r="P506" s="12"/>
      <x:c r="Q506" s="12"/>
      <x:c r="R506" s="12"/>
      <x:c r="S506" s="12"/>
      <x:c r="T506" s="12"/>
      <x:c r="U506" s="12"/>
      <x:c r="V506" s="12"/>
      <x:c r="W506" s="12"/>
      <x:c r="X506" s="12"/>
      <x:c r="Y506" s="12"/>
      <x:c r="Z506" s="12"/>
      <x:c r="AA506" s="12"/>
    </x:row>
    <x:row r="507">
      <x:c r="A507" s="12"/>
      <x:c r="B507" s="12"/>
      <x:c r="C507" s="12"/>
      <x:c r="D507" s="12"/>
      <x:c r="E507" s="12"/>
      <x:c r="F507" s="12"/>
      <x:c r="G507" s="17"/>
      <x:c r="H507" s="12"/>
      <x:c r="I507" s="12"/>
      <x:c r="J507" s="18"/>
      <x:c r="K507" s="12"/>
      <x:c r="L507" s="12"/>
      <x:c r="M507" s="12"/>
      <x:c r="N507" s="12"/>
      <x:c r="O507" s="12"/>
      <x:c r="P507" s="12"/>
      <x:c r="Q507" s="12"/>
      <x:c r="R507" s="12"/>
      <x:c r="S507" s="12"/>
      <x:c r="T507" s="12"/>
      <x:c r="U507" s="12"/>
      <x:c r="V507" s="12"/>
      <x:c r="W507" s="12"/>
      <x:c r="X507" s="12"/>
      <x:c r="Y507" s="12"/>
      <x:c r="Z507" s="12"/>
      <x:c r="AA507" s="12"/>
    </x:row>
    <x:row r="508">
      <x:c r="A508" s="12"/>
      <x:c r="B508" s="12"/>
      <x:c r="C508" s="12"/>
      <x:c r="D508" s="12"/>
      <x:c r="E508" s="12"/>
      <x:c r="F508" s="12"/>
      <x:c r="G508" s="17"/>
      <x:c r="H508" s="12"/>
      <x:c r="I508" s="12"/>
      <x:c r="J508" s="18"/>
      <x:c r="K508" s="12"/>
      <x:c r="L508" s="12"/>
      <x:c r="M508" s="12"/>
      <x:c r="N508" s="12"/>
      <x:c r="O508" s="12"/>
      <x:c r="P508" s="12"/>
      <x:c r="Q508" s="12"/>
      <x:c r="R508" s="12"/>
      <x:c r="S508" s="12"/>
      <x:c r="T508" s="12"/>
      <x:c r="U508" s="12"/>
      <x:c r="V508" s="12"/>
      <x:c r="W508" s="12"/>
      <x:c r="X508" s="12"/>
      <x:c r="Y508" s="12"/>
      <x:c r="Z508" s="12"/>
      <x:c r="AA508" s="12"/>
    </x:row>
    <x:row r="509">
      <x:c r="A509" s="12"/>
      <x:c r="B509" s="12"/>
      <x:c r="C509" s="12"/>
      <x:c r="D509" s="12"/>
      <x:c r="E509" s="12"/>
      <x:c r="F509" s="12"/>
      <x:c r="G509" s="17"/>
      <x:c r="H509" s="12"/>
      <x:c r="I509" s="12"/>
      <x:c r="J509" s="18"/>
      <x:c r="K509" s="12"/>
      <x:c r="L509" s="12"/>
      <x:c r="M509" s="12"/>
      <x:c r="N509" s="12"/>
      <x:c r="O509" s="12"/>
      <x:c r="P509" s="12"/>
      <x:c r="Q509" s="12"/>
      <x:c r="R509" s="12"/>
      <x:c r="S509" s="12"/>
      <x:c r="T509" s="12"/>
      <x:c r="U509" s="12"/>
      <x:c r="V509" s="12"/>
      <x:c r="W509" s="12"/>
      <x:c r="X509" s="12"/>
      <x:c r="Y509" s="12"/>
      <x:c r="Z509" s="12"/>
      <x:c r="AA509" s="12"/>
    </x:row>
    <x:row r="510">
      <x:c r="A510" s="12"/>
      <x:c r="B510" s="12"/>
      <x:c r="C510" s="12"/>
      <x:c r="D510" s="12"/>
      <x:c r="E510" s="12"/>
      <x:c r="F510" s="12"/>
      <x:c r="G510" s="17"/>
      <x:c r="H510" s="12"/>
      <x:c r="I510" s="12"/>
      <x:c r="J510" s="18"/>
      <x:c r="K510" s="12"/>
      <x:c r="L510" s="12"/>
      <x:c r="M510" s="12"/>
      <x:c r="N510" s="12"/>
      <x:c r="O510" s="12"/>
      <x:c r="P510" s="12"/>
      <x:c r="Q510" s="12"/>
      <x:c r="R510" s="12"/>
      <x:c r="S510" s="12"/>
      <x:c r="T510" s="12"/>
      <x:c r="U510" s="12"/>
      <x:c r="V510" s="12"/>
      <x:c r="W510" s="12"/>
      <x:c r="X510" s="12"/>
      <x:c r="Y510" s="12"/>
      <x:c r="Z510" s="12"/>
      <x:c r="AA510" s="12"/>
    </x:row>
    <x:row r="511">
      <x:c r="A511" s="12"/>
      <x:c r="B511" s="12"/>
      <x:c r="C511" s="12"/>
      <x:c r="D511" s="12"/>
      <x:c r="E511" s="12"/>
      <x:c r="F511" s="12"/>
      <x:c r="G511" s="17"/>
      <x:c r="H511" s="12"/>
      <x:c r="I511" s="12"/>
      <x:c r="J511" s="18"/>
      <x:c r="K511" s="12"/>
      <x:c r="L511" s="12"/>
      <x:c r="M511" s="12"/>
      <x:c r="N511" s="12"/>
      <x:c r="O511" s="12"/>
      <x:c r="P511" s="12"/>
      <x:c r="Q511" s="12"/>
      <x:c r="R511" s="12"/>
      <x:c r="S511" s="12"/>
      <x:c r="T511" s="12"/>
      <x:c r="U511" s="12"/>
      <x:c r="V511" s="12"/>
      <x:c r="W511" s="12"/>
      <x:c r="X511" s="12"/>
      <x:c r="Y511" s="12"/>
      <x:c r="Z511" s="12"/>
      <x:c r="AA511" s="12"/>
    </x:row>
    <x:row r="512">
      <x:c r="A512" s="12"/>
      <x:c r="B512" s="12"/>
      <x:c r="C512" s="12"/>
      <x:c r="D512" s="12"/>
      <x:c r="E512" s="12"/>
      <x:c r="F512" s="12"/>
      <x:c r="G512" s="17"/>
      <x:c r="H512" s="12"/>
      <x:c r="I512" s="12"/>
      <x:c r="J512" s="18"/>
      <x:c r="K512" s="12"/>
      <x:c r="L512" s="12"/>
      <x:c r="M512" s="12"/>
      <x:c r="N512" s="12"/>
      <x:c r="O512" s="12"/>
      <x:c r="P512" s="12"/>
      <x:c r="Q512" s="12"/>
      <x:c r="R512" s="12"/>
      <x:c r="S512" s="12"/>
      <x:c r="T512" s="12"/>
      <x:c r="U512" s="12"/>
      <x:c r="V512" s="12"/>
      <x:c r="W512" s="12"/>
      <x:c r="X512" s="12"/>
      <x:c r="Y512" s="12"/>
      <x:c r="Z512" s="12"/>
      <x:c r="AA512" s="12"/>
    </x:row>
    <x:row r="513">
      <x:c r="A513" s="12"/>
      <x:c r="B513" s="12"/>
      <x:c r="C513" s="12"/>
      <x:c r="D513" s="12"/>
      <x:c r="E513" s="12"/>
      <x:c r="F513" s="12"/>
      <x:c r="G513" s="17"/>
      <x:c r="H513" s="12"/>
      <x:c r="I513" s="12"/>
      <x:c r="J513" s="18"/>
      <x:c r="K513" s="12"/>
      <x:c r="L513" s="12"/>
      <x:c r="M513" s="12"/>
      <x:c r="N513" s="12"/>
      <x:c r="O513" s="12"/>
      <x:c r="P513" s="12"/>
      <x:c r="Q513" s="12"/>
      <x:c r="R513" s="12"/>
      <x:c r="S513" s="12"/>
      <x:c r="T513" s="12"/>
      <x:c r="U513" s="12"/>
      <x:c r="V513" s="12"/>
      <x:c r="W513" s="12"/>
      <x:c r="X513" s="12"/>
      <x:c r="Y513" s="12"/>
      <x:c r="Z513" s="12"/>
      <x:c r="AA513" s="12"/>
    </x:row>
    <x:row r="514">
      <x:c r="A514" s="12"/>
      <x:c r="B514" s="12"/>
      <x:c r="C514" s="12"/>
      <x:c r="D514" s="12"/>
      <x:c r="E514" s="12"/>
      <x:c r="F514" s="12"/>
      <x:c r="G514" s="17"/>
      <x:c r="H514" s="12"/>
      <x:c r="I514" s="12"/>
      <x:c r="J514" s="18"/>
      <x:c r="K514" s="12"/>
      <x:c r="L514" s="12"/>
      <x:c r="M514" s="12"/>
      <x:c r="N514" s="12"/>
      <x:c r="O514" s="12"/>
      <x:c r="P514" s="12"/>
      <x:c r="Q514" s="12"/>
      <x:c r="R514" s="12"/>
      <x:c r="S514" s="12"/>
      <x:c r="T514" s="12"/>
      <x:c r="U514" s="12"/>
      <x:c r="V514" s="12"/>
      <x:c r="W514" s="12"/>
      <x:c r="X514" s="12"/>
      <x:c r="Y514" s="12"/>
      <x:c r="Z514" s="12"/>
      <x:c r="AA514" s="12"/>
    </x:row>
    <x:row r="515">
      <x:c r="A515" s="12"/>
      <x:c r="B515" s="12"/>
      <x:c r="C515" s="12"/>
      <x:c r="D515" s="12"/>
      <x:c r="E515" s="12"/>
      <x:c r="F515" s="12"/>
      <x:c r="G515" s="17"/>
      <x:c r="H515" s="12"/>
      <x:c r="I515" s="12"/>
      <x:c r="J515" s="18"/>
      <x:c r="K515" s="12"/>
      <x:c r="L515" s="12"/>
      <x:c r="M515" s="12"/>
      <x:c r="N515" s="12"/>
      <x:c r="O515" s="12"/>
      <x:c r="P515" s="12"/>
      <x:c r="Q515" s="12"/>
      <x:c r="R515" s="12"/>
      <x:c r="S515" s="12"/>
      <x:c r="T515" s="12"/>
      <x:c r="U515" s="12"/>
      <x:c r="V515" s="12"/>
      <x:c r="W515" s="12"/>
      <x:c r="X515" s="12"/>
      <x:c r="Y515" s="12"/>
      <x:c r="Z515" s="12"/>
      <x:c r="AA515" s="12"/>
    </x:row>
    <x:row r="516">
      <x:c r="A516" s="12"/>
      <x:c r="B516" s="12"/>
      <x:c r="C516" s="12"/>
      <x:c r="D516" s="12"/>
      <x:c r="E516" s="12"/>
      <x:c r="F516" s="12"/>
      <x:c r="G516" s="17"/>
      <x:c r="H516" s="12"/>
      <x:c r="I516" s="12"/>
      <x:c r="J516" s="18"/>
      <x:c r="K516" s="12"/>
      <x:c r="L516" s="12"/>
      <x:c r="M516" s="12"/>
      <x:c r="N516" s="12"/>
      <x:c r="O516" s="12"/>
      <x:c r="P516" s="12"/>
      <x:c r="Q516" s="12"/>
      <x:c r="R516" s="12"/>
      <x:c r="S516" s="12"/>
      <x:c r="T516" s="12"/>
      <x:c r="U516" s="12"/>
      <x:c r="V516" s="12"/>
      <x:c r="W516" s="12"/>
      <x:c r="X516" s="12"/>
      <x:c r="Y516" s="12"/>
      <x:c r="Z516" s="12"/>
      <x:c r="AA516" s="12"/>
    </x:row>
    <x:row r="517">
      <x:c r="A517" s="12"/>
      <x:c r="B517" s="12"/>
      <x:c r="C517" s="12"/>
      <x:c r="D517" s="12"/>
      <x:c r="E517" s="12"/>
      <x:c r="F517" s="12"/>
      <x:c r="G517" s="17"/>
      <x:c r="H517" s="12"/>
      <x:c r="I517" s="12"/>
      <x:c r="J517" s="18"/>
      <x:c r="K517" s="12"/>
      <x:c r="L517" s="12"/>
      <x:c r="M517" s="12"/>
      <x:c r="N517" s="12"/>
      <x:c r="O517" s="12"/>
      <x:c r="P517" s="12"/>
      <x:c r="Q517" s="12"/>
      <x:c r="R517" s="12"/>
      <x:c r="S517" s="12"/>
      <x:c r="T517" s="12"/>
      <x:c r="U517" s="12"/>
      <x:c r="V517" s="12"/>
      <x:c r="W517" s="12"/>
      <x:c r="X517" s="12"/>
      <x:c r="Y517" s="12"/>
      <x:c r="Z517" s="12"/>
      <x:c r="AA517" s="12"/>
    </x:row>
    <x:row r="518">
      <x:c r="A518" s="12"/>
      <x:c r="B518" s="12"/>
      <x:c r="C518" s="12"/>
      <x:c r="D518" s="12"/>
      <x:c r="E518" s="12"/>
      <x:c r="F518" s="12"/>
      <x:c r="G518" s="17"/>
      <x:c r="H518" s="12"/>
      <x:c r="I518" s="12"/>
      <x:c r="J518" s="18"/>
      <x:c r="K518" s="12"/>
      <x:c r="L518" s="12"/>
      <x:c r="M518" s="12"/>
      <x:c r="N518" s="12"/>
      <x:c r="O518" s="12"/>
      <x:c r="P518" s="12"/>
      <x:c r="Q518" s="12"/>
      <x:c r="R518" s="12"/>
      <x:c r="S518" s="12"/>
      <x:c r="T518" s="12"/>
      <x:c r="U518" s="12"/>
      <x:c r="V518" s="12"/>
      <x:c r="W518" s="12"/>
      <x:c r="X518" s="12"/>
      <x:c r="Y518" s="12"/>
      <x:c r="Z518" s="12"/>
      <x:c r="AA518" s="12"/>
    </x:row>
    <x:row r="519">
      <x:c r="A519" s="12"/>
      <x:c r="B519" s="12"/>
      <x:c r="C519" s="12"/>
      <x:c r="D519" s="12"/>
      <x:c r="E519" s="12"/>
      <x:c r="F519" s="12"/>
      <x:c r="G519" s="17"/>
      <x:c r="H519" s="12"/>
      <x:c r="I519" s="12"/>
      <x:c r="J519" s="18"/>
      <x:c r="K519" s="12"/>
      <x:c r="L519" s="12"/>
      <x:c r="M519" s="12"/>
      <x:c r="N519" s="12"/>
      <x:c r="O519" s="12"/>
      <x:c r="P519" s="12"/>
      <x:c r="Q519" s="12"/>
      <x:c r="R519" s="12"/>
      <x:c r="S519" s="12"/>
      <x:c r="T519" s="12"/>
      <x:c r="U519" s="12"/>
      <x:c r="V519" s="12"/>
      <x:c r="W519" s="12"/>
      <x:c r="X519" s="12"/>
      <x:c r="Y519" s="12"/>
      <x:c r="Z519" s="12"/>
      <x:c r="AA519" s="12"/>
    </x:row>
    <x:row r="520">
      <x:c r="A520" s="12"/>
      <x:c r="B520" s="12"/>
      <x:c r="C520" s="12"/>
      <x:c r="D520" s="12"/>
      <x:c r="E520" s="12"/>
      <x:c r="F520" s="12"/>
      <x:c r="G520" s="17"/>
      <x:c r="H520" s="12"/>
      <x:c r="I520" s="12"/>
      <x:c r="J520" s="18"/>
      <x:c r="K520" s="12"/>
      <x:c r="L520" s="12"/>
      <x:c r="M520" s="12"/>
      <x:c r="N520" s="12"/>
      <x:c r="O520" s="12"/>
      <x:c r="P520" s="12"/>
      <x:c r="Q520" s="12"/>
      <x:c r="R520" s="12"/>
      <x:c r="S520" s="12"/>
      <x:c r="T520" s="12"/>
      <x:c r="U520" s="12"/>
      <x:c r="V520" s="12"/>
      <x:c r="W520" s="12"/>
      <x:c r="X520" s="12"/>
      <x:c r="Y520" s="12"/>
      <x:c r="Z520" s="12"/>
      <x:c r="AA520" s="12"/>
    </x:row>
    <x:row r="521">
      <x:c r="A521" s="12"/>
      <x:c r="B521" s="12"/>
      <x:c r="C521" s="12"/>
      <x:c r="D521" s="12"/>
      <x:c r="E521" s="12"/>
      <x:c r="F521" s="12"/>
      <x:c r="G521" s="17"/>
      <x:c r="H521" s="12"/>
      <x:c r="I521" s="12"/>
      <x:c r="J521" s="18"/>
      <x:c r="K521" s="12"/>
      <x:c r="L521" s="12"/>
      <x:c r="M521" s="12"/>
      <x:c r="N521" s="12"/>
      <x:c r="O521" s="12"/>
      <x:c r="P521" s="12"/>
      <x:c r="Q521" s="12"/>
      <x:c r="R521" s="12"/>
      <x:c r="S521" s="12"/>
      <x:c r="T521" s="12"/>
      <x:c r="U521" s="12"/>
      <x:c r="V521" s="12"/>
      <x:c r="W521" s="12"/>
      <x:c r="X521" s="12"/>
      <x:c r="Y521" s="12"/>
      <x:c r="Z521" s="12"/>
      <x:c r="AA521" s="12"/>
    </x:row>
    <x:row r="522">
      <x:c r="A522" s="12"/>
      <x:c r="B522" s="12"/>
      <x:c r="C522" s="12"/>
      <x:c r="D522" s="12"/>
      <x:c r="E522" s="12"/>
      <x:c r="F522" s="12"/>
      <x:c r="G522" s="17"/>
      <x:c r="H522" s="12"/>
      <x:c r="I522" s="12"/>
      <x:c r="J522" s="18"/>
      <x:c r="K522" s="12"/>
      <x:c r="L522" s="12"/>
      <x:c r="M522" s="12"/>
      <x:c r="N522" s="12"/>
      <x:c r="O522" s="12"/>
      <x:c r="P522" s="12"/>
      <x:c r="Q522" s="12"/>
      <x:c r="R522" s="12"/>
      <x:c r="S522" s="12"/>
      <x:c r="T522" s="12"/>
      <x:c r="U522" s="12"/>
      <x:c r="V522" s="12"/>
      <x:c r="W522" s="12"/>
      <x:c r="X522" s="12"/>
      <x:c r="Y522" s="12"/>
      <x:c r="Z522" s="12"/>
      <x:c r="AA522" s="12"/>
    </x:row>
    <x:row r="523">
      <x:c r="A523" s="12"/>
      <x:c r="B523" s="12"/>
      <x:c r="C523" s="12"/>
      <x:c r="D523" s="12"/>
      <x:c r="E523" s="12"/>
      <x:c r="F523" s="12"/>
      <x:c r="G523" s="17"/>
      <x:c r="H523" s="12"/>
      <x:c r="I523" s="12"/>
      <x:c r="J523" s="18"/>
      <x:c r="K523" s="12"/>
      <x:c r="L523" s="12"/>
      <x:c r="M523" s="12"/>
      <x:c r="N523" s="12"/>
      <x:c r="O523" s="12"/>
      <x:c r="P523" s="12"/>
      <x:c r="Q523" s="12"/>
      <x:c r="R523" s="12"/>
      <x:c r="S523" s="12"/>
      <x:c r="T523" s="12"/>
      <x:c r="U523" s="12"/>
      <x:c r="V523" s="12"/>
      <x:c r="W523" s="12"/>
      <x:c r="X523" s="12"/>
      <x:c r="Y523" s="12"/>
      <x:c r="Z523" s="12"/>
      <x:c r="AA523" s="12"/>
    </x:row>
    <x:row r="524">
      <x:c r="A524" s="12"/>
      <x:c r="B524" s="12"/>
      <x:c r="C524" s="12"/>
      <x:c r="D524" s="12"/>
      <x:c r="E524" s="12"/>
      <x:c r="F524" s="12"/>
      <x:c r="G524" s="17"/>
      <x:c r="H524" s="12"/>
      <x:c r="I524" s="12"/>
      <x:c r="J524" s="18"/>
      <x:c r="K524" s="12"/>
      <x:c r="L524" s="12"/>
      <x:c r="M524" s="12"/>
      <x:c r="N524" s="12"/>
      <x:c r="O524" s="12"/>
      <x:c r="P524" s="12"/>
      <x:c r="Q524" s="12"/>
      <x:c r="R524" s="12"/>
      <x:c r="S524" s="12"/>
      <x:c r="T524" s="12"/>
      <x:c r="U524" s="12"/>
      <x:c r="V524" s="12"/>
      <x:c r="W524" s="12"/>
      <x:c r="X524" s="12"/>
      <x:c r="Y524" s="12"/>
      <x:c r="Z524" s="12"/>
      <x:c r="AA524" s="12"/>
    </x:row>
    <x:row r="525">
      <x:c r="A525" s="12"/>
      <x:c r="B525" s="12"/>
      <x:c r="C525" s="12"/>
      <x:c r="D525" s="12"/>
      <x:c r="E525" s="12"/>
      <x:c r="F525" s="12"/>
      <x:c r="G525" s="17"/>
      <x:c r="H525" s="12"/>
      <x:c r="I525" s="12"/>
      <x:c r="J525" s="18"/>
      <x:c r="K525" s="12"/>
      <x:c r="L525" s="12"/>
      <x:c r="M525" s="12"/>
      <x:c r="N525" s="12"/>
      <x:c r="O525" s="12"/>
      <x:c r="P525" s="12"/>
      <x:c r="Q525" s="12"/>
      <x:c r="R525" s="12"/>
      <x:c r="S525" s="12"/>
      <x:c r="T525" s="12"/>
      <x:c r="U525" s="12"/>
      <x:c r="V525" s="12"/>
      <x:c r="W525" s="12"/>
      <x:c r="X525" s="12"/>
      <x:c r="Y525" s="12"/>
      <x:c r="Z525" s="12"/>
      <x:c r="AA525" s="12"/>
    </x:row>
    <x:row r="526">
      <x:c r="A526" s="12"/>
      <x:c r="B526" s="12"/>
      <x:c r="C526" s="12"/>
      <x:c r="D526" s="12"/>
      <x:c r="E526" s="12"/>
      <x:c r="F526" s="12"/>
      <x:c r="G526" s="17"/>
      <x:c r="H526" s="12"/>
      <x:c r="I526" s="12"/>
      <x:c r="J526" s="18"/>
      <x:c r="K526" s="12"/>
      <x:c r="L526" s="12"/>
      <x:c r="M526" s="12"/>
      <x:c r="N526" s="12"/>
      <x:c r="O526" s="12"/>
      <x:c r="P526" s="12"/>
      <x:c r="Q526" s="12"/>
      <x:c r="R526" s="12"/>
      <x:c r="S526" s="12"/>
      <x:c r="T526" s="12"/>
      <x:c r="U526" s="12"/>
      <x:c r="V526" s="12"/>
      <x:c r="W526" s="12"/>
      <x:c r="X526" s="12"/>
      <x:c r="Y526" s="12"/>
      <x:c r="Z526" s="12"/>
      <x:c r="AA526" s="12"/>
    </x:row>
    <x:row r="527">
      <x:c r="A527" s="12"/>
      <x:c r="B527" s="12"/>
      <x:c r="C527" s="12"/>
      <x:c r="D527" s="12"/>
      <x:c r="E527" s="12"/>
      <x:c r="F527" s="12"/>
      <x:c r="G527" s="17"/>
      <x:c r="H527" s="12"/>
      <x:c r="I527" s="12"/>
      <x:c r="J527" s="18"/>
      <x:c r="K527" s="12"/>
      <x:c r="L527" s="12"/>
      <x:c r="M527" s="12"/>
      <x:c r="N527" s="12"/>
      <x:c r="O527" s="12"/>
      <x:c r="P527" s="12"/>
      <x:c r="Q527" s="12"/>
      <x:c r="R527" s="12"/>
      <x:c r="S527" s="12"/>
      <x:c r="T527" s="12"/>
      <x:c r="U527" s="12"/>
      <x:c r="V527" s="12"/>
      <x:c r="W527" s="12"/>
      <x:c r="X527" s="12"/>
      <x:c r="Y527" s="12"/>
      <x:c r="Z527" s="12"/>
      <x:c r="AA527" s="12"/>
    </x:row>
    <x:row r="528">
      <x:c r="A528" s="12"/>
      <x:c r="B528" s="12"/>
      <x:c r="C528" s="12"/>
      <x:c r="D528" s="12"/>
      <x:c r="E528" s="12"/>
      <x:c r="F528" s="12"/>
      <x:c r="G528" s="17"/>
      <x:c r="H528" s="12"/>
      <x:c r="I528" s="12"/>
      <x:c r="J528" s="18"/>
      <x:c r="K528" s="12"/>
      <x:c r="L528" s="12"/>
      <x:c r="M528" s="12"/>
      <x:c r="N528" s="12"/>
      <x:c r="O528" s="12"/>
      <x:c r="P528" s="12"/>
      <x:c r="Q528" s="12"/>
      <x:c r="R528" s="12"/>
      <x:c r="S528" s="12"/>
      <x:c r="T528" s="12"/>
      <x:c r="U528" s="12"/>
      <x:c r="V528" s="12"/>
      <x:c r="W528" s="12"/>
      <x:c r="X528" s="12"/>
      <x:c r="Y528" s="12"/>
      <x:c r="Z528" s="12"/>
      <x:c r="AA528" s="12"/>
    </x:row>
    <x:row r="529">
      <x:c r="A529" s="12"/>
      <x:c r="B529" s="12"/>
      <x:c r="C529" s="12"/>
      <x:c r="D529" s="12"/>
      <x:c r="E529" s="12"/>
      <x:c r="F529" s="12"/>
      <x:c r="G529" s="17"/>
      <x:c r="H529" s="12"/>
      <x:c r="I529" s="12"/>
      <x:c r="J529" s="18"/>
      <x:c r="K529" s="12"/>
      <x:c r="L529" s="12"/>
      <x:c r="M529" s="12"/>
      <x:c r="N529" s="12"/>
      <x:c r="O529" s="12"/>
      <x:c r="P529" s="12"/>
      <x:c r="Q529" s="12"/>
      <x:c r="R529" s="12"/>
      <x:c r="S529" s="12"/>
      <x:c r="T529" s="12"/>
      <x:c r="U529" s="12"/>
      <x:c r="V529" s="12"/>
      <x:c r="W529" s="12"/>
      <x:c r="X529" s="12"/>
      <x:c r="Y529" s="12"/>
      <x:c r="Z529" s="12"/>
      <x:c r="AA529" s="12"/>
    </x:row>
    <x:row r="530">
      <x:c r="A530" s="12"/>
      <x:c r="B530" s="12"/>
      <x:c r="C530" s="12"/>
      <x:c r="D530" s="12"/>
      <x:c r="E530" s="12"/>
      <x:c r="F530" s="12"/>
      <x:c r="G530" s="17"/>
      <x:c r="H530" s="12"/>
      <x:c r="I530" s="12"/>
      <x:c r="J530" s="18"/>
      <x:c r="K530" s="12"/>
      <x:c r="L530" s="12"/>
      <x:c r="M530" s="12"/>
      <x:c r="N530" s="12"/>
      <x:c r="O530" s="12"/>
      <x:c r="P530" s="12"/>
      <x:c r="Q530" s="12"/>
      <x:c r="R530" s="12"/>
      <x:c r="S530" s="12"/>
      <x:c r="T530" s="12"/>
      <x:c r="U530" s="12"/>
      <x:c r="V530" s="12"/>
      <x:c r="W530" s="12"/>
      <x:c r="X530" s="12"/>
      <x:c r="Y530" s="12"/>
      <x:c r="Z530" s="12"/>
      <x:c r="AA530" s="12"/>
    </x:row>
    <x:row r="531">
      <x:c r="A531" s="12"/>
      <x:c r="B531" s="12"/>
      <x:c r="C531" s="12"/>
      <x:c r="D531" s="12"/>
      <x:c r="E531" s="12"/>
      <x:c r="F531" s="12"/>
      <x:c r="G531" s="17"/>
      <x:c r="H531" s="12"/>
      <x:c r="I531" s="12"/>
      <x:c r="J531" s="18"/>
      <x:c r="K531" s="12"/>
      <x:c r="L531" s="12"/>
      <x:c r="M531" s="12"/>
      <x:c r="N531" s="12"/>
      <x:c r="O531" s="12"/>
      <x:c r="P531" s="12"/>
      <x:c r="Q531" s="12"/>
      <x:c r="R531" s="12"/>
      <x:c r="S531" s="12"/>
      <x:c r="T531" s="12"/>
      <x:c r="U531" s="12"/>
      <x:c r="V531" s="12"/>
      <x:c r="W531" s="12"/>
      <x:c r="X531" s="12"/>
      <x:c r="Y531" s="12"/>
      <x:c r="Z531" s="12"/>
      <x:c r="AA531" s="12"/>
    </x:row>
    <x:row r="532">
      <x:c r="A532" s="12"/>
      <x:c r="B532" s="12"/>
      <x:c r="C532" s="12"/>
      <x:c r="D532" s="12"/>
      <x:c r="E532" s="12"/>
      <x:c r="F532" s="12"/>
      <x:c r="G532" s="17"/>
      <x:c r="H532" s="12"/>
      <x:c r="I532" s="12"/>
      <x:c r="J532" s="18"/>
      <x:c r="K532" s="12"/>
      <x:c r="L532" s="12"/>
      <x:c r="M532" s="12"/>
      <x:c r="N532" s="12"/>
      <x:c r="O532" s="12"/>
      <x:c r="P532" s="12"/>
      <x:c r="Q532" s="12"/>
      <x:c r="R532" s="12"/>
      <x:c r="S532" s="12"/>
      <x:c r="T532" s="12"/>
      <x:c r="U532" s="12"/>
      <x:c r="V532" s="12"/>
      <x:c r="W532" s="12"/>
      <x:c r="X532" s="12"/>
      <x:c r="Y532" s="12"/>
      <x:c r="Z532" s="12"/>
      <x:c r="AA532" s="12"/>
    </x:row>
    <x:row r="533">
      <x:c r="A533" s="12"/>
      <x:c r="B533" s="12"/>
      <x:c r="C533" s="12"/>
      <x:c r="D533" s="12"/>
      <x:c r="E533" s="12"/>
      <x:c r="F533" s="12"/>
      <x:c r="G533" s="17"/>
      <x:c r="H533" s="12"/>
      <x:c r="I533" s="12"/>
      <x:c r="J533" s="18"/>
      <x:c r="K533" s="12"/>
      <x:c r="L533" s="12"/>
      <x:c r="M533" s="12"/>
      <x:c r="N533" s="12"/>
      <x:c r="O533" s="12"/>
      <x:c r="P533" s="12"/>
      <x:c r="Q533" s="12"/>
      <x:c r="R533" s="12"/>
      <x:c r="S533" s="12"/>
      <x:c r="T533" s="12"/>
      <x:c r="U533" s="12"/>
      <x:c r="V533" s="12"/>
      <x:c r="W533" s="12"/>
      <x:c r="X533" s="12"/>
      <x:c r="Y533" s="12"/>
      <x:c r="Z533" s="12"/>
      <x:c r="AA533" s="12"/>
    </x:row>
    <x:row r="534">
      <x:c r="A534" s="12"/>
      <x:c r="B534" s="12"/>
      <x:c r="C534" s="12"/>
      <x:c r="D534" s="12"/>
      <x:c r="E534" s="12"/>
      <x:c r="F534" s="12"/>
      <x:c r="G534" s="17"/>
      <x:c r="H534" s="12"/>
      <x:c r="I534" s="12"/>
      <x:c r="J534" s="18"/>
      <x:c r="K534" s="12"/>
      <x:c r="L534" s="12"/>
      <x:c r="M534" s="12"/>
      <x:c r="N534" s="12"/>
      <x:c r="O534" s="12"/>
      <x:c r="P534" s="12"/>
      <x:c r="Q534" s="12"/>
      <x:c r="R534" s="12"/>
      <x:c r="S534" s="12"/>
      <x:c r="T534" s="12"/>
      <x:c r="U534" s="12"/>
      <x:c r="V534" s="12"/>
      <x:c r="W534" s="12"/>
      <x:c r="X534" s="12"/>
      <x:c r="Y534" s="12"/>
      <x:c r="Z534" s="12"/>
      <x:c r="AA534" s="12"/>
    </x:row>
    <x:row r="535">
      <x:c r="A535" s="12"/>
      <x:c r="B535" s="12"/>
      <x:c r="C535" s="12"/>
      <x:c r="D535" s="12"/>
      <x:c r="E535" s="12"/>
      <x:c r="F535" s="12"/>
      <x:c r="G535" s="17"/>
      <x:c r="H535" s="12"/>
      <x:c r="I535" s="12"/>
      <x:c r="J535" s="18"/>
      <x:c r="K535" s="12"/>
      <x:c r="L535" s="12"/>
      <x:c r="M535" s="12"/>
      <x:c r="N535" s="12"/>
      <x:c r="O535" s="12"/>
      <x:c r="P535" s="12"/>
      <x:c r="Q535" s="12"/>
      <x:c r="R535" s="12"/>
      <x:c r="S535" s="12"/>
      <x:c r="T535" s="12"/>
      <x:c r="U535" s="12"/>
      <x:c r="V535" s="12"/>
      <x:c r="W535" s="12"/>
      <x:c r="X535" s="12"/>
      <x:c r="Y535" s="12"/>
      <x:c r="Z535" s="12"/>
      <x:c r="AA535" s="12"/>
    </x:row>
    <x:row r="536">
      <x:c r="A536" s="12"/>
      <x:c r="B536" s="12"/>
      <x:c r="C536" s="12"/>
      <x:c r="D536" s="12"/>
      <x:c r="E536" s="12"/>
      <x:c r="F536" s="12"/>
      <x:c r="G536" s="17"/>
      <x:c r="H536" s="12"/>
      <x:c r="I536" s="12"/>
      <x:c r="J536" s="18"/>
      <x:c r="K536" s="12"/>
      <x:c r="L536" s="12"/>
      <x:c r="M536" s="12"/>
      <x:c r="N536" s="12"/>
      <x:c r="O536" s="12"/>
      <x:c r="P536" s="12"/>
      <x:c r="Q536" s="12"/>
      <x:c r="R536" s="12"/>
      <x:c r="S536" s="12"/>
      <x:c r="T536" s="12"/>
      <x:c r="U536" s="12"/>
      <x:c r="V536" s="12"/>
      <x:c r="W536" s="12"/>
      <x:c r="X536" s="12"/>
      <x:c r="Y536" s="12"/>
      <x:c r="Z536" s="12"/>
      <x:c r="AA536" s="12"/>
    </x:row>
    <x:row r="537">
      <x:c r="A537" s="12"/>
      <x:c r="B537" s="12"/>
      <x:c r="C537" s="12"/>
      <x:c r="D537" s="12"/>
      <x:c r="E537" s="12"/>
      <x:c r="F537" s="12"/>
      <x:c r="G537" s="17"/>
      <x:c r="H537" s="12"/>
      <x:c r="I537" s="12"/>
      <x:c r="J537" s="18"/>
      <x:c r="K537" s="12"/>
      <x:c r="L537" s="12"/>
      <x:c r="M537" s="12"/>
      <x:c r="N537" s="12"/>
      <x:c r="O537" s="12"/>
      <x:c r="P537" s="12"/>
      <x:c r="Q537" s="12"/>
      <x:c r="R537" s="12"/>
      <x:c r="S537" s="12"/>
      <x:c r="T537" s="12"/>
      <x:c r="U537" s="12"/>
      <x:c r="V537" s="12"/>
      <x:c r="W537" s="12"/>
      <x:c r="X537" s="12"/>
      <x:c r="Y537" s="12"/>
      <x:c r="Z537" s="12"/>
      <x:c r="AA537" s="12"/>
    </x:row>
    <x:row r="538">
      <x:c r="A538" s="12"/>
      <x:c r="B538" s="12"/>
      <x:c r="C538" s="12"/>
      <x:c r="D538" s="12"/>
      <x:c r="E538" s="12"/>
      <x:c r="F538" s="12"/>
      <x:c r="G538" s="17"/>
      <x:c r="H538" s="12"/>
      <x:c r="I538" s="12"/>
      <x:c r="J538" s="18"/>
      <x:c r="K538" s="12"/>
      <x:c r="L538" s="12"/>
      <x:c r="M538" s="12"/>
      <x:c r="N538" s="12"/>
      <x:c r="O538" s="12"/>
      <x:c r="P538" s="12"/>
      <x:c r="Q538" s="12"/>
      <x:c r="R538" s="12"/>
      <x:c r="S538" s="12"/>
      <x:c r="T538" s="12"/>
      <x:c r="U538" s="12"/>
      <x:c r="V538" s="12"/>
      <x:c r="W538" s="12"/>
      <x:c r="X538" s="12"/>
      <x:c r="Y538" s="12"/>
      <x:c r="Z538" s="12"/>
      <x:c r="AA538" s="12"/>
    </x:row>
    <x:row r="539">
      <x:c r="A539" s="12"/>
      <x:c r="B539" s="12"/>
      <x:c r="C539" s="12"/>
      <x:c r="D539" s="12"/>
      <x:c r="E539" s="12"/>
      <x:c r="F539" s="12"/>
      <x:c r="G539" s="17"/>
      <x:c r="H539" s="12"/>
      <x:c r="I539" s="12"/>
      <x:c r="J539" s="18"/>
      <x:c r="K539" s="12"/>
      <x:c r="L539" s="12"/>
      <x:c r="M539" s="12"/>
      <x:c r="N539" s="12"/>
      <x:c r="O539" s="12"/>
      <x:c r="P539" s="12"/>
      <x:c r="Q539" s="12"/>
      <x:c r="R539" s="12"/>
      <x:c r="S539" s="12"/>
      <x:c r="T539" s="12"/>
      <x:c r="U539" s="12"/>
      <x:c r="V539" s="12"/>
      <x:c r="W539" s="12"/>
      <x:c r="X539" s="12"/>
      <x:c r="Y539" s="12"/>
      <x:c r="Z539" s="12"/>
      <x:c r="AA539" s="12"/>
    </x:row>
    <x:row r="540">
      <x:c r="A540" s="12"/>
      <x:c r="B540" s="12"/>
      <x:c r="C540" s="12"/>
      <x:c r="D540" s="12"/>
      <x:c r="E540" s="12"/>
      <x:c r="F540" s="12"/>
      <x:c r="G540" s="17"/>
      <x:c r="H540" s="12"/>
      <x:c r="I540" s="12"/>
      <x:c r="J540" s="18"/>
      <x:c r="K540" s="12"/>
      <x:c r="L540" s="12"/>
      <x:c r="M540" s="12"/>
      <x:c r="N540" s="12"/>
      <x:c r="O540" s="12"/>
      <x:c r="P540" s="12"/>
      <x:c r="Q540" s="12"/>
      <x:c r="R540" s="12"/>
      <x:c r="S540" s="12"/>
      <x:c r="T540" s="12"/>
      <x:c r="U540" s="12"/>
      <x:c r="V540" s="12"/>
      <x:c r="W540" s="12"/>
      <x:c r="X540" s="12"/>
      <x:c r="Y540" s="12"/>
      <x:c r="Z540" s="12"/>
      <x:c r="AA540" s="12"/>
    </x:row>
    <x:row r="541">
      <x:c r="A541" s="12"/>
      <x:c r="B541" s="12"/>
      <x:c r="C541" s="12"/>
      <x:c r="D541" s="12"/>
      <x:c r="E541" s="12"/>
      <x:c r="F541" s="12"/>
      <x:c r="G541" s="17"/>
      <x:c r="H541" s="12"/>
      <x:c r="I541" s="12"/>
      <x:c r="J541" s="18"/>
      <x:c r="K541" s="12"/>
      <x:c r="L541" s="12"/>
      <x:c r="M541" s="12"/>
      <x:c r="N541" s="12"/>
      <x:c r="O541" s="12"/>
      <x:c r="P541" s="12"/>
      <x:c r="Q541" s="12"/>
      <x:c r="R541" s="12"/>
      <x:c r="S541" s="12"/>
      <x:c r="T541" s="12"/>
      <x:c r="U541" s="12"/>
      <x:c r="V541" s="12"/>
      <x:c r="W541" s="12"/>
      <x:c r="X541" s="12"/>
      <x:c r="Y541" s="12"/>
      <x:c r="Z541" s="12"/>
      <x:c r="AA541" s="12"/>
    </x:row>
    <x:row r="542">
      <x:c r="A542" s="12"/>
      <x:c r="B542" s="12"/>
      <x:c r="C542" s="12"/>
      <x:c r="D542" s="12"/>
      <x:c r="E542" s="12"/>
      <x:c r="F542" s="12"/>
      <x:c r="G542" s="17"/>
      <x:c r="H542" s="12"/>
      <x:c r="I542" s="12"/>
      <x:c r="J542" s="18"/>
      <x:c r="K542" s="12"/>
      <x:c r="L542" s="12"/>
      <x:c r="M542" s="12"/>
      <x:c r="N542" s="12"/>
      <x:c r="O542" s="12"/>
      <x:c r="P542" s="12"/>
      <x:c r="Q542" s="12"/>
      <x:c r="R542" s="12"/>
      <x:c r="S542" s="12"/>
      <x:c r="T542" s="12"/>
      <x:c r="U542" s="12"/>
      <x:c r="V542" s="12"/>
      <x:c r="W542" s="12"/>
      <x:c r="X542" s="12"/>
      <x:c r="Y542" s="12"/>
      <x:c r="Z542" s="12"/>
      <x:c r="AA542" s="12"/>
    </x:row>
    <x:row r="543">
      <x:c r="A543" s="12"/>
      <x:c r="B543" s="12"/>
      <x:c r="C543" s="12"/>
      <x:c r="D543" s="12"/>
      <x:c r="E543" s="12"/>
      <x:c r="F543" s="12"/>
      <x:c r="G543" s="17"/>
      <x:c r="H543" s="12"/>
      <x:c r="I543" s="12"/>
      <x:c r="J543" s="18"/>
      <x:c r="K543" s="12"/>
      <x:c r="L543" s="12"/>
      <x:c r="M543" s="12"/>
      <x:c r="N543" s="12"/>
      <x:c r="O543" s="12"/>
      <x:c r="P543" s="12"/>
      <x:c r="Q543" s="12"/>
      <x:c r="R543" s="12"/>
      <x:c r="S543" s="12"/>
      <x:c r="T543" s="12"/>
      <x:c r="U543" s="12"/>
      <x:c r="V543" s="12"/>
      <x:c r="W543" s="12"/>
      <x:c r="X543" s="12"/>
      <x:c r="Y543" s="12"/>
      <x:c r="Z543" s="12"/>
      <x:c r="AA543" s="12"/>
    </x:row>
    <x:row r="544">
      <x:c r="A544" s="12"/>
      <x:c r="B544" s="12"/>
      <x:c r="C544" s="12"/>
      <x:c r="D544" s="12"/>
      <x:c r="E544" s="12"/>
      <x:c r="F544" s="12"/>
      <x:c r="G544" s="17"/>
      <x:c r="H544" s="12"/>
      <x:c r="I544" s="12"/>
      <x:c r="J544" s="18"/>
      <x:c r="K544" s="12"/>
      <x:c r="L544" s="12"/>
      <x:c r="M544" s="12"/>
      <x:c r="N544" s="12"/>
      <x:c r="O544" s="12"/>
      <x:c r="P544" s="12"/>
      <x:c r="Q544" s="12"/>
      <x:c r="R544" s="12"/>
      <x:c r="S544" s="12"/>
      <x:c r="T544" s="12"/>
      <x:c r="U544" s="12"/>
      <x:c r="V544" s="12"/>
      <x:c r="W544" s="12"/>
      <x:c r="X544" s="12"/>
      <x:c r="Y544" s="12"/>
      <x:c r="Z544" s="12"/>
      <x:c r="AA544" s="12"/>
    </x:row>
    <x:row r="545">
      <x:c r="A545" s="12"/>
      <x:c r="B545" s="12"/>
      <x:c r="C545" s="12"/>
      <x:c r="D545" s="12"/>
      <x:c r="E545" s="12"/>
      <x:c r="F545" s="12"/>
      <x:c r="G545" s="17"/>
      <x:c r="H545" s="12"/>
      <x:c r="I545" s="12"/>
      <x:c r="J545" s="18"/>
      <x:c r="K545" s="12"/>
      <x:c r="L545" s="12"/>
      <x:c r="M545" s="12"/>
      <x:c r="N545" s="12"/>
      <x:c r="O545" s="12"/>
      <x:c r="P545" s="12"/>
      <x:c r="Q545" s="12"/>
      <x:c r="R545" s="12"/>
      <x:c r="S545" s="12"/>
      <x:c r="T545" s="12"/>
      <x:c r="U545" s="12"/>
      <x:c r="V545" s="12"/>
      <x:c r="W545" s="12"/>
      <x:c r="X545" s="12"/>
      <x:c r="Y545" s="12"/>
      <x:c r="Z545" s="12"/>
      <x:c r="AA545" s="12"/>
    </x:row>
    <x:row r="546">
      <x:c r="A546" s="12"/>
      <x:c r="B546" s="12"/>
      <x:c r="C546" s="12"/>
      <x:c r="D546" s="12"/>
      <x:c r="E546" s="12"/>
      <x:c r="F546" s="12"/>
      <x:c r="G546" s="17"/>
      <x:c r="H546" s="12"/>
      <x:c r="I546" s="12"/>
      <x:c r="J546" s="18"/>
      <x:c r="K546" s="12"/>
      <x:c r="L546" s="12"/>
      <x:c r="M546" s="12"/>
      <x:c r="N546" s="12"/>
      <x:c r="O546" s="12"/>
      <x:c r="P546" s="12"/>
      <x:c r="Q546" s="12"/>
      <x:c r="R546" s="12"/>
      <x:c r="S546" s="12"/>
      <x:c r="T546" s="12"/>
      <x:c r="U546" s="12"/>
      <x:c r="V546" s="12"/>
      <x:c r="W546" s="12"/>
      <x:c r="X546" s="12"/>
      <x:c r="Y546" s="12"/>
      <x:c r="Z546" s="12"/>
      <x:c r="AA546" s="12"/>
    </x:row>
    <x:row r="547">
      <x:c r="A547" s="12"/>
      <x:c r="B547" s="12"/>
      <x:c r="C547" s="12"/>
      <x:c r="D547" s="12"/>
      <x:c r="E547" s="12"/>
      <x:c r="F547" s="12"/>
      <x:c r="G547" s="17"/>
      <x:c r="H547" s="12"/>
      <x:c r="I547" s="12"/>
      <x:c r="J547" s="18"/>
      <x:c r="K547" s="12"/>
      <x:c r="L547" s="12"/>
      <x:c r="M547" s="12"/>
      <x:c r="N547" s="12"/>
      <x:c r="O547" s="12"/>
      <x:c r="P547" s="12"/>
      <x:c r="Q547" s="12"/>
      <x:c r="R547" s="12"/>
      <x:c r="S547" s="12"/>
      <x:c r="T547" s="12"/>
      <x:c r="U547" s="12"/>
      <x:c r="V547" s="12"/>
      <x:c r="W547" s="12"/>
      <x:c r="X547" s="12"/>
      <x:c r="Y547" s="12"/>
      <x:c r="Z547" s="12"/>
      <x:c r="AA547" s="12"/>
    </x:row>
    <x:row r="548">
      <x:c r="A548" s="12"/>
      <x:c r="B548" s="12"/>
      <x:c r="C548" s="12"/>
      <x:c r="D548" s="12"/>
      <x:c r="E548" s="12"/>
      <x:c r="F548" s="12"/>
      <x:c r="G548" s="17"/>
      <x:c r="H548" s="12"/>
      <x:c r="I548" s="12"/>
      <x:c r="J548" s="18"/>
      <x:c r="K548" s="12"/>
      <x:c r="L548" s="12"/>
      <x:c r="M548" s="12"/>
      <x:c r="N548" s="12"/>
      <x:c r="O548" s="12"/>
      <x:c r="P548" s="12"/>
      <x:c r="Q548" s="12"/>
      <x:c r="R548" s="12"/>
      <x:c r="S548" s="12"/>
      <x:c r="T548" s="12"/>
      <x:c r="U548" s="12"/>
      <x:c r="V548" s="12"/>
      <x:c r="W548" s="12"/>
      <x:c r="X548" s="12"/>
      <x:c r="Y548" s="12"/>
      <x:c r="Z548" s="12"/>
      <x:c r="AA548" s="12"/>
    </x:row>
    <x:row r="549">
      <x:c r="A549" s="12"/>
      <x:c r="B549" s="12"/>
      <x:c r="C549" s="12"/>
      <x:c r="D549" s="12"/>
      <x:c r="E549" s="12"/>
      <x:c r="F549" s="12"/>
      <x:c r="G549" s="17"/>
      <x:c r="H549" s="12"/>
      <x:c r="I549" s="12"/>
      <x:c r="J549" s="18"/>
      <x:c r="K549" s="12"/>
      <x:c r="L549" s="12"/>
      <x:c r="M549" s="12"/>
      <x:c r="N549" s="12"/>
      <x:c r="O549" s="12"/>
      <x:c r="P549" s="12"/>
      <x:c r="Q549" s="12"/>
      <x:c r="R549" s="12"/>
      <x:c r="S549" s="12"/>
      <x:c r="T549" s="12"/>
      <x:c r="U549" s="12"/>
      <x:c r="V549" s="12"/>
      <x:c r="W549" s="12"/>
      <x:c r="X549" s="12"/>
      <x:c r="Y549" s="12"/>
      <x:c r="Z549" s="12"/>
      <x:c r="AA549" s="12"/>
    </x:row>
    <x:row r="550">
      <x:c r="A550" s="12"/>
      <x:c r="B550" s="12"/>
      <x:c r="C550" s="12"/>
      <x:c r="D550" s="12"/>
      <x:c r="E550" s="12"/>
      <x:c r="F550" s="12"/>
      <x:c r="G550" s="17"/>
      <x:c r="H550" s="12"/>
      <x:c r="I550" s="12"/>
      <x:c r="J550" s="18"/>
      <x:c r="K550" s="12"/>
      <x:c r="L550" s="12"/>
      <x:c r="M550" s="12"/>
      <x:c r="N550" s="12"/>
      <x:c r="O550" s="12"/>
      <x:c r="P550" s="12"/>
      <x:c r="Q550" s="12"/>
      <x:c r="R550" s="12"/>
      <x:c r="S550" s="12"/>
      <x:c r="T550" s="12"/>
      <x:c r="U550" s="12"/>
      <x:c r="V550" s="12"/>
      <x:c r="W550" s="12"/>
      <x:c r="X550" s="12"/>
      <x:c r="Y550" s="12"/>
      <x:c r="Z550" s="12"/>
      <x:c r="AA550" s="12"/>
    </x:row>
    <x:row r="551">
      <x:c r="A551" s="12"/>
      <x:c r="B551" s="12"/>
      <x:c r="C551" s="12"/>
      <x:c r="D551" s="12"/>
      <x:c r="E551" s="12"/>
      <x:c r="F551" s="12"/>
      <x:c r="G551" s="17"/>
      <x:c r="H551" s="12"/>
      <x:c r="I551" s="12"/>
      <x:c r="J551" s="18"/>
      <x:c r="K551" s="12"/>
      <x:c r="L551" s="12"/>
      <x:c r="M551" s="12"/>
      <x:c r="N551" s="12"/>
      <x:c r="O551" s="12"/>
      <x:c r="P551" s="12"/>
      <x:c r="Q551" s="12"/>
      <x:c r="R551" s="12"/>
      <x:c r="S551" s="12"/>
      <x:c r="T551" s="12"/>
      <x:c r="U551" s="12"/>
      <x:c r="V551" s="12"/>
      <x:c r="W551" s="12"/>
      <x:c r="X551" s="12"/>
      <x:c r="Y551" s="12"/>
      <x:c r="Z551" s="12"/>
      <x:c r="AA551" s="12"/>
    </x:row>
    <x:row r="552">
      <x:c r="A552" s="12"/>
      <x:c r="B552" s="12"/>
      <x:c r="C552" s="12"/>
      <x:c r="D552" s="12"/>
      <x:c r="E552" s="12"/>
      <x:c r="F552" s="12"/>
      <x:c r="G552" s="17"/>
      <x:c r="H552" s="12"/>
      <x:c r="I552" s="12"/>
      <x:c r="J552" s="18"/>
      <x:c r="K552" s="12"/>
      <x:c r="L552" s="12"/>
      <x:c r="M552" s="12"/>
      <x:c r="N552" s="12"/>
      <x:c r="O552" s="12"/>
      <x:c r="P552" s="12"/>
      <x:c r="Q552" s="12"/>
      <x:c r="R552" s="12"/>
      <x:c r="S552" s="12"/>
      <x:c r="T552" s="12"/>
      <x:c r="U552" s="12"/>
      <x:c r="V552" s="12"/>
      <x:c r="W552" s="12"/>
      <x:c r="X552" s="12"/>
      <x:c r="Y552" s="12"/>
      <x:c r="Z552" s="12"/>
      <x:c r="AA552" s="12"/>
    </x:row>
    <x:row r="553">
      <x:c r="A553" s="12"/>
      <x:c r="B553" s="12"/>
      <x:c r="C553" s="12"/>
      <x:c r="D553" s="12"/>
      <x:c r="E553" s="12"/>
      <x:c r="F553" s="12"/>
      <x:c r="G553" s="17"/>
      <x:c r="H553" s="12"/>
      <x:c r="I553" s="12"/>
      <x:c r="J553" s="18"/>
      <x:c r="K553" s="12"/>
      <x:c r="L553" s="12"/>
      <x:c r="M553" s="12"/>
      <x:c r="N553" s="12"/>
      <x:c r="O553" s="12"/>
      <x:c r="P553" s="12"/>
      <x:c r="Q553" s="12"/>
      <x:c r="R553" s="12"/>
      <x:c r="S553" s="12"/>
      <x:c r="T553" s="12"/>
      <x:c r="U553" s="12"/>
      <x:c r="V553" s="12"/>
      <x:c r="W553" s="12"/>
      <x:c r="X553" s="12"/>
      <x:c r="Y553" s="12"/>
      <x:c r="Z553" s="12"/>
      <x:c r="AA553" s="12"/>
    </x:row>
    <x:row r="554">
      <x:c r="A554" s="12"/>
      <x:c r="B554" s="12"/>
      <x:c r="C554" s="12"/>
      <x:c r="D554" s="12"/>
      <x:c r="E554" s="12"/>
      <x:c r="F554" s="12"/>
      <x:c r="G554" s="17"/>
      <x:c r="H554" s="12"/>
      <x:c r="I554" s="12"/>
      <x:c r="J554" s="18"/>
      <x:c r="K554" s="12"/>
      <x:c r="L554" s="12"/>
      <x:c r="M554" s="12"/>
      <x:c r="N554" s="12"/>
      <x:c r="O554" s="12"/>
      <x:c r="P554" s="12"/>
      <x:c r="Q554" s="12"/>
      <x:c r="R554" s="12"/>
      <x:c r="S554" s="12"/>
      <x:c r="T554" s="12"/>
      <x:c r="U554" s="12"/>
      <x:c r="V554" s="12"/>
      <x:c r="W554" s="12"/>
      <x:c r="X554" s="12"/>
      <x:c r="Y554" s="12"/>
      <x:c r="Z554" s="12"/>
      <x:c r="AA554" s="12"/>
    </x:row>
    <x:row r="555">
      <x:c r="A555" s="12"/>
      <x:c r="B555" s="12"/>
      <x:c r="C555" s="12"/>
      <x:c r="D555" s="12"/>
      <x:c r="E555" s="12"/>
      <x:c r="F555" s="12"/>
      <x:c r="G555" s="17"/>
      <x:c r="H555" s="12"/>
      <x:c r="I555" s="12"/>
      <x:c r="J555" s="18"/>
      <x:c r="K555" s="12"/>
      <x:c r="L555" s="12"/>
      <x:c r="M555" s="12"/>
      <x:c r="N555" s="12"/>
      <x:c r="O555" s="12"/>
      <x:c r="P555" s="12"/>
      <x:c r="Q555" s="12"/>
      <x:c r="R555" s="12"/>
      <x:c r="S555" s="12"/>
      <x:c r="T555" s="12"/>
      <x:c r="U555" s="12"/>
      <x:c r="V555" s="12"/>
      <x:c r="W555" s="12"/>
      <x:c r="X555" s="12"/>
      <x:c r="Y555" s="12"/>
      <x:c r="Z555" s="12"/>
      <x:c r="AA555" s="12"/>
    </x:row>
    <x:row r="556">
      <x:c r="A556" s="12"/>
      <x:c r="B556" s="12"/>
      <x:c r="C556" s="12"/>
      <x:c r="D556" s="12"/>
      <x:c r="E556" s="12"/>
      <x:c r="F556" s="12"/>
      <x:c r="G556" s="17"/>
      <x:c r="H556" s="12"/>
      <x:c r="I556" s="12"/>
      <x:c r="J556" s="18"/>
      <x:c r="K556" s="12"/>
      <x:c r="L556" s="12"/>
      <x:c r="M556" s="12"/>
      <x:c r="N556" s="12"/>
      <x:c r="O556" s="12"/>
      <x:c r="P556" s="12"/>
      <x:c r="Q556" s="12"/>
      <x:c r="R556" s="12"/>
      <x:c r="S556" s="12"/>
      <x:c r="T556" s="12"/>
      <x:c r="U556" s="12"/>
      <x:c r="V556" s="12"/>
      <x:c r="W556" s="12"/>
      <x:c r="X556" s="12"/>
      <x:c r="Y556" s="12"/>
      <x:c r="Z556" s="12"/>
      <x:c r="AA556" s="12"/>
    </x:row>
    <x:row r="557">
      <x:c r="A557" s="12"/>
      <x:c r="B557" s="12"/>
      <x:c r="C557" s="12"/>
      <x:c r="D557" s="12"/>
      <x:c r="E557" s="12"/>
      <x:c r="F557" s="12"/>
      <x:c r="G557" s="17"/>
      <x:c r="H557" s="12"/>
      <x:c r="I557" s="12"/>
      <x:c r="J557" s="18"/>
      <x:c r="K557" s="12"/>
      <x:c r="L557" s="12"/>
      <x:c r="M557" s="12"/>
      <x:c r="N557" s="12"/>
      <x:c r="O557" s="12"/>
      <x:c r="P557" s="12"/>
      <x:c r="Q557" s="12"/>
      <x:c r="R557" s="12"/>
      <x:c r="S557" s="12"/>
      <x:c r="T557" s="12"/>
      <x:c r="U557" s="12"/>
      <x:c r="V557" s="12"/>
      <x:c r="W557" s="12"/>
      <x:c r="X557" s="12"/>
      <x:c r="Y557" s="12"/>
      <x:c r="Z557" s="12"/>
      <x:c r="AA557" s="12"/>
    </x:row>
    <x:row r="558">
      <x:c r="A558" s="12"/>
      <x:c r="B558" s="12"/>
      <x:c r="C558" s="12"/>
      <x:c r="D558" s="12"/>
      <x:c r="E558" s="12"/>
      <x:c r="F558" s="12"/>
      <x:c r="G558" s="17"/>
      <x:c r="H558" s="12"/>
      <x:c r="I558" s="12"/>
      <x:c r="J558" s="18"/>
      <x:c r="K558" s="12"/>
      <x:c r="L558" s="12"/>
      <x:c r="M558" s="12"/>
      <x:c r="N558" s="12"/>
      <x:c r="O558" s="12"/>
      <x:c r="P558" s="12"/>
      <x:c r="Q558" s="12"/>
      <x:c r="R558" s="12"/>
      <x:c r="S558" s="12"/>
      <x:c r="T558" s="12"/>
      <x:c r="U558" s="12"/>
      <x:c r="V558" s="12"/>
      <x:c r="W558" s="12"/>
      <x:c r="X558" s="12"/>
      <x:c r="Y558" s="12"/>
      <x:c r="Z558" s="12"/>
      <x:c r="AA558" s="12"/>
    </x:row>
    <x:row r="559">
      <x:c r="A559" s="12"/>
      <x:c r="B559" s="12"/>
      <x:c r="C559" s="12"/>
      <x:c r="D559" s="12"/>
      <x:c r="E559" s="12"/>
      <x:c r="F559" s="12"/>
      <x:c r="G559" s="17"/>
      <x:c r="H559" s="12"/>
      <x:c r="I559" s="12"/>
      <x:c r="J559" s="18"/>
      <x:c r="K559" s="12"/>
      <x:c r="L559" s="12"/>
      <x:c r="M559" s="12"/>
      <x:c r="N559" s="12"/>
      <x:c r="O559" s="12"/>
      <x:c r="P559" s="12"/>
      <x:c r="Q559" s="12"/>
      <x:c r="R559" s="12"/>
      <x:c r="S559" s="12"/>
      <x:c r="T559" s="12"/>
      <x:c r="U559" s="12"/>
      <x:c r="V559" s="12"/>
      <x:c r="W559" s="12"/>
      <x:c r="X559" s="12"/>
      <x:c r="Y559" s="12"/>
      <x:c r="Z559" s="12"/>
      <x:c r="AA559" s="12"/>
    </x:row>
    <x:row r="560">
      <x:c r="A560" s="12"/>
      <x:c r="B560" s="12"/>
      <x:c r="C560" s="12"/>
      <x:c r="D560" s="12"/>
      <x:c r="E560" s="12"/>
      <x:c r="F560" s="12"/>
      <x:c r="G560" s="17"/>
      <x:c r="H560" s="12"/>
      <x:c r="I560" s="12"/>
      <x:c r="J560" s="18"/>
      <x:c r="K560" s="12"/>
      <x:c r="L560" s="12"/>
      <x:c r="M560" s="12"/>
      <x:c r="N560" s="12"/>
      <x:c r="O560" s="12"/>
      <x:c r="P560" s="12"/>
      <x:c r="Q560" s="12"/>
      <x:c r="R560" s="12"/>
      <x:c r="S560" s="12"/>
      <x:c r="T560" s="12"/>
      <x:c r="U560" s="12"/>
      <x:c r="V560" s="12"/>
      <x:c r="W560" s="12"/>
      <x:c r="X560" s="12"/>
      <x:c r="Y560" s="12"/>
      <x:c r="Z560" s="12"/>
      <x:c r="AA560" s="12"/>
    </x:row>
    <x:row r="561">
      <x:c r="A561" s="12"/>
      <x:c r="B561" s="12"/>
      <x:c r="C561" s="12"/>
      <x:c r="D561" s="12"/>
      <x:c r="E561" s="12"/>
      <x:c r="F561" s="12"/>
      <x:c r="G561" s="17"/>
      <x:c r="H561" s="12"/>
      <x:c r="I561" s="12"/>
      <x:c r="J561" s="18"/>
      <x:c r="K561" s="12"/>
      <x:c r="L561" s="12"/>
      <x:c r="M561" s="12"/>
      <x:c r="N561" s="12"/>
      <x:c r="O561" s="12"/>
      <x:c r="P561" s="12"/>
      <x:c r="Q561" s="12"/>
      <x:c r="R561" s="12"/>
      <x:c r="S561" s="12"/>
      <x:c r="T561" s="12"/>
      <x:c r="U561" s="12"/>
      <x:c r="V561" s="12"/>
      <x:c r="W561" s="12"/>
      <x:c r="X561" s="12"/>
      <x:c r="Y561" s="12"/>
      <x:c r="Z561" s="12"/>
      <x:c r="AA561" s="12"/>
    </x:row>
    <x:row r="562">
      <x:c r="A562" s="12"/>
      <x:c r="B562" s="12"/>
      <x:c r="C562" s="12"/>
      <x:c r="D562" s="12"/>
      <x:c r="E562" s="12"/>
      <x:c r="F562" s="12"/>
      <x:c r="G562" s="17"/>
      <x:c r="H562" s="12"/>
      <x:c r="I562" s="12"/>
      <x:c r="J562" s="18"/>
      <x:c r="K562" s="12"/>
      <x:c r="L562" s="12"/>
      <x:c r="M562" s="12"/>
      <x:c r="N562" s="12"/>
      <x:c r="O562" s="12"/>
      <x:c r="P562" s="12"/>
      <x:c r="Q562" s="12"/>
      <x:c r="R562" s="12"/>
      <x:c r="S562" s="12"/>
      <x:c r="T562" s="12"/>
      <x:c r="U562" s="12"/>
      <x:c r="V562" s="12"/>
      <x:c r="W562" s="12"/>
      <x:c r="X562" s="12"/>
      <x:c r="Y562" s="12"/>
      <x:c r="Z562" s="12"/>
      <x:c r="AA562" s="12"/>
    </x:row>
    <x:row r="563">
      <x:c r="A563" s="12"/>
      <x:c r="B563" s="12"/>
      <x:c r="C563" s="12"/>
      <x:c r="D563" s="12"/>
      <x:c r="E563" s="12"/>
      <x:c r="F563" s="12"/>
      <x:c r="G563" s="17"/>
      <x:c r="H563" s="12"/>
      <x:c r="I563" s="12"/>
      <x:c r="J563" s="18"/>
      <x:c r="K563" s="12"/>
      <x:c r="L563" s="12"/>
      <x:c r="M563" s="12"/>
      <x:c r="N563" s="12"/>
      <x:c r="O563" s="12"/>
      <x:c r="P563" s="12"/>
      <x:c r="Q563" s="12"/>
      <x:c r="R563" s="12"/>
      <x:c r="S563" s="12"/>
      <x:c r="T563" s="12"/>
      <x:c r="U563" s="12"/>
      <x:c r="V563" s="12"/>
      <x:c r="W563" s="12"/>
      <x:c r="X563" s="12"/>
      <x:c r="Y563" s="12"/>
      <x:c r="Z563" s="12"/>
      <x:c r="AA563" s="12"/>
    </x:row>
    <x:row r="564">
      <x:c r="A564" s="12"/>
      <x:c r="B564" s="12"/>
      <x:c r="C564" s="12"/>
      <x:c r="D564" s="12"/>
      <x:c r="E564" s="12"/>
      <x:c r="F564" s="12"/>
      <x:c r="G564" s="17"/>
      <x:c r="H564" s="12"/>
      <x:c r="I564" s="12"/>
      <x:c r="J564" s="18"/>
      <x:c r="K564" s="12"/>
      <x:c r="L564" s="12"/>
      <x:c r="M564" s="12"/>
      <x:c r="N564" s="12"/>
      <x:c r="O564" s="12"/>
      <x:c r="P564" s="12"/>
      <x:c r="Q564" s="12"/>
      <x:c r="R564" s="12"/>
      <x:c r="S564" s="12"/>
      <x:c r="T564" s="12"/>
      <x:c r="U564" s="12"/>
      <x:c r="V564" s="12"/>
      <x:c r="W564" s="12"/>
      <x:c r="X564" s="12"/>
      <x:c r="Y564" s="12"/>
      <x:c r="Z564" s="12"/>
      <x:c r="AA564" s="12"/>
    </x:row>
    <x:row r="565">
      <x:c r="A565" s="12"/>
      <x:c r="B565" s="12"/>
      <x:c r="C565" s="12"/>
      <x:c r="D565" s="12"/>
      <x:c r="E565" s="12"/>
      <x:c r="F565" s="12"/>
      <x:c r="G565" s="17"/>
      <x:c r="H565" s="12"/>
      <x:c r="I565" s="12"/>
      <x:c r="J565" s="18"/>
      <x:c r="K565" s="12"/>
      <x:c r="L565" s="12"/>
      <x:c r="M565" s="12"/>
      <x:c r="N565" s="12"/>
      <x:c r="O565" s="12"/>
      <x:c r="P565" s="12"/>
      <x:c r="Q565" s="12"/>
      <x:c r="R565" s="12"/>
      <x:c r="S565" s="12"/>
      <x:c r="T565" s="12"/>
      <x:c r="U565" s="12"/>
      <x:c r="V565" s="12"/>
      <x:c r="W565" s="12"/>
      <x:c r="X565" s="12"/>
      <x:c r="Y565" s="12"/>
      <x:c r="Z565" s="12"/>
      <x:c r="AA565" s="12"/>
    </x:row>
    <x:row r="566">
      <x:c r="A566" s="12"/>
      <x:c r="B566" s="12"/>
      <x:c r="C566" s="12"/>
      <x:c r="D566" s="12"/>
      <x:c r="E566" s="12"/>
      <x:c r="F566" s="12"/>
      <x:c r="G566" s="17"/>
      <x:c r="H566" s="12"/>
      <x:c r="I566" s="12"/>
      <x:c r="J566" s="18"/>
      <x:c r="K566" s="12"/>
      <x:c r="L566" s="12"/>
      <x:c r="M566" s="12"/>
      <x:c r="N566" s="12"/>
      <x:c r="O566" s="12"/>
      <x:c r="P566" s="12"/>
      <x:c r="Q566" s="12"/>
      <x:c r="R566" s="12"/>
      <x:c r="S566" s="12"/>
      <x:c r="T566" s="12"/>
      <x:c r="U566" s="12"/>
      <x:c r="V566" s="12"/>
      <x:c r="W566" s="12"/>
      <x:c r="X566" s="12"/>
      <x:c r="Y566" s="12"/>
      <x:c r="Z566" s="12"/>
      <x:c r="AA566" s="12"/>
    </x:row>
    <x:row r="567">
      <x:c r="A567" s="12"/>
      <x:c r="B567" s="12"/>
      <x:c r="C567" s="12"/>
      <x:c r="D567" s="12"/>
      <x:c r="E567" s="12"/>
      <x:c r="F567" s="12"/>
      <x:c r="G567" s="17"/>
      <x:c r="H567" s="12"/>
      <x:c r="I567" s="12"/>
      <x:c r="J567" s="18"/>
      <x:c r="K567" s="12"/>
      <x:c r="L567" s="12"/>
      <x:c r="M567" s="12"/>
      <x:c r="N567" s="12"/>
      <x:c r="O567" s="12"/>
      <x:c r="P567" s="12"/>
      <x:c r="Q567" s="12"/>
      <x:c r="R567" s="12"/>
      <x:c r="S567" s="12"/>
      <x:c r="T567" s="12"/>
      <x:c r="U567" s="12"/>
      <x:c r="V567" s="12"/>
      <x:c r="W567" s="12"/>
      <x:c r="X567" s="12"/>
      <x:c r="Y567" s="12"/>
      <x:c r="Z567" s="12"/>
      <x:c r="AA567" s="12"/>
    </x:row>
    <x:row r="568">
      <x:c r="A568" s="12"/>
      <x:c r="B568" s="12"/>
      <x:c r="C568" s="12"/>
      <x:c r="D568" s="12"/>
      <x:c r="E568" s="12"/>
      <x:c r="F568" s="12"/>
      <x:c r="G568" s="17"/>
      <x:c r="H568" s="12"/>
      <x:c r="I568" s="12"/>
      <x:c r="J568" s="18"/>
      <x:c r="K568" s="12"/>
      <x:c r="L568" s="12"/>
      <x:c r="M568" s="12"/>
      <x:c r="N568" s="12"/>
      <x:c r="O568" s="12"/>
      <x:c r="P568" s="12"/>
      <x:c r="Q568" s="12"/>
      <x:c r="R568" s="12"/>
      <x:c r="S568" s="12"/>
      <x:c r="T568" s="12"/>
      <x:c r="U568" s="12"/>
      <x:c r="V568" s="12"/>
      <x:c r="W568" s="12"/>
      <x:c r="X568" s="12"/>
      <x:c r="Y568" s="12"/>
      <x:c r="Z568" s="12"/>
      <x:c r="AA568" s="12"/>
    </x:row>
    <x:row r="569">
      <x:c r="A569" s="12"/>
      <x:c r="B569" s="12"/>
      <x:c r="C569" s="12"/>
      <x:c r="D569" s="12"/>
      <x:c r="E569" s="12"/>
      <x:c r="F569" s="12"/>
      <x:c r="G569" s="17"/>
      <x:c r="H569" s="12"/>
      <x:c r="I569" s="12"/>
      <x:c r="J569" s="18"/>
      <x:c r="K569" s="12"/>
      <x:c r="L569" s="12"/>
      <x:c r="M569" s="12"/>
      <x:c r="N569" s="12"/>
      <x:c r="O569" s="12"/>
      <x:c r="P569" s="12"/>
      <x:c r="Q569" s="12"/>
      <x:c r="R569" s="12"/>
      <x:c r="S569" s="12"/>
      <x:c r="T569" s="12"/>
      <x:c r="U569" s="12"/>
      <x:c r="V569" s="12"/>
      <x:c r="W569" s="12"/>
      <x:c r="X569" s="12"/>
      <x:c r="Y569" s="12"/>
      <x:c r="Z569" s="12"/>
      <x:c r="AA569" s="12"/>
    </x:row>
    <x:row r="570">
      <x:c r="A570" s="12"/>
      <x:c r="B570" s="12"/>
      <x:c r="C570" s="12"/>
      <x:c r="D570" s="12"/>
      <x:c r="E570" s="12"/>
      <x:c r="F570" s="12"/>
      <x:c r="G570" s="17"/>
      <x:c r="H570" s="12"/>
      <x:c r="I570" s="12"/>
      <x:c r="J570" s="18"/>
      <x:c r="K570" s="12"/>
      <x:c r="L570" s="12"/>
      <x:c r="M570" s="12"/>
      <x:c r="N570" s="12"/>
      <x:c r="O570" s="12"/>
      <x:c r="P570" s="12"/>
      <x:c r="Q570" s="12"/>
      <x:c r="R570" s="12"/>
      <x:c r="S570" s="12"/>
      <x:c r="T570" s="12"/>
      <x:c r="U570" s="12"/>
      <x:c r="V570" s="12"/>
      <x:c r="W570" s="12"/>
      <x:c r="X570" s="12"/>
      <x:c r="Y570" s="12"/>
      <x:c r="Z570" s="12"/>
      <x:c r="AA570" s="12"/>
    </x:row>
    <x:row r="571">
      <x:c r="A571" s="12"/>
      <x:c r="B571" s="12"/>
      <x:c r="C571" s="12"/>
      <x:c r="D571" s="12"/>
      <x:c r="E571" s="12"/>
      <x:c r="F571" s="12"/>
      <x:c r="G571" s="17"/>
      <x:c r="H571" s="12"/>
      <x:c r="I571" s="12"/>
      <x:c r="J571" s="18"/>
      <x:c r="K571" s="12"/>
      <x:c r="L571" s="12"/>
      <x:c r="M571" s="12"/>
      <x:c r="N571" s="12"/>
      <x:c r="O571" s="12"/>
      <x:c r="P571" s="12"/>
      <x:c r="Q571" s="12"/>
      <x:c r="R571" s="12"/>
      <x:c r="S571" s="12"/>
      <x:c r="T571" s="12"/>
      <x:c r="U571" s="12"/>
      <x:c r="V571" s="12"/>
      <x:c r="W571" s="12"/>
      <x:c r="X571" s="12"/>
      <x:c r="Y571" s="12"/>
      <x:c r="Z571" s="12"/>
      <x:c r="AA571" s="12"/>
    </x:row>
    <x:row r="572">
      <x:c r="A572" s="12"/>
      <x:c r="B572" s="12"/>
      <x:c r="C572" s="12"/>
      <x:c r="D572" s="12"/>
      <x:c r="E572" s="12"/>
      <x:c r="F572" s="12"/>
      <x:c r="G572" s="17"/>
      <x:c r="H572" s="12"/>
      <x:c r="I572" s="12"/>
      <x:c r="J572" s="18"/>
      <x:c r="K572" s="12"/>
      <x:c r="L572" s="12"/>
      <x:c r="M572" s="12"/>
      <x:c r="N572" s="12"/>
      <x:c r="O572" s="12"/>
      <x:c r="P572" s="12"/>
      <x:c r="Q572" s="12"/>
      <x:c r="R572" s="12"/>
      <x:c r="S572" s="12"/>
      <x:c r="T572" s="12"/>
      <x:c r="U572" s="12"/>
      <x:c r="V572" s="12"/>
      <x:c r="W572" s="12"/>
      <x:c r="X572" s="12"/>
      <x:c r="Y572" s="12"/>
      <x:c r="Z572" s="12"/>
      <x:c r="AA572" s="12"/>
    </x:row>
    <x:row r="573">
      <x:c r="A573" s="12"/>
      <x:c r="B573" s="12"/>
      <x:c r="C573" s="12"/>
      <x:c r="D573" s="12"/>
      <x:c r="E573" s="12"/>
      <x:c r="F573" s="12"/>
      <x:c r="G573" s="17"/>
      <x:c r="H573" s="12"/>
      <x:c r="I573" s="12"/>
      <x:c r="J573" s="18"/>
      <x:c r="K573" s="12"/>
      <x:c r="L573" s="12"/>
      <x:c r="M573" s="12"/>
      <x:c r="N573" s="12"/>
      <x:c r="O573" s="12"/>
      <x:c r="P573" s="12"/>
      <x:c r="Q573" s="12"/>
      <x:c r="R573" s="12"/>
      <x:c r="S573" s="12"/>
      <x:c r="T573" s="12"/>
      <x:c r="U573" s="12"/>
      <x:c r="V573" s="12"/>
      <x:c r="W573" s="12"/>
      <x:c r="X573" s="12"/>
      <x:c r="Y573" s="12"/>
      <x:c r="Z573" s="12"/>
      <x:c r="AA573" s="12"/>
    </x:row>
    <x:row r="574">
      <x:c r="A574" s="12"/>
      <x:c r="B574" s="12"/>
      <x:c r="C574" s="12"/>
      <x:c r="D574" s="12"/>
      <x:c r="E574" s="12"/>
      <x:c r="F574" s="12"/>
      <x:c r="G574" s="17"/>
      <x:c r="H574" s="12"/>
      <x:c r="I574" s="12"/>
      <x:c r="J574" s="18"/>
      <x:c r="K574" s="12"/>
      <x:c r="L574" s="12"/>
      <x:c r="M574" s="12"/>
      <x:c r="N574" s="12"/>
      <x:c r="O574" s="12"/>
      <x:c r="P574" s="12"/>
      <x:c r="Q574" s="12"/>
      <x:c r="R574" s="12"/>
      <x:c r="S574" s="12"/>
      <x:c r="T574" s="12"/>
      <x:c r="U574" s="12"/>
      <x:c r="V574" s="12"/>
      <x:c r="W574" s="12"/>
      <x:c r="X574" s="12"/>
      <x:c r="Y574" s="12"/>
      <x:c r="Z574" s="12"/>
      <x:c r="AA574" s="12"/>
    </x:row>
    <x:row r="575">
      <x:c r="A575" s="12"/>
      <x:c r="B575" s="12"/>
      <x:c r="C575" s="12"/>
      <x:c r="D575" s="12"/>
      <x:c r="E575" s="12"/>
      <x:c r="F575" s="12"/>
      <x:c r="G575" s="17"/>
      <x:c r="H575" s="12"/>
      <x:c r="I575" s="12"/>
      <x:c r="J575" s="18"/>
      <x:c r="K575" s="12"/>
      <x:c r="L575" s="12"/>
      <x:c r="M575" s="12"/>
      <x:c r="N575" s="12"/>
      <x:c r="O575" s="12"/>
      <x:c r="P575" s="12"/>
      <x:c r="Q575" s="12"/>
      <x:c r="R575" s="12"/>
      <x:c r="S575" s="12"/>
      <x:c r="T575" s="12"/>
      <x:c r="U575" s="12"/>
      <x:c r="V575" s="12"/>
      <x:c r="W575" s="12"/>
      <x:c r="X575" s="12"/>
      <x:c r="Y575" s="12"/>
      <x:c r="Z575" s="12"/>
      <x:c r="AA575" s="12"/>
    </x:row>
    <x:row r="576">
      <x:c r="A576" s="12"/>
      <x:c r="B576" s="12"/>
      <x:c r="C576" s="12"/>
      <x:c r="D576" s="12"/>
      <x:c r="E576" s="12"/>
      <x:c r="F576" s="12"/>
      <x:c r="G576" s="17"/>
      <x:c r="H576" s="12"/>
      <x:c r="I576" s="12"/>
      <x:c r="J576" s="18"/>
      <x:c r="K576" s="12"/>
      <x:c r="L576" s="12"/>
      <x:c r="M576" s="12"/>
      <x:c r="N576" s="12"/>
      <x:c r="O576" s="12"/>
      <x:c r="P576" s="12"/>
      <x:c r="Q576" s="12"/>
      <x:c r="R576" s="12"/>
      <x:c r="S576" s="12"/>
      <x:c r="T576" s="12"/>
      <x:c r="U576" s="12"/>
      <x:c r="V576" s="12"/>
      <x:c r="W576" s="12"/>
      <x:c r="X576" s="12"/>
      <x:c r="Y576" s="12"/>
      <x:c r="Z576" s="12"/>
      <x:c r="AA576" s="12"/>
    </x:row>
    <x:row r="577">
      <x:c r="A577" s="12"/>
      <x:c r="B577" s="12"/>
      <x:c r="C577" s="12"/>
      <x:c r="D577" s="12"/>
      <x:c r="E577" s="12"/>
      <x:c r="F577" s="12"/>
      <x:c r="G577" s="17"/>
      <x:c r="H577" s="12"/>
      <x:c r="I577" s="12"/>
      <x:c r="J577" s="18"/>
      <x:c r="K577" s="12"/>
      <x:c r="L577" s="12"/>
      <x:c r="M577" s="12"/>
      <x:c r="N577" s="12"/>
      <x:c r="O577" s="12"/>
      <x:c r="P577" s="12"/>
      <x:c r="Q577" s="12"/>
      <x:c r="R577" s="12"/>
      <x:c r="S577" s="12"/>
      <x:c r="T577" s="12"/>
      <x:c r="U577" s="12"/>
      <x:c r="V577" s="12"/>
      <x:c r="W577" s="12"/>
      <x:c r="X577" s="12"/>
      <x:c r="Y577" s="12"/>
      <x:c r="Z577" s="12"/>
      <x:c r="AA577" s="12"/>
    </x:row>
    <x:row r="578">
      <x:c r="A578" s="12"/>
      <x:c r="B578" s="12"/>
      <x:c r="C578" s="12"/>
      <x:c r="D578" s="12"/>
      <x:c r="E578" s="12"/>
      <x:c r="F578" s="12"/>
      <x:c r="G578" s="17"/>
      <x:c r="H578" s="12"/>
      <x:c r="I578" s="12"/>
      <x:c r="J578" s="18"/>
      <x:c r="K578" s="12"/>
      <x:c r="L578" s="12"/>
      <x:c r="M578" s="12"/>
      <x:c r="N578" s="12"/>
      <x:c r="O578" s="12"/>
      <x:c r="P578" s="12"/>
      <x:c r="Q578" s="12"/>
      <x:c r="R578" s="12"/>
      <x:c r="S578" s="12"/>
      <x:c r="T578" s="12"/>
      <x:c r="U578" s="12"/>
      <x:c r="V578" s="12"/>
      <x:c r="W578" s="12"/>
      <x:c r="X578" s="12"/>
      <x:c r="Y578" s="12"/>
      <x:c r="Z578" s="12"/>
      <x:c r="AA578" s="12"/>
    </x:row>
    <x:row r="579">
      <x:c r="A579" s="12"/>
      <x:c r="B579" s="12"/>
      <x:c r="C579" s="12"/>
      <x:c r="D579" s="12"/>
      <x:c r="E579" s="12"/>
      <x:c r="F579" s="12"/>
      <x:c r="G579" s="17"/>
      <x:c r="H579" s="12"/>
      <x:c r="I579" s="12"/>
      <x:c r="J579" s="18"/>
      <x:c r="K579" s="12"/>
      <x:c r="L579" s="12"/>
      <x:c r="M579" s="12"/>
      <x:c r="N579" s="12"/>
      <x:c r="O579" s="12"/>
      <x:c r="P579" s="12"/>
      <x:c r="Q579" s="12"/>
      <x:c r="R579" s="12"/>
      <x:c r="S579" s="12"/>
      <x:c r="T579" s="12"/>
      <x:c r="U579" s="12"/>
      <x:c r="V579" s="12"/>
      <x:c r="W579" s="12"/>
      <x:c r="X579" s="12"/>
      <x:c r="Y579" s="12"/>
      <x:c r="Z579" s="12"/>
      <x:c r="AA579" s="12"/>
    </x:row>
    <x:row r="580">
      <x:c r="A580" s="12"/>
      <x:c r="B580" s="12"/>
      <x:c r="C580" s="12"/>
      <x:c r="D580" s="12"/>
      <x:c r="E580" s="12"/>
      <x:c r="F580" s="12"/>
      <x:c r="G580" s="17"/>
      <x:c r="H580" s="12"/>
      <x:c r="I580" s="12"/>
      <x:c r="J580" s="18"/>
      <x:c r="K580" s="12"/>
      <x:c r="L580" s="12"/>
      <x:c r="M580" s="12"/>
      <x:c r="N580" s="12"/>
      <x:c r="O580" s="12"/>
      <x:c r="P580" s="12"/>
      <x:c r="Q580" s="12"/>
      <x:c r="R580" s="12"/>
      <x:c r="S580" s="12"/>
      <x:c r="T580" s="12"/>
      <x:c r="U580" s="12"/>
      <x:c r="V580" s="12"/>
      <x:c r="W580" s="12"/>
      <x:c r="X580" s="12"/>
      <x:c r="Y580" s="12"/>
      <x:c r="Z580" s="12"/>
      <x:c r="AA580" s="12"/>
    </x:row>
    <x:row r="581">
      <x:c r="A581" s="12"/>
      <x:c r="B581" s="12"/>
      <x:c r="C581" s="12"/>
      <x:c r="D581" s="12"/>
      <x:c r="E581" s="12"/>
      <x:c r="F581" s="12"/>
      <x:c r="G581" s="17"/>
      <x:c r="H581" s="12"/>
      <x:c r="I581" s="12"/>
      <x:c r="J581" s="18"/>
      <x:c r="K581" s="12"/>
      <x:c r="L581" s="12"/>
      <x:c r="M581" s="12"/>
      <x:c r="N581" s="12"/>
      <x:c r="O581" s="12"/>
      <x:c r="P581" s="12"/>
      <x:c r="Q581" s="12"/>
      <x:c r="R581" s="12"/>
      <x:c r="S581" s="12"/>
      <x:c r="T581" s="12"/>
      <x:c r="U581" s="12"/>
      <x:c r="V581" s="12"/>
      <x:c r="W581" s="12"/>
      <x:c r="X581" s="12"/>
      <x:c r="Y581" s="12"/>
      <x:c r="Z581" s="12"/>
      <x:c r="AA581" s="12"/>
    </x:row>
    <x:row r="582">
      <x:c r="A582" s="12"/>
      <x:c r="B582" s="12"/>
      <x:c r="C582" s="12"/>
      <x:c r="D582" s="12"/>
      <x:c r="E582" s="12"/>
      <x:c r="F582" s="12"/>
      <x:c r="G582" s="17"/>
      <x:c r="H582" s="12"/>
      <x:c r="I582" s="12"/>
      <x:c r="J582" s="18"/>
      <x:c r="K582" s="12"/>
      <x:c r="L582" s="12"/>
      <x:c r="M582" s="12"/>
      <x:c r="N582" s="12"/>
      <x:c r="O582" s="12"/>
      <x:c r="P582" s="12"/>
      <x:c r="Q582" s="12"/>
      <x:c r="R582" s="12"/>
      <x:c r="S582" s="12"/>
      <x:c r="T582" s="12"/>
      <x:c r="U582" s="12"/>
      <x:c r="V582" s="12"/>
      <x:c r="W582" s="12"/>
      <x:c r="X582" s="12"/>
      <x:c r="Y582" s="12"/>
      <x:c r="Z582" s="12"/>
      <x:c r="AA582" s="12"/>
    </x:row>
    <x:row r="583">
      <x:c r="A583" s="12"/>
      <x:c r="B583" s="12"/>
      <x:c r="C583" s="12"/>
      <x:c r="D583" s="12"/>
      <x:c r="E583" s="12"/>
      <x:c r="F583" s="12"/>
      <x:c r="G583" s="17"/>
      <x:c r="H583" s="12"/>
      <x:c r="I583" s="12"/>
      <x:c r="J583" s="18"/>
      <x:c r="K583" s="12"/>
      <x:c r="L583" s="12"/>
      <x:c r="M583" s="12"/>
      <x:c r="N583" s="12"/>
      <x:c r="O583" s="12"/>
      <x:c r="P583" s="12"/>
      <x:c r="Q583" s="12"/>
      <x:c r="R583" s="12"/>
      <x:c r="S583" s="12"/>
      <x:c r="T583" s="12"/>
      <x:c r="U583" s="12"/>
      <x:c r="V583" s="12"/>
      <x:c r="W583" s="12"/>
      <x:c r="X583" s="12"/>
      <x:c r="Y583" s="12"/>
      <x:c r="Z583" s="12"/>
      <x:c r="AA583" s="12"/>
    </x:row>
    <x:row r="584">
      <x:c r="A584" s="12"/>
      <x:c r="B584" s="12"/>
      <x:c r="C584" s="12"/>
      <x:c r="D584" s="12"/>
      <x:c r="E584" s="12"/>
      <x:c r="F584" s="12"/>
      <x:c r="G584" s="17"/>
      <x:c r="H584" s="12"/>
      <x:c r="I584" s="12"/>
      <x:c r="J584" s="18"/>
      <x:c r="K584" s="12"/>
      <x:c r="L584" s="12"/>
      <x:c r="M584" s="12"/>
      <x:c r="N584" s="12"/>
      <x:c r="O584" s="12"/>
      <x:c r="P584" s="12"/>
      <x:c r="Q584" s="12"/>
      <x:c r="R584" s="12"/>
      <x:c r="S584" s="12"/>
      <x:c r="T584" s="12"/>
      <x:c r="U584" s="12"/>
      <x:c r="V584" s="12"/>
      <x:c r="W584" s="12"/>
      <x:c r="X584" s="12"/>
      <x:c r="Y584" s="12"/>
      <x:c r="Z584" s="12"/>
      <x:c r="AA584" s="12"/>
    </x:row>
    <x:row r="585">
      <x:c r="A585" s="12"/>
      <x:c r="B585" s="12"/>
      <x:c r="C585" s="12"/>
      <x:c r="D585" s="12"/>
      <x:c r="E585" s="12"/>
      <x:c r="F585" s="12"/>
      <x:c r="G585" s="17"/>
      <x:c r="H585" s="12"/>
      <x:c r="I585" s="12"/>
      <x:c r="J585" s="18"/>
      <x:c r="K585" s="12"/>
      <x:c r="L585" s="12"/>
      <x:c r="M585" s="12"/>
      <x:c r="N585" s="12"/>
      <x:c r="O585" s="12"/>
      <x:c r="P585" s="12"/>
      <x:c r="Q585" s="12"/>
      <x:c r="R585" s="12"/>
      <x:c r="S585" s="12"/>
      <x:c r="T585" s="12"/>
      <x:c r="U585" s="12"/>
      <x:c r="V585" s="12"/>
      <x:c r="W585" s="12"/>
      <x:c r="X585" s="12"/>
      <x:c r="Y585" s="12"/>
      <x:c r="Z585" s="12"/>
      <x:c r="AA585" s="12"/>
    </x:row>
    <x:row r="586">
      <x:c r="A586" s="12"/>
      <x:c r="B586" s="12"/>
      <x:c r="C586" s="12"/>
      <x:c r="D586" s="12"/>
      <x:c r="E586" s="12"/>
      <x:c r="F586" s="12"/>
      <x:c r="G586" s="17"/>
      <x:c r="H586" s="12"/>
      <x:c r="I586" s="12"/>
      <x:c r="J586" s="18"/>
      <x:c r="K586" s="12"/>
      <x:c r="L586" s="12"/>
      <x:c r="M586" s="12"/>
      <x:c r="N586" s="12"/>
      <x:c r="O586" s="12"/>
      <x:c r="P586" s="12"/>
      <x:c r="Q586" s="12"/>
      <x:c r="R586" s="12"/>
      <x:c r="S586" s="12"/>
      <x:c r="T586" s="12"/>
      <x:c r="U586" s="12"/>
      <x:c r="V586" s="12"/>
      <x:c r="W586" s="12"/>
      <x:c r="X586" s="12"/>
      <x:c r="Y586" s="12"/>
      <x:c r="Z586" s="12"/>
      <x:c r="AA586" s="12"/>
    </x:row>
    <x:row r="587">
      <x:c r="A587" s="12"/>
      <x:c r="B587" s="12"/>
      <x:c r="C587" s="12"/>
      <x:c r="D587" s="12"/>
      <x:c r="E587" s="12"/>
      <x:c r="F587" s="12"/>
      <x:c r="G587" s="17"/>
      <x:c r="H587" s="12"/>
      <x:c r="I587" s="12"/>
      <x:c r="J587" s="18"/>
      <x:c r="K587" s="12"/>
      <x:c r="L587" s="12"/>
      <x:c r="M587" s="12"/>
      <x:c r="N587" s="12"/>
      <x:c r="O587" s="12"/>
      <x:c r="P587" s="12"/>
      <x:c r="Q587" s="12"/>
      <x:c r="R587" s="12"/>
      <x:c r="S587" s="12"/>
      <x:c r="T587" s="12"/>
      <x:c r="U587" s="12"/>
      <x:c r="V587" s="12"/>
      <x:c r="W587" s="12"/>
      <x:c r="X587" s="12"/>
      <x:c r="Y587" s="12"/>
      <x:c r="Z587" s="12"/>
      <x:c r="AA587" s="12"/>
    </x:row>
    <x:row r="588">
      <x:c r="A588" s="12"/>
      <x:c r="B588" s="12"/>
      <x:c r="C588" s="12"/>
      <x:c r="D588" s="12"/>
      <x:c r="E588" s="12"/>
      <x:c r="F588" s="12"/>
      <x:c r="G588" s="17"/>
      <x:c r="H588" s="12"/>
      <x:c r="I588" s="12"/>
      <x:c r="J588" s="18"/>
      <x:c r="K588" s="12"/>
      <x:c r="L588" s="12"/>
      <x:c r="M588" s="12"/>
      <x:c r="N588" s="12"/>
      <x:c r="O588" s="12"/>
      <x:c r="P588" s="12"/>
      <x:c r="Q588" s="12"/>
      <x:c r="R588" s="12"/>
      <x:c r="S588" s="12"/>
      <x:c r="T588" s="12"/>
      <x:c r="U588" s="12"/>
      <x:c r="V588" s="12"/>
      <x:c r="W588" s="12"/>
      <x:c r="X588" s="12"/>
      <x:c r="Y588" s="12"/>
      <x:c r="Z588" s="12"/>
      <x:c r="AA588" s="12"/>
    </x:row>
    <x:row r="589">
      <x:c r="A589" s="12"/>
      <x:c r="B589" s="12"/>
      <x:c r="C589" s="12"/>
      <x:c r="D589" s="12"/>
      <x:c r="E589" s="12"/>
      <x:c r="F589" s="12"/>
      <x:c r="G589" s="17"/>
      <x:c r="H589" s="12"/>
      <x:c r="I589" s="12"/>
      <x:c r="J589" s="18"/>
      <x:c r="K589" s="12"/>
      <x:c r="L589" s="12"/>
      <x:c r="M589" s="12"/>
      <x:c r="N589" s="12"/>
      <x:c r="O589" s="12"/>
      <x:c r="P589" s="12"/>
      <x:c r="Q589" s="12"/>
      <x:c r="R589" s="12"/>
      <x:c r="S589" s="12"/>
      <x:c r="T589" s="12"/>
      <x:c r="U589" s="12"/>
      <x:c r="V589" s="12"/>
      <x:c r="W589" s="12"/>
      <x:c r="X589" s="12"/>
      <x:c r="Y589" s="12"/>
      <x:c r="Z589" s="12"/>
      <x:c r="AA589" s="12"/>
    </x:row>
    <x:row r="590">
      <x:c r="A590" s="12"/>
      <x:c r="B590" s="12"/>
      <x:c r="C590" s="12"/>
      <x:c r="D590" s="12"/>
      <x:c r="E590" s="12"/>
      <x:c r="F590" s="12"/>
      <x:c r="G590" s="17"/>
      <x:c r="H590" s="12"/>
      <x:c r="I590" s="12"/>
      <x:c r="J590" s="18"/>
      <x:c r="K590" s="12"/>
      <x:c r="L590" s="12"/>
      <x:c r="M590" s="12"/>
      <x:c r="N590" s="12"/>
      <x:c r="O590" s="12"/>
      <x:c r="P590" s="12"/>
      <x:c r="Q590" s="12"/>
      <x:c r="R590" s="12"/>
      <x:c r="S590" s="12"/>
      <x:c r="T590" s="12"/>
      <x:c r="U590" s="12"/>
      <x:c r="V590" s="12"/>
      <x:c r="W590" s="12"/>
      <x:c r="X590" s="12"/>
      <x:c r="Y590" s="12"/>
      <x:c r="Z590" s="12"/>
      <x:c r="AA590" s="12"/>
    </x:row>
    <x:row r="591">
      <x:c r="A591" s="12"/>
      <x:c r="B591" s="12"/>
      <x:c r="C591" s="12"/>
      <x:c r="D591" s="12"/>
      <x:c r="E591" s="12"/>
      <x:c r="F591" s="12"/>
      <x:c r="G591" s="17"/>
      <x:c r="H591" s="12"/>
      <x:c r="I591" s="12"/>
      <x:c r="J591" s="18"/>
      <x:c r="K591" s="12"/>
      <x:c r="L591" s="12"/>
      <x:c r="M591" s="12"/>
      <x:c r="N591" s="12"/>
      <x:c r="O591" s="12"/>
      <x:c r="P591" s="12"/>
      <x:c r="Q591" s="12"/>
      <x:c r="R591" s="12"/>
      <x:c r="S591" s="12"/>
      <x:c r="T591" s="12"/>
      <x:c r="U591" s="12"/>
      <x:c r="V591" s="12"/>
      <x:c r="W591" s="12"/>
      <x:c r="X591" s="12"/>
      <x:c r="Y591" s="12"/>
      <x:c r="Z591" s="12"/>
      <x:c r="AA591" s="12"/>
    </x:row>
    <x:row r="592">
      <x:c r="A592" s="12"/>
      <x:c r="B592" s="12"/>
      <x:c r="C592" s="12"/>
      <x:c r="D592" s="12"/>
      <x:c r="E592" s="12"/>
      <x:c r="F592" s="12"/>
      <x:c r="G592" s="17"/>
      <x:c r="H592" s="12"/>
      <x:c r="I592" s="12"/>
      <x:c r="J592" s="18"/>
      <x:c r="K592" s="12"/>
      <x:c r="L592" s="12"/>
      <x:c r="M592" s="12"/>
      <x:c r="N592" s="12"/>
      <x:c r="O592" s="12"/>
      <x:c r="P592" s="12"/>
      <x:c r="Q592" s="12"/>
      <x:c r="R592" s="12"/>
      <x:c r="S592" s="12"/>
      <x:c r="T592" s="12"/>
      <x:c r="U592" s="12"/>
      <x:c r="V592" s="12"/>
      <x:c r="W592" s="12"/>
      <x:c r="X592" s="12"/>
      <x:c r="Y592" s="12"/>
      <x:c r="Z592" s="12"/>
      <x:c r="AA592" s="12"/>
    </x:row>
    <x:row r="593">
      <x:c r="A593" s="12"/>
      <x:c r="B593" s="12"/>
      <x:c r="C593" s="12"/>
      <x:c r="D593" s="12"/>
      <x:c r="E593" s="12"/>
      <x:c r="F593" s="12"/>
      <x:c r="G593" s="17"/>
      <x:c r="H593" s="12"/>
      <x:c r="I593" s="12"/>
      <x:c r="J593" s="18"/>
      <x:c r="K593" s="12"/>
      <x:c r="L593" s="12"/>
      <x:c r="M593" s="12"/>
      <x:c r="N593" s="12"/>
      <x:c r="O593" s="12"/>
      <x:c r="P593" s="12"/>
      <x:c r="Q593" s="12"/>
      <x:c r="R593" s="12"/>
      <x:c r="S593" s="12"/>
      <x:c r="T593" s="12"/>
      <x:c r="U593" s="12"/>
      <x:c r="V593" s="12"/>
      <x:c r="W593" s="12"/>
      <x:c r="X593" s="12"/>
      <x:c r="Y593" s="12"/>
      <x:c r="Z593" s="12"/>
      <x:c r="AA593" s="12"/>
    </x:row>
    <x:row r="594">
      <x:c r="A594" s="12"/>
      <x:c r="B594" s="12"/>
      <x:c r="C594" s="12"/>
      <x:c r="D594" s="12"/>
      <x:c r="E594" s="12"/>
      <x:c r="F594" s="12"/>
      <x:c r="G594" s="17"/>
      <x:c r="H594" s="12"/>
      <x:c r="I594" s="12"/>
      <x:c r="J594" s="18"/>
      <x:c r="K594" s="12"/>
      <x:c r="L594" s="12"/>
      <x:c r="M594" s="12"/>
      <x:c r="N594" s="12"/>
      <x:c r="O594" s="12"/>
      <x:c r="P594" s="12"/>
      <x:c r="Q594" s="12"/>
      <x:c r="R594" s="12"/>
      <x:c r="S594" s="12"/>
      <x:c r="T594" s="12"/>
      <x:c r="U594" s="12"/>
      <x:c r="V594" s="12"/>
      <x:c r="W594" s="12"/>
      <x:c r="X594" s="12"/>
      <x:c r="Y594" s="12"/>
      <x:c r="Z594" s="12"/>
      <x:c r="AA594" s="12"/>
    </x:row>
    <x:row r="595">
      <x:c r="A595" s="12"/>
      <x:c r="B595" s="12"/>
      <x:c r="C595" s="12"/>
      <x:c r="D595" s="12"/>
      <x:c r="E595" s="12"/>
      <x:c r="F595" s="12"/>
      <x:c r="G595" s="17"/>
      <x:c r="H595" s="12"/>
      <x:c r="I595" s="12"/>
      <x:c r="J595" s="18"/>
      <x:c r="K595" s="12"/>
      <x:c r="L595" s="12"/>
      <x:c r="M595" s="12"/>
      <x:c r="N595" s="12"/>
      <x:c r="O595" s="12"/>
      <x:c r="P595" s="12"/>
      <x:c r="Q595" s="12"/>
      <x:c r="R595" s="12"/>
      <x:c r="S595" s="12"/>
      <x:c r="T595" s="12"/>
      <x:c r="U595" s="12"/>
      <x:c r="V595" s="12"/>
      <x:c r="W595" s="12"/>
      <x:c r="X595" s="12"/>
      <x:c r="Y595" s="12"/>
      <x:c r="Z595" s="12"/>
      <x:c r="AA595" s="12"/>
    </x:row>
    <x:row r="596">
      <x:c r="A596" s="12"/>
      <x:c r="B596" s="12"/>
      <x:c r="C596" s="12"/>
      <x:c r="D596" s="12"/>
      <x:c r="E596" s="12"/>
      <x:c r="F596" s="12"/>
      <x:c r="G596" s="17"/>
      <x:c r="H596" s="12"/>
      <x:c r="I596" s="12"/>
      <x:c r="J596" s="18"/>
      <x:c r="K596" s="12"/>
      <x:c r="L596" s="12"/>
      <x:c r="M596" s="12"/>
      <x:c r="N596" s="12"/>
      <x:c r="O596" s="12"/>
      <x:c r="P596" s="12"/>
      <x:c r="Q596" s="12"/>
      <x:c r="R596" s="12"/>
      <x:c r="S596" s="12"/>
      <x:c r="T596" s="12"/>
      <x:c r="U596" s="12"/>
      <x:c r="V596" s="12"/>
      <x:c r="W596" s="12"/>
      <x:c r="X596" s="12"/>
      <x:c r="Y596" s="12"/>
      <x:c r="Z596" s="12"/>
      <x:c r="AA596" s="12"/>
    </x:row>
    <x:row r="597">
      <x:c r="A597" s="12"/>
      <x:c r="B597" s="12"/>
      <x:c r="C597" s="12"/>
      <x:c r="D597" s="12"/>
      <x:c r="E597" s="12"/>
      <x:c r="F597" s="12"/>
      <x:c r="G597" s="17"/>
      <x:c r="H597" s="12"/>
      <x:c r="I597" s="12"/>
      <x:c r="J597" s="18"/>
      <x:c r="K597" s="12"/>
      <x:c r="L597" s="12"/>
      <x:c r="M597" s="12"/>
      <x:c r="N597" s="12"/>
      <x:c r="O597" s="12"/>
      <x:c r="P597" s="12"/>
      <x:c r="Q597" s="12"/>
      <x:c r="R597" s="12"/>
      <x:c r="S597" s="12"/>
      <x:c r="T597" s="12"/>
      <x:c r="U597" s="12"/>
      <x:c r="V597" s="12"/>
      <x:c r="W597" s="12"/>
      <x:c r="X597" s="12"/>
      <x:c r="Y597" s="12"/>
      <x:c r="Z597" s="12"/>
      <x:c r="AA597" s="12"/>
    </x:row>
    <x:row r="598">
      <x:c r="A598" s="12"/>
      <x:c r="B598" s="12"/>
      <x:c r="C598" s="12"/>
      <x:c r="D598" s="12"/>
      <x:c r="E598" s="12"/>
      <x:c r="F598" s="12"/>
      <x:c r="G598" s="17"/>
      <x:c r="H598" s="12"/>
      <x:c r="I598" s="12"/>
      <x:c r="J598" s="18"/>
      <x:c r="K598" s="12"/>
      <x:c r="L598" s="12"/>
      <x:c r="M598" s="12"/>
      <x:c r="N598" s="12"/>
      <x:c r="O598" s="12"/>
      <x:c r="P598" s="12"/>
      <x:c r="Q598" s="12"/>
      <x:c r="R598" s="12"/>
      <x:c r="S598" s="12"/>
      <x:c r="T598" s="12"/>
      <x:c r="U598" s="12"/>
      <x:c r="V598" s="12"/>
      <x:c r="W598" s="12"/>
      <x:c r="X598" s="12"/>
      <x:c r="Y598" s="12"/>
      <x:c r="Z598" s="12"/>
      <x:c r="AA598" s="12"/>
    </x:row>
    <x:row r="599">
      <x:c r="A599" s="12"/>
      <x:c r="B599" s="12"/>
      <x:c r="C599" s="12"/>
      <x:c r="D599" s="12"/>
      <x:c r="E599" s="12"/>
      <x:c r="F599" s="12"/>
      <x:c r="G599" s="17"/>
      <x:c r="H599" s="12"/>
      <x:c r="I599" s="12"/>
      <x:c r="J599" s="18"/>
      <x:c r="K599" s="12"/>
      <x:c r="L599" s="12"/>
      <x:c r="M599" s="12"/>
      <x:c r="N599" s="12"/>
      <x:c r="O599" s="12"/>
      <x:c r="P599" s="12"/>
      <x:c r="Q599" s="12"/>
      <x:c r="R599" s="12"/>
      <x:c r="S599" s="12"/>
      <x:c r="T599" s="12"/>
      <x:c r="U599" s="12"/>
      <x:c r="V599" s="12"/>
      <x:c r="W599" s="12"/>
      <x:c r="X599" s="12"/>
      <x:c r="Y599" s="12"/>
      <x:c r="Z599" s="12"/>
      <x:c r="AA599" s="12"/>
    </x:row>
    <x:row r="600">
      <x:c r="A600" s="12"/>
      <x:c r="B600" s="12"/>
      <x:c r="C600" s="12"/>
      <x:c r="D600" s="12"/>
      <x:c r="E600" s="12"/>
      <x:c r="F600" s="12"/>
      <x:c r="G600" s="17"/>
      <x:c r="H600" s="12"/>
      <x:c r="I600" s="12"/>
      <x:c r="J600" s="18"/>
      <x:c r="K600" s="12"/>
      <x:c r="L600" s="12"/>
      <x:c r="M600" s="12"/>
      <x:c r="N600" s="12"/>
      <x:c r="O600" s="12"/>
      <x:c r="P600" s="12"/>
      <x:c r="Q600" s="12"/>
      <x:c r="R600" s="12"/>
      <x:c r="S600" s="12"/>
      <x:c r="T600" s="12"/>
      <x:c r="U600" s="12"/>
      <x:c r="V600" s="12"/>
      <x:c r="W600" s="12"/>
      <x:c r="X600" s="12"/>
      <x:c r="Y600" s="12"/>
      <x:c r="Z600" s="12"/>
      <x:c r="AA600" s="12"/>
    </x:row>
    <x:row r="601">
      <x:c r="A601" s="12"/>
      <x:c r="B601" s="12"/>
      <x:c r="C601" s="12"/>
      <x:c r="D601" s="12"/>
      <x:c r="E601" s="12"/>
      <x:c r="F601" s="12"/>
      <x:c r="G601" s="17"/>
      <x:c r="H601" s="12"/>
      <x:c r="I601" s="12"/>
      <x:c r="J601" s="18"/>
      <x:c r="K601" s="12"/>
      <x:c r="L601" s="12"/>
      <x:c r="M601" s="12"/>
      <x:c r="N601" s="12"/>
      <x:c r="O601" s="12"/>
      <x:c r="P601" s="12"/>
      <x:c r="Q601" s="12"/>
      <x:c r="R601" s="12"/>
      <x:c r="S601" s="12"/>
      <x:c r="T601" s="12"/>
      <x:c r="U601" s="12"/>
      <x:c r="V601" s="12"/>
      <x:c r="W601" s="12"/>
      <x:c r="X601" s="12"/>
      <x:c r="Y601" s="12"/>
      <x:c r="Z601" s="12"/>
      <x:c r="AA601" s="12"/>
    </x:row>
    <x:row r="602">
      <x:c r="A602" s="12"/>
      <x:c r="B602" s="12"/>
      <x:c r="C602" s="12"/>
      <x:c r="D602" s="12"/>
      <x:c r="E602" s="12"/>
      <x:c r="F602" s="12"/>
      <x:c r="G602" s="17"/>
      <x:c r="H602" s="12"/>
      <x:c r="I602" s="12"/>
      <x:c r="J602" s="18"/>
      <x:c r="K602" s="12"/>
      <x:c r="L602" s="12"/>
      <x:c r="M602" s="12"/>
      <x:c r="N602" s="12"/>
      <x:c r="O602" s="12"/>
      <x:c r="P602" s="12"/>
      <x:c r="Q602" s="12"/>
      <x:c r="R602" s="12"/>
      <x:c r="S602" s="12"/>
      <x:c r="T602" s="12"/>
      <x:c r="U602" s="12"/>
      <x:c r="V602" s="12"/>
      <x:c r="W602" s="12"/>
      <x:c r="X602" s="12"/>
      <x:c r="Y602" s="12"/>
      <x:c r="Z602" s="12"/>
      <x:c r="AA602" s="12"/>
    </x:row>
    <x:row r="603">
      <x:c r="A603" s="12"/>
      <x:c r="B603" s="12"/>
      <x:c r="C603" s="12"/>
      <x:c r="D603" s="12"/>
      <x:c r="E603" s="12"/>
      <x:c r="F603" s="12"/>
      <x:c r="G603" s="17"/>
      <x:c r="H603" s="12"/>
      <x:c r="I603" s="12"/>
      <x:c r="J603" s="18"/>
      <x:c r="K603" s="12"/>
      <x:c r="L603" s="12"/>
      <x:c r="M603" s="12"/>
      <x:c r="N603" s="12"/>
      <x:c r="O603" s="12"/>
      <x:c r="P603" s="12"/>
      <x:c r="Q603" s="12"/>
      <x:c r="R603" s="12"/>
      <x:c r="S603" s="12"/>
      <x:c r="T603" s="12"/>
      <x:c r="U603" s="12"/>
      <x:c r="V603" s="12"/>
      <x:c r="W603" s="12"/>
      <x:c r="X603" s="12"/>
      <x:c r="Y603" s="12"/>
      <x:c r="Z603" s="12"/>
      <x:c r="AA603" s="12"/>
    </x:row>
    <x:row r="604">
      <x:c r="A604" s="12"/>
      <x:c r="B604" s="12"/>
      <x:c r="C604" s="12"/>
      <x:c r="D604" s="12"/>
      <x:c r="E604" s="12"/>
      <x:c r="F604" s="12"/>
      <x:c r="G604" s="17"/>
      <x:c r="H604" s="12"/>
      <x:c r="I604" s="12"/>
      <x:c r="J604" s="18"/>
      <x:c r="K604" s="12"/>
      <x:c r="L604" s="12"/>
      <x:c r="M604" s="12"/>
      <x:c r="N604" s="12"/>
      <x:c r="O604" s="12"/>
      <x:c r="P604" s="12"/>
      <x:c r="Q604" s="12"/>
      <x:c r="R604" s="12"/>
      <x:c r="S604" s="12"/>
      <x:c r="T604" s="12"/>
      <x:c r="U604" s="12"/>
      <x:c r="V604" s="12"/>
      <x:c r="W604" s="12"/>
      <x:c r="X604" s="12"/>
      <x:c r="Y604" s="12"/>
      <x:c r="Z604" s="12"/>
      <x:c r="AA604" s="12"/>
    </x:row>
    <x:row r="605">
      <x:c r="A605" s="12"/>
      <x:c r="B605" s="12"/>
      <x:c r="C605" s="12"/>
      <x:c r="D605" s="12"/>
      <x:c r="E605" s="12"/>
      <x:c r="F605" s="12"/>
      <x:c r="G605" s="17"/>
      <x:c r="H605" s="12"/>
      <x:c r="I605" s="12"/>
      <x:c r="J605" s="18"/>
      <x:c r="K605" s="12"/>
      <x:c r="L605" s="12"/>
      <x:c r="M605" s="12"/>
      <x:c r="N605" s="12"/>
      <x:c r="O605" s="12"/>
      <x:c r="P605" s="12"/>
      <x:c r="Q605" s="12"/>
      <x:c r="R605" s="12"/>
      <x:c r="S605" s="12"/>
      <x:c r="T605" s="12"/>
      <x:c r="U605" s="12"/>
      <x:c r="V605" s="12"/>
      <x:c r="W605" s="12"/>
      <x:c r="X605" s="12"/>
      <x:c r="Y605" s="12"/>
      <x:c r="Z605" s="12"/>
      <x:c r="AA605" s="12"/>
    </x:row>
    <x:row r="606">
      <x:c r="A606" s="12"/>
      <x:c r="B606" s="12"/>
      <x:c r="C606" s="12"/>
      <x:c r="D606" s="12"/>
      <x:c r="E606" s="12"/>
      <x:c r="F606" s="12"/>
      <x:c r="G606" s="17"/>
      <x:c r="H606" s="12"/>
      <x:c r="I606" s="12"/>
      <x:c r="J606" s="18"/>
      <x:c r="K606" s="12"/>
      <x:c r="L606" s="12"/>
      <x:c r="M606" s="12"/>
      <x:c r="N606" s="12"/>
      <x:c r="O606" s="12"/>
      <x:c r="P606" s="12"/>
      <x:c r="Q606" s="12"/>
      <x:c r="R606" s="12"/>
      <x:c r="S606" s="12"/>
      <x:c r="T606" s="12"/>
      <x:c r="U606" s="12"/>
      <x:c r="V606" s="12"/>
      <x:c r="W606" s="12"/>
      <x:c r="X606" s="12"/>
      <x:c r="Y606" s="12"/>
      <x:c r="Z606" s="12"/>
      <x:c r="AA606" s="12"/>
    </x:row>
    <x:row r="607">
      <x:c r="A607" s="12"/>
      <x:c r="B607" s="12"/>
      <x:c r="C607" s="12"/>
      <x:c r="D607" s="12"/>
      <x:c r="E607" s="12"/>
      <x:c r="F607" s="12"/>
      <x:c r="G607" s="17"/>
      <x:c r="H607" s="12"/>
      <x:c r="I607" s="12"/>
      <x:c r="J607" s="18"/>
      <x:c r="K607" s="12"/>
      <x:c r="L607" s="12"/>
      <x:c r="M607" s="12"/>
      <x:c r="N607" s="12"/>
      <x:c r="O607" s="12"/>
      <x:c r="P607" s="12"/>
      <x:c r="Q607" s="12"/>
      <x:c r="R607" s="12"/>
      <x:c r="S607" s="12"/>
      <x:c r="T607" s="12"/>
      <x:c r="U607" s="12"/>
      <x:c r="V607" s="12"/>
      <x:c r="W607" s="12"/>
      <x:c r="X607" s="12"/>
      <x:c r="Y607" s="12"/>
      <x:c r="Z607" s="12"/>
      <x:c r="AA607" s="12"/>
    </x:row>
    <x:row r="608">
      <x:c r="A608" s="12"/>
      <x:c r="B608" s="12"/>
      <x:c r="C608" s="12"/>
      <x:c r="D608" s="12"/>
      <x:c r="E608" s="12"/>
      <x:c r="F608" s="12"/>
      <x:c r="G608" s="17"/>
      <x:c r="H608" s="12"/>
      <x:c r="I608" s="12"/>
      <x:c r="J608" s="18"/>
      <x:c r="K608" s="12"/>
      <x:c r="L608" s="12"/>
      <x:c r="M608" s="12"/>
      <x:c r="N608" s="12"/>
      <x:c r="O608" s="12"/>
      <x:c r="P608" s="12"/>
      <x:c r="Q608" s="12"/>
      <x:c r="R608" s="12"/>
      <x:c r="S608" s="12"/>
      <x:c r="T608" s="12"/>
      <x:c r="U608" s="12"/>
      <x:c r="V608" s="12"/>
      <x:c r="W608" s="12"/>
      <x:c r="X608" s="12"/>
      <x:c r="Y608" s="12"/>
      <x:c r="Z608" s="12"/>
      <x:c r="AA608" s="12"/>
    </x:row>
    <x:row r="609">
      <x:c r="A609" s="12"/>
      <x:c r="B609" s="12"/>
      <x:c r="C609" s="12"/>
      <x:c r="D609" s="12"/>
      <x:c r="E609" s="12"/>
      <x:c r="F609" s="12"/>
      <x:c r="G609" s="17"/>
      <x:c r="H609" s="12"/>
      <x:c r="I609" s="12"/>
      <x:c r="J609" s="18"/>
      <x:c r="K609" s="12"/>
      <x:c r="L609" s="12"/>
      <x:c r="M609" s="12"/>
      <x:c r="N609" s="12"/>
      <x:c r="O609" s="12"/>
      <x:c r="P609" s="12"/>
      <x:c r="Q609" s="12"/>
      <x:c r="R609" s="12"/>
      <x:c r="S609" s="12"/>
      <x:c r="T609" s="12"/>
      <x:c r="U609" s="12"/>
      <x:c r="V609" s="12"/>
      <x:c r="W609" s="12"/>
      <x:c r="X609" s="12"/>
      <x:c r="Y609" s="12"/>
      <x:c r="Z609" s="12"/>
      <x:c r="AA609" s="12"/>
    </x:row>
    <x:row r="610">
      <x:c r="A610" s="12"/>
      <x:c r="B610" s="12"/>
      <x:c r="C610" s="12"/>
      <x:c r="D610" s="12"/>
      <x:c r="E610" s="12"/>
      <x:c r="F610" s="12"/>
      <x:c r="G610" s="17"/>
      <x:c r="H610" s="12"/>
      <x:c r="I610" s="12"/>
      <x:c r="J610" s="18"/>
      <x:c r="K610" s="12"/>
      <x:c r="L610" s="12"/>
      <x:c r="M610" s="12"/>
      <x:c r="N610" s="12"/>
      <x:c r="O610" s="12"/>
      <x:c r="P610" s="12"/>
      <x:c r="Q610" s="12"/>
      <x:c r="R610" s="12"/>
      <x:c r="S610" s="12"/>
      <x:c r="T610" s="12"/>
      <x:c r="U610" s="12"/>
      <x:c r="V610" s="12"/>
      <x:c r="W610" s="12"/>
      <x:c r="X610" s="12"/>
      <x:c r="Y610" s="12"/>
      <x:c r="Z610" s="12"/>
      <x:c r="AA610" s="12"/>
    </x:row>
    <x:row r="611">
      <x:c r="A611" s="12"/>
      <x:c r="B611" s="12"/>
      <x:c r="C611" s="12"/>
      <x:c r="D611" s="12"/>
      <x:c r="E611" s="12"/>
      <x:c r="F611" s="12"/>
      <x:c r="G611" s="17"/>
      <x:c r="H611" s="12"/>
      <x:c r="I611" s="12"/>
      <x:c r="J611" s="18"/>
      <x:c r="K611" s="12"/>
      <x:c r="L611" s="12"/>
      <x:c r="M611" s="12"/>
      <x:c r="N611" s="12"/>
      <x:c r="O611" s="12"/>
      <x:c r="P611" s="12"/>
      <x:c r="Q611" s="12"/>
      <x:c r="R611" s="12"/>
      <x:c r="S611" s="12"/>
      <x:c r="T611" s="12"/>
      <x:c r="U611" s="12"/>
      <x:c r="V611" s="12"/>
      <x:c r="W611" s="12"/>
      <x:c r="X611" s="12"/>
      <x:c r="Y611" s="12"/>
      <x:c r="Z611" s="12"/>
      <x:c r="AA611" s="12"/>
    </x:row>
    <x:row r="612">
      <x:c r="A612" s="12"/>
      <x:c r="B612" s="12"/>
      <x:c r="C612" s="12"/>
      <x:c r="D612" s="12"/>
      <x:c r="E612" s="12"/>
      <x:c r="F612" s="12"/>
      <x:c r="G612" s="17"/>
      <x:c r="H612" s="12"/>
      <x:c r="I612" s="12"/>
      <x:c r="J612" s="18"/>
      <x:c r="K612" s="12"/>
      <x:c r="L612" s="12"/>
      <x:c r="M612" s="12"/>
      <x:c r="N612" s="12"/>
      <x:c r="O612" s="12"/>
      <x:c r="P612" s="12"/>
      <x:c r="Q612" s="12"/>
      <x:c r="R612" s="12"/>
      <x:c r="S612" s="12"/>
      <x:c r="T612" s="12"/>
      <x:c r="U612" s="12"/>
      <x:c r="V612" s="12"/>
      <x:c r="W612" s="12"/>
      <x:c r="X612" s="12"/>
      <x:c r="Y612" s="12"/>
      <x:c r="Z612" s="12"/>
      <x:c r="AA612" s="12"/>
    </x:row>
    <x:row r="613">
      <x:c r="A613" s="12"/>
      <x:c r="B613" s="12"/>
      <x:c r="C613" s="12"/>
      <x:c r="D613" s="12"/>
      <x:c r="E613" s="12"/>
      <x:c r="F613" s="12"/>
      <x:c r="G613" s="17"/>
      <x:c r="H613" s="12"/>
      <x:c r="I613" s="12"/>
      <x:c r="J613" s="18"/>
      <x:c r="K613" s="12"/>
      <x:c r="L613" s="12"/>
      <x:c r="M613" s="12"/>
      <x:c r="N613" s="12"/>
      <x:c r="O613" s="12"/>
      <x:c r="P613" s="12"/>
      <x:c r="Q613" s="12"/>
      <x:c r="R613" s="12"/>
      <x:c r="S613" s="12"/>
      <x:c r="T613" s="12"/>
      <x:c r="U613" s="12"/>
      <x:c r="V613" s="12"/>
      <x:c r="W613" s="12"/>
      <x:c r="X613" s="12"/>
      <x:c r="Y613" s="12"/>
      <x:c r="Z613" s="12"/>
      <x:c r="AA613" s="12"/>
    </x:row>
    <x:row r="614">
      <x:c r="A614" s="12"/>
      <x:c r="B614" s="12"/>
      <x:c r="C614" s="12"/>
      <x:c r="D614" s="12"/>
      <x:c r="E614" s="12"/>
      <x:c r="F614" s="12"/>
      <x:c r="G614" s="17"/>
      <x:c r="H614" s="12"/>
      <x:c r="I614" s="12"/>
      <x:c r="J614" s="18"/>
      <x:c r="K614" s="12"/>
      <x:c r="L614" s="12"/>
      <x:c r="M614" s="12"/>
      <x:c r="N614" s="12"/>
      <x:c r="O614" s="12"/>
      <x:c r="P614" s="12"/>
      <x:c r="Q614" s="12"/>
      <x:c r="R614" s="12"/>
      <x:c r="S614" s="12"/>
      <x:c r="T614" s="12"/>
      <x:c r="U614" s="12"/>
      <x:c r="V614" s="12"/>
      <x:c r="W614" s="12"/>
      <x:c r="X614" s="12"/>
      <x:c r="Y614" s="12"/>
      <x:c r="Z614" s="12"/>
      <x:c r="AA614" s="12"/>
    </x:row>
    <x:row r="615">
      <x:c r="A615" s="12"/>
      <x:c r="B615" s="12"/>
      <x:c r="C615" s="12"/>
      <x:c r="D615" s="12"/>
      <x:c r="E615" s="12"/>
      <x:c r="F615" s="12"/>
      <x:c r="G615" s="17"/>
      <x:c r="H615" s="12"/>
      <x:c r="I615" s="12"/>
      <x:c r="J615" s="18"/>
      <x:c r="K615" s="12"/>
      <x:c r="L615" s="12"/>
      <x:c r="M615" s="12"/>
      <x:c r="N615" s="12"/>
      <x:c r="O615" s="12"/>
      <x:c r="P615" s="12"/>
      <x:c r="Q615" s="12"/>
      <x:c r="R615" s="12"/>
      <x:c r="S615" s="12"/>
      <x:c r="T615" s="12"/>
      <x:c r="U615" s="12"/>
      <x:c r="V615" s="12"/>
      <x:c r="W615" s="12"/>
      <x:c r="X615" s="12"/>
      <x:c r="Y615" s="12"/>
      <x:c r="Z615" s="12"/>
      <x:c r="AA615" s="12"/>
    </x:row>
    <x:row r="616">
      <x:c r="A616" s="12"/>
      <x:c r="B616" s="12"/>
      <x:c r="C616" s="12"/>
      <x:c r="D616" s="12"/>
      <x:c r="E616" s="12"/>
      <x:c r="F616" s="12"/>
      <x:c r="G616" s="17"/>
      <x:c r="H616" s="12"/>
      <x:c r="I616" s="12"/>
      <x:c r="J616" s="18"/>
      <x:c r="K616" s="12"/>
      <x:c r="L616" s="12"/>
      <x:c r="M616" s="12"/>
      <x:c r="N616" s="12"/>
      <x:c r="O616" s="12"/>
      <x:c r="P616" s="12"/>
      <x:c r="Q616" s="12"/>
      <x:c r="R616" s="12"/>
      <x:c r="S616" s="12"/>
      <x:c r="T616" s="12"/>
      <x:c r="U616" s="12"/>
      <x:c r="V616" s="12"/>
      <x:c r="W616" s="12"/>
      <x:c r="X616" s="12"/>
      <x:c r="Y616" s="12"/>
      <x:c r="Z616" s="12"/>
      <x:c r="AA616" s="12"/>
    </x:row>
    <x:row r="617">
      <x:c r="A617" s="12"/>
      <x:c r="B617" s="12"/>
      <x:c r="C617" s="12"/>
      <x:c r="D617" s="12"/>
      <x:c r="E617" s="12"/>
      <x:c r="F617" s="12"/>
      <x:c r="G617" s="17"/>
      <x:c r="H617" s="12"/>
      <x:c r="I617" s="12"/>
      <x:c r="J617" s="18"/>
      <x:c r="K617" s="12"/>
      <x:c r="L617" s="12"/>
      <x:c r="M617" s="12"/>
      <x:c r="N617" s="12"/>
      <x:c r="O617" s="12"/>
      <x:c r="P617" s="12"/>
      <x:c r="Q617" s="12"/>
      <x:c r="R617" s="12"/>
      <x:c r="S617" s="12"/>
      <x:c r="T617" s="12"/>
      <x:c r="U617" s="12"/>
      <x:c r="V617" s="12"/>
      <x:c r="W617" s="12"/>
      <x:c r="X617" s="12"/>
      <x:c r="Y617" s="12"/>
      <x:c r="Z617" s="12"/>
      <x:c r="AA617" s="12"/>
    </x:row>
    <x:row r="618">
      <x:c r="A618" s="12"/>
      <x:c r="B618" s="12"/>
      <x:c r="C618" s="12"/>
      <x:c r="D618" s="12"/>
      <x:c r="E618" s="12"/>
      <x:c r="F618" s="12"/>
      <x:c r="G618" s="17"/>
      <x:c r="H618" s="12"/>
      <x:c r="I618" s="12"/>
      <x:c r="J618" s="18"/>
      <x:c r="K618" s="12"/>
      <x:c r="L618" s="12"/>
      <x:c r="M618" s="12"/>
      <x:c r="N618" s="12"/>
      <x:c r="O618" s="12"/>
      <x:c r="P618" s="12"/>
      <x:c r="Q618" s="12"/>
      <x:c r="R618" s="12"/>
      <x:c r="S618" s="12"/>
      <x:c r="T618" s="12"/>
      <x:c r="U618" s="12"/>
      <x:c r="V618" s="12"/>
      <x:c r="W618" s="12"/>
      <x:c r="X618" s="12"/>
      <x:c r="Y618" s="12"/>
      <x:c r="Z618" s="12"/>
      <x:c r="AA618" s="12"/>
    </x:row>
    <x:row r="619">
      <x:c r="A619" s="12"/>
      <x:c r="B619" s="12"/>
      <x:c r="C619" s="12"/>
      <x:c r="D619" s="12"/>
      <x:c r="E619" s="12"/>
      <x:c r="F619" s="12"/>
      <x:c r="G619" s="17"/>
      <x:c r="H619" s="12"/>
      <x:c r="I619" s="12"/>
      <x:c r="J619" s="18"/>
      <x:c r="K619" s="12"/>
      <x:c r="L619" s="12"/>
      <x:c r="M619" s="12"/>
      <x:c r="N619" s="12"/>
      <x:c r="O619" s="12"/>
      <x:c r="P619" s="12"/>
      <x:c r="Q619" s="12"/>
      <x:c r="R619" s="12"/>
      <x:c r="S619" s="12"/>
      <x:c r="T619" s="12"/>
      <x:c r="U619" s="12"/>
      <x:c r="V619" s="12"/>
      <x:c r="W619" s="12"/>
      <x:c r="X619" s="12"/>
      <x:c r="Y619" s="12"/>
      <x:c r="Z619" s="12"/>
      <x:c r="AA619" s="12"/>
    </x:row>
    <x:row r="620">
      <x:c r="A620" s="12"/>
      <x:c r="B620" s="12"/>
      <x:c r="C620" s="12"/>
      <x:c r="D620" s="12"/>
      <x:c r="E620" s="12"/>
      <x:c r="F620" s="12"/>
      <x:c r="G620" s="17"/>
      <x:c r="H620" s="12"/>
      <x:c r="I620" s="12"/>
      <x:c r="J620" s="18"/>
      <x:c r="K620" s="12"/>
      <x:c r="L620" s="12"/>
      <x:c r="M620" s="12"/>
      <x:c r="N620" s="12"/>
      <x:c r="O620" s="12"/>
      <x:c r="P620" s="12"/>
      <x:c r="Q620" s="12"/>
      <x:c r="R620" s="12"/>
      <x:c r="S620" s="12"/>
      <x:c r="T620" s="12"/>
      <x:c r="U620" s="12"/>
      <x:c r="V620" s="12"/>
      <x:c r="W620" s="12"/>
      <x:c r="X620" s="12"/>
      <x:c r="Y620" s="12"/>
      <x:c r="Z620" s="12"/>
      <x:c r="AA620" s="12"/>
    </x:row>
    <x:row r="621">
      <x:c r="A621" s="12"/>
      <x:c r="B621" s="12"/>
      <x:c r="C621" s="12"/>
      <x:c r="D621" s="12"/>
      <x:c r="E621" s="12"/>
      <x:c r="F621" s="12"/>
      <x:c r="G621" s="17"/>
      <x:c r="H621" s="12"/>
      <x:c r="I621" s="12"/>
      <x:c r="J621" s="18"/>
      <x:c r="K621" s="12"/>
      <x:c r="L621" s="12"/>
      <x:c r="M621" s="12"/>
      <x:c r="N621" s="12"/>
      <x:c r="O621" s="12"/>
      <x:c r="P621" s="12"/>
      <x:c r="Q621" s="12"/>
      <x:c r="R621" s="12"/>
      <x:c r="S621" s="12"/>
      <x:c r="T621" s="12"/>
      <x:c r="U621" s="12"/>
      <x:c r="V621" s="12"/>
      <x:c r="W621" s="12"/>
      <x:c r="X621" s="12"/>
      <x:c r="Y621" s="12"/>
      <x:c r="Z621" s="12"/>
      <x:c r="AA621" s="12"/>
    </x:row>
    <x:row r="622">
      <x:c r="A622" s="12"/>
      <x:c r="B622" s="12"/>
      <x:c r="C622" s="12"/>
      <x:c r="D622" s="12"/>
      <x:c r="E622" s="12"/>
      <x:c r="F622" s="12"/>
      <x:c r="G622" s="17"/>
      <x:c r="H622" s="12"/>
      <x:c r="I622" s="12"/>
      <x:c r="J622" s="18"/>
      <x:c r="K622" s="12"/>
      <x:c r="L622" s="12"/>
      <x:c r="M622" s="12"/>
      <x:c r="N622" s="12"/>
      <x:c r="O622" s="12"/>
      <x:c r="P622" s="12"/>
      <x:c r="Q622" s="12"/>
      <x:c r="R622" s="12"/>
      <x:c r="S622" s="12"/>
      <x:c r="T622" s="12"/>
      <x:c r="U622" s="12"/>
      <x:c r="V622" s="12"/>
      <x:c r="W622" s="12"/>
      <x:c r="X622" s="12"/>
      <x:c r="Y622" s="12"/>
      <x:c r="Z622" s="12"/>
      <x:c r="AA622" s="12"/>
    </x:row>
    <x:row r="623">
      <x:c r="A623" s="12"/>
      <x:c r="B623" s="12"/>
      <x:c r="C623" s="12"/>
      <x:c r="D623" s="12"/>
      <x:c r="E623" s="12"/>
      <x:c r="F623" s="12"/>
      <x:c r="G623" s="17"/>
      <x:c r="H623" s="12"/>
      <x:c r="I623" s="12"/>
      <x:c r="J623" s="18"/>
      <x:c r="K623" s="12"/>
      <x:c r="L623" s="12"/>
      <x:c r="M623" s="12"/>
      <x:c r="N623" s="12"/>
      <x:c r="O623" s="12"/>
      <x:c r="P623" s="12"/>
      <x:c r="Q623" s="12"/>
      <x:c r="R623" s="12"/>
      <x:c r="S623" s="12"/>
      <x:c r="T623" s="12"/>
      <x:c r="U623" s="12"/>
      <x:c r="V623" s="12"/>
      <x:c r="W623" s="12"/>
      <x:c r="X623" s="12"/>
      <x:c r="Y623" s="12"/>
      <x:c r="Z623" s="12"/>
      <x:c r="AA623" s="12"/>
    </x:row>
    <x:row r="624">
      <x:c r="A624" s="12"/>
      <x:c r="B624" s="12"/>
      <x:c r="C624" s="12"/>
      <x:c r="D624" s="12"/>
      <x:c r="E624" s="12"/>
      <x:c r="F624" s="12"/>
      <x:c r="G624" s="17"/>
      <x:c r="H624" s="12"/>
      <x:c r="I624" s="12"/>
      <x:c r="J624" s="18"/>
      <x:c r="K624" s="12"/>
      <x:c r="L624" s="12"/>
      <x:c r="M624" s="12"/>
      <x:c r="N624" s="12"/>
      <x:c r="O624" s="12"/>
      <x:c r="P624" s="12"/>
      <x:c r="Q624" s="12"/>
      <x:c r="R624" s="12"/>
      <x:c r="S624" s="12"/>
      <x:c r="T624" s="12"/>
      <x:c r="U624" s="12"/>
      <x:c r="V624" s="12"/>
      <x:c r="W624" s="12"/>
      <x:c r="X624" s="12"/>
      <x:c r="Y624" s="12"/>
      <x:c r="Z624" s="12"/>
      <x:c r="AA624" s="12"/>
    </x:row>
    <x:row r="625">
      <x:c r="A625" s="12"/>
      <x:c r="B625" s="12"/>
      <x:c r="C625" s="12"/>
      <x:c r="D625" s="12"/>
      <x:c r="E625" s="12"/>
      <x:c r="F625" s="12"/>
      <x:c r="G625" s="17"/>
      <x:c r="H625" s="12"/>
      <x:c r="I625" s="12"/>
      <x:c r="J625" s="18"/>
      <x:c r="K625" s="12"/>
      <x:c r="L625" s="12"/>
      <x:c r="M625" s="12"/>
      <x:c r="N625" s="12"/>
      <x:c r="O625" s="12"/>
      <x:c r="P625" s="12"/>
      <x:c r="Q625" s="12"/>
      <x:c r="R625" s="12"/>
      <x:c r="S625" s="12"/>
      <x:c r="T625" s="12"/>
      <x:c r="U625" s="12"/>
      <x:c r="V625" s="12"/>
      <x:c r="W625" s="12"/>
      <x:c r="X625" s="12"/>
      <x:c r="Y625" s="12"/>
      <x:c r="Z625" s="12"/>
      <x:c r="AA625" s="12"/>
    </x:row>
    <x:row r="626">
      <x:c r="A626" s="12"/>
      <x:c r="B626" s="12"/>
      <x:c r="C626" s="12"/>
      <x:c r="D626" s="12"/>
      <x:c r="E626" s="12"/>
      <x:c r="F626" s="12"/>
      <x:c r="G626" s="17"/>
      <x:c r="H626" s="12"/>
      <x:c r="I626" s="12"/>
      <x:c r="J626" s="18"/>
      <x:c r="K626" s="12"/>
      <x:c r="L626" s="12"/>
      <x:c r="M626" s="12"/>
      <x:c r="N626" s="12"/>
      <x:c r="O626" s="12"/>
      <x:c r="P626" s="12"/>
      <x:c r="Q626" s="12"/>
      <x:c r="R626" s="12"/>
      <x:c r="S626" s="12"/>
      <x:c r="T626" s="12"/>
      <x:c r="U626" s="12"/>
      <x:c r="V626" s="12"/>
      <x:c r="W626" s="12"/>
      <x:c r="X626" s="12"/>
      <x:c r="Y626" s="12"/>
      <x:c r="Z626" s="12"/>
      <x:c r="AA626" s="12"/>
    </x:row>
    <x:row r="627">
      <x:c r="A627" s="12"/>
      <x:c r="B627" s="12"/>
      <x:c r="C627" s="12"/>
      <x:c r="D627" s="12"/>
      <x:c r="E627" s="12"/>
      <x:c r="F627" s="12"/>
      <x:c r="G627" s="17"/>
      <x:c r="H627" s="12"/>
      <x:c r="I627" s="12"/>
      <x:c r="J627" s="18"/>
      <x:c r="K627" s="12"/>
      <x:c r="L627" s="12"/>
      <x:c r="M627" s="12"/>
      <x:c r="N627" s="12"/>
      <x:c r="O627" s="12"/>
      <x:c r="P627" s="12"/>
      <x:c r="Q627" s="12"/>
      <x:c r="R627" s="12"/>
      <x:c r="S627" s="12"/>
      <x:c r="T627" s="12"/>
      <x:c r="U627" s="12"/>
      <x:c r="V627" s="12"/>
      <x:c r="W627" s="12"/>
      <x:c r="X627" s="12"/>
      <x:c r="Y627" s="12"/>
      <x:c r="Z627" s="12"/>
      <x:c r="AA627" s="12"/>
    </x:row>
    <x:row r="628">
      <x:c r="A628" s="12"/>
      <x:c r="B628" s="12"/>
      <x:c r="C628" s="12"/>
      <x:c r="D628" s="12"/>
      <x:c r="E628" s="12"/>
      <x:c r="F628" s="12"/>
      <x:c r="G628" s="17"/>
      <x:c r="H628" s="12"/>
      <x:c r="I628" s="12"/>
      <x:c r="J628" s="18"/>
      <x:c r="K628" s="12"/>
      <x:c r="L628" s="12"/>
      <x:c r="M628" s="12"/>
      <x:c r="N628" s="12"/>
      <x:c r="O628" s="12"/>
      <x:c r="P628" s="12"/>
      <x:c r="Q628" s="12"/>
      <x:c r="R628" s="12"/>
      <x:c r="S628" s="12"/>
      <x:c r="T628" s="12"/>
      <x:c r="U628" s="12"/>
      <x:c r="V628" s="12"/>
      <x:c r="W628" s="12"/>
      <x:c r="X628" s="12"/>
      <x:c r="Y628" s="12"/>
      <x:c r="Z628" s="12"/>
      <x:c r="AA628" s="12"/>
    </x:row>
    <x:row r="629">
      <x:c r="A629" s="12"/>
      <x:c r="B629" s="12"/>
      <x:c r="C629" s="12"/>
      <x:c r="D629" s="12"/>
      <x:c r="E629" s="12"/>
      <x:c r="F629" s="12"/>
      <x:c r="G629" s="17"/>
      <x:c r="H629" s="12"/>
      <x:c r="I629" s="12"/>
      <x:c r="J629" s="18"/>
      <x:c r="K629" s="12"/>
      <x:c r="L629" s="12"/>
      <x:c r="M629" s="12"/>
      <x:c r="N629" s="12"/>
      <x:c r="O629" s="12"/>
      <x:c r="P629" s="12"/>
      <x:c r="Q629" s="12"/>
      <x:c r="R629" s="12"/>
      <x:c r="S629" s="12"/>
      <x:c r="T629" s="12"/>
      <x:c r="U629" s="12"/>
      <x:c r="V629" s="12"/>
      <x:c r="W629" s="12"/>
      <x:c r="X629" s="12"/>
      <x:c r="Y629" s="12"/>
      <x:c r="Z629" s="12"/>
      <x:c r="AA629" s="12"/>
    </x:row>
    <x:row r="630">
      <x:c r="A630" s="12"/>
      <x:c r="B630" s="12"/>
      <x:c r="C630" s="12"/>
      <x:c r="D630" s="12"/>
      <x:c r="E630" s="12"/>
      <x:c r="F630" s="12"/>
      <x:c r="G630" s="17"/>
      <x:c r="H630" s="12"/>
      <x:c r="I630" s="12"/>
      <x:c r="J630" s="18"/>
      <x:c r="K630" s="12"/>
      <x:c r="L630" s="12"/>
      <x:c r="M630" s="12"/>
      <x:c r="N630" s="12"/>
      <x:c r="O630" s="12"/>
      <x:c r="P630" s="12"/>
      <x:c r="Q630" s="12"/>
      <x:c r="R630" s="12"/>
      <x:c r="S630" s="12"/>
      <x:c r="T630" s="12"/>
      <x:c r="U630" s="12"/>
      <x:c r="V630" s="12"/>
      <x:c r="W630" s="12"/>
      <x:c r="X630" s="12"/>
      <x:c r="Y630" s="12"/>
      <x:c r="Z630" s="12"/>
      <x:c r="AA630" s="12"/>
    </x:row>
    <x:row r="631">
      <x:c r="A631" s="12"/>
      <x:c r="B631" s="12"/>
      <x:c r="C631" s="12"/>
      <x:c r="D631" s="12"/>
      <x:c r="E631" s="12"/>
      <x:c r="F631" s="12"/>
      <x:c r="G631" s="17"/>
      <x:c r="H631" s="12"/>
      <x:c r="I631" s="12"/>
      <x:c r="J631" s="18"/>
      <x:c r="K631" s="12"/>
      <x:c r="L631" s="12"/>
      <x:c r="M631" s="12"/>
      <x:c r="N631" s="12"/>
      <x:c r="O631" s="12"/>
      <x:c r="P631" s="12"/>
      <x:c r="Q631" s="12"/>
      <x:c r="R631" s="12"/>
      <x:c r="S631" s="12"/>
      <x:c r="T631" s="12"/>
      <x:c r="U631" s="12"/>
      <x:c r="V631" s="12"/>
      <x:c r="W631" s="12"/>
      <x:c r="X631" s="12"/>
      <x:c r="Y631" s="12"/>
      <x:c r="Z631" s="12"/>
      <x:c r="AA631" s="12"/>
    </x:row>
    <x:row r="632">
      <x:c r="A632" s="12"/>
      <x:c r="B632" s="12"/>
      <x:c r="C632" s="12"/>
      <x:c r="D632" s="12"/>
      <x:c r="E632" s="12"/>
      <x:c r="F632" s="12"/>
      <x:c r="G632" s="17"/>
      <x:c r="H632" s="12"/>
      <x:c r="I632" s="12"/>
      <x:c r="J632" s="18"/>
      <x:c r="K632" s="12"/>
      <x:c r="L632" s="12"/>
      <x:c r="M632" s="12"/>
      <x:c r="N632" s="12"/>
      <x:c r="O632" s="12"/>
      <x:c r="P632" s="12"/>
      <x:c r="Q632" s="12"/>
      <x:c r="R632" s="12"/>
      <x:c r="S632" s="12"/>
      <x:c r="T632" s="12"/>
      <x:c r="U632" s="12"/>
      <x:c r="V632" s="12"/>
      <x:c r="W632" s="12"/>
      <x:c r="X632" s="12"/>
      <x:c r="Y632" s="12"/>
      <x:c r="Z632" s="12"/>
      <x:c r="AA632" s="12"/>
    </x:row>
    <x:row r="633">
      <x:c r="A633" s="12"/>
      <x:c r="B633" s="12"/>
      <x:c r="C633" s="12"/>
      <x:c r="D633" s="12"/>
      <x:c r="E633" s="12"/>
      <x:c r="F633" s="12"/>
      <x:c r="G633" s="17"/>
      <x:c r="H633" s="12"/>
      <x:c r="I633" s="12"/>
      <x:c r="J633" s="18"/>
      <x:c r="K633" s="12"/>
      <x:c r="L633" s="12"/>
      <x:c r="M633" s="12"/>
      <x:c r="N633" s="12"/>
      <x:c r="O633" s="12"/>
      <x:c r="P633" s="12"/>
      <x:c r="Q633" s="12"/>
      <x:c r="R633" s="12"/>
      <x:c r="S633" s="12"/>
      <x:c r="T633" s="12"/>
      <x:c r="U633" s="12"/>
      <x:c r="V633" s="12"/>
      <x:c r="W633" s="12"/>
      <x:c r="X633" s="12"/>
      <x:c r="Y633" s="12"/>
      <x:c r="Z633" s="12"/>
      <x:c r="AA633" s="12"/>
    </x:row>
    <x:row r="634">
      <x:c r="A634" s="12"/>
      <x:c r="B634" s="12"/>
      <x:c r="C634" s="12"/>
      <x:c r="D634" s="12"/>
      <x:c r="E634" s="12"/>
      <x:c r="F634" s="12"/>
      <x:c r="G634" s="17"/>
      <x:c r="H634" s="12"/>
      <x:c r="I634" s="12"/>
      <x:c r="J634" s="18"/>
      <x:c r="K634" s="12"/>
      <x:c r="L634" s="12"/>
      <x:c r="M634" s="12"/>
      <x:c r="N634" s="12"/>
      <x:c r="O634" s="12"/>
      <x:c r="P634" s="12"/>
      <x:c r="Q634" s="12"/>
      <x:c r="R634" s="12"/>
      <x:c r="S634" s="12"/>
      <x:c r="T634" s="12"/>
      <x:c r="U634" s="12"/>
      <x:c r="V634" s="12"/>
      <x:c r="W634" s="12"/>
      <x:c r="X634" s="12"/>
      <x:c r="Y634" s="12"/>
      <x:c r="Z634" s="12"/>
      <x:c r="AA634" s="12"/>
    </x:row>
    <x:row r="635">
      <x:c r="A635" s="12"/>
      <x:c r="B635" s="12"/>
      <x:c r="C635" s="12"/>
      <x:c r="D635" s="12"/>
      <x:c r="E635" s="12"/>
      <x:c r="F635" s="12"/>
      <x:c r="G635" s="17"/>
      <x:c r="H635" s="12"/>
      <x:c r="I635" s="12"/>
      <x:c r="J635" s="18"/>
      <x:c r="K635" s="12"/>
      <x:c r="L635" s="12"/>
      <x:c r="M635" s="12"/>
      <x:c r="N635" s="12"/>
      <x:c r="O635" s="12"/>
      <x:c r="P635" s="12"/>
      <x:c r="Q635" s="12"/>
      <x:c r="R635" s="12"/>
      <x:c r="S635" s="12"/>
      <x:c r="T635" s="12"/>
      <x:c r="U635" s="12"/>
      <x:c r="V635" s="12"/>
      <x:c r="W635" s="12"/>
      <x:c r="X635" s="12"/>
      <x:c r="Y635" s="12"/>
      <x:c r="Z635" s="12"/>
      <x:c r="AA635" s="12"/>
    </x:row>
    <x:row r="636">
      <x:c r="A636" s="12"/>
      <x:c r="B636" s="12"/>
      <x:c r="C636" s="12"/>
      <x:c r="D636" s="12"/>
      <x:c r="E636" s="12"/>
      <x:c r="F636" s="12"/>
      <x:c r="G636" s="17"/>
      <x:c r="H636" s="12"/>
      <x:c r="I636" s="12"/>
      <x:c r="J636" s="18"/>
      <x:c r="K636" s="12"/>
      <x:c r="L636" s="12"/>
      <x:c r="M636" s="12"/>
      <x:c r="N636" s="12"/>
      <x:c r="O636" s="12"/>
      <x:c r="P636" s="12"/>
      <x:c r="Q636" s="12"/>
      <x:c r="R636" s="12"/>
      <x:c r="S636" s="12"/>
      <x:c r="T636" s="12"/>
      <x:c r="U636" s="12"/>
      <x:c r="V636" s="12"/>
      <x:c r="W636" s="12"/>
      <x:c r="X636" s="12"/>
      <x:c r="Y636" s="12"/>
      <x:c r="Z636" s="12"/>
      <x:c r="AA636" s="12"/>
    </x:row>
    <x:row r="637">
      <x:c r="A637" s="12"/>
      <x:c r="B637" s="12"/>
      <x:c r="C637" s="12"/>
      <x:c r="D637" s="12"/>
      <x:c r="E637" s="12"/>
      <x:c r="F637" s="12"/>
      <x:c r="G637" s="17"/>
      <x:c r="H637" s="12"/>
      <x:c r="I637" s="12"/>
      <x:c r="J637" s="18"/>
      <x:c r="K637" s="12"/>
      <x:c r="L637" s="12"/>
      <x:c r="M637" s="12"/>
      <x:c r="N637" s="12"/>
      <x:c r="O637" s="12"/>
      <x:c r="P637" s="12"/>
      <x:c r="Q637" s="12"/>
      <x:c r="R637" s="12"/>
      <x:c r="S637" s="12"/>
      <x:c r="T637" s="12"/>
      <x:c r="U637" s="12"/>
      <x:c r="V637" s="12"/>
      <x:c r="W637" s="12"/>
      <x:c r="X637" s="12"/>
      <x:c r="Y637" s="12"/>
      <x:c r="Z637" s="12"/>
      <x:c r="AA637" s="12"/>
    </x:row>
    <x:row r="638">
      <x:c r="A638" s="12"/>
      <x:c r="B638" s="12"/>
      <x:c r="C638" s="12"/>
      <x:c r="D638" s="12"/>
      <x:c r="E638" s="12"/>
      <x:c r="F638" s="12"/>
      <x:c r="G638" s="17"/>
      <x:c r="H638" s="12"/>
      <x:c r="I638" s="12"/>
      <x:c r="J638" s="18"/>
      <x:c r="K638" s="12"/>
      <x:c r="L638" s="12"/>
      <x:c r="M638" s="12"/>
      <x:c r="N638" s="12"/>
      <x:c r="O638" s="12"/>
      <x:c r="P638" s="12"/>
      <x:c r="Q638" s="12"/>
      <x:c r="R638" s="12"/>
      <x:c r="S638" s="12"/>
      <x:c r="T638" s="12"/>
      <x:c r="U638" s="12"/>
      <x:c r="V638" s="12"/>
      <x:c r="W638" s="12"/>
      <x:c r="X638" s="12"/>
      <x:c r="Y638" s="12"/>
      <x:c r="Z638" s="12"/>
      <x:c r="AA638" s="12"/>
    </x:row>
    <x:row r="639">
      <x:c r="A639" s="12"/>
      <x:c r="B639" s="12"/>
      <x:c r="C639" s="12"/>
      <x:c r="D639" s="12"/>
      <x:c r="E639" s="12"/>
      <x:c r="F639" s="12"/>
      <x:c r="G639" s="17"/>
      <x:c r="H639" s="12"/>
      <x:c r="I639" s="12"/>
      <x:c r="J639" s="18"/>
      <x:c r="K639" s="12"/>
      <x:c r="L639" s="12"/>
      <x:c r="M639" s="12"/>
      <x:c r="N639" s="12"/>
      <x:c r="O639" s="12"/>
      <x:c r="P639" s="12"/>
      <x:c r="Q639" s="12"/>
      <x:c r="R639" s="12"/>
      <x:c r="S639" s="12"/>
      <x:c r="T639" s="12"/>
      <x:c r="U639" s="12"/>
      <x:c r="V639" s="12"/>
      <x:c r="W639" s="12"/>
      <x:c r="X639" s="12"/>
      <x:c r="Y639" s="12"/>
      <x:c r="Z639" s="12"/>
      <x:c r="AA639" s="12"/>
    </x:row>
    <x:row r="640">
      <x:c r="A640" s="12"/>
      <x:c r="B640" s="12"/>
      <x:c r="C640" s="12"/>
      <x:c r="D640" s="12"/>
      <x:c r="E640" s="12"/>
      <x:c r="F640" s="12"/>
      <x:c r="G640" s="17"/>
      <x:c r="H640" s="12"/>
      <x:c r="I640" s="12"/>
      <x:c r="J640" s="18"/>
      <x:c r="K640" s="12"/>
      <x:c r="L640" s="12"/>
      <x:c r="M640" s="12"/>
      <x:c r="N640" s="12"/>
      <x:c r="O640" s="12"/>
      <x:c r="P640" s="12"/>
      <x:c r="Q640" s="12"/>
      <x:c r="R640" s="12"/>
      <x:c r="S640" s="12"/>
      <x:c r="T640" s="12"/>
      <x:c r="U640" s="12"/>
      <x:c r="V640" s="12"/>
      <x:c r="W640" s="12"/>
      <x:c r="X640" s="12"/>
      <x:c r="Y640" s="12"/>
      <x:c r="Z640" s="12"/>
      <x:c r="AA640" s="12"/>
    </x:row>
    <x:row r="641">
      <x:c r="A641" s="12"/>
      <x:c r="B641" s="12"/>
      <x:c r="C641" s="12"/>
      <x:c r="D641" s="12"/>
      <x:c r="E641" s="12"/>
      <x:c r="F641" s="12"/>
      <x:c r="G641" s="17"/>
      <x:c r="H641" s="12"/>
      <x:c r="I641" s="12"/>
      <x:c r="J641" s="18"/>
      <x:c r="K641" s="12"/>
      <x:c r="L641" s="12"/>
      <x:c r="M641" s="12"/>
      <x:c r="N641" s="12"/>
      <x:c r="O641" s="12"/>
      <x:c r="P641" s="12"/>
      <x:c r="Q641" s="12"/>
      <x:c r="R641" s="12"/>
      <x:c r="S641" s="12"/>
      <x:c r="T641" s="12"/>
      <x:c r="U641" s="12"/>
      <x:c r="V641" s="12"/>
      <x:c r="W641" s="12"/>
      <x:c r="X641" s="12"/>
      <x:c r="Y641" s="12"/>
      <x:c r="Z641" s="12"/>
      <x:c r="AA641" s="12"/>
    </x:row>
    <x:row r="642">
      <x:c r="A642" s="12"/>
      <x:c r="B642" s="12"/>
      <x:c r="C642" s="12"/>
      <x:c r="D642" s="12"/>
      <x:c r="E642" s="12"/>
      <x:c r="F642" s="12"/>
      <x:c r="G642" s="17"/>
      <x:c r="H642" s="12"/>
      <x:c r="I642" s="12"/>
      <x:c r="J642" s="18"/>
      <x:c r="K642" s="12"/>
      <x:c r="L642" s="12"/>
      <x:c r="M642" s="12"/>
      <x:c r="N642" s="12"/>
      <x:c r="O642" s="12"/>
      <x:c r="P642" s="12"/>
      <x:c r="Q642" s="12"/>
      <x:c r="R642" s="12"/>
      <x:c r="S642" s="12"/>
      <x:c r="T642" s="12"/>
      <x:c r="U642" s="12"/>
      <x:c r="V642" s="12"/>
      <x:c r="W642" s="12"/>
      <x:c r="X642" s="12"/>
      <x:c r="Y642" s="12"/>
      <x:c r="Z642" s="12"/>
      <x:c r="AA642" s="12"/>
    </x:row>
    <x:row r="643">
      <x:c r="A643" s="12"/>
      <x:c r="B643" s="12"/>
      <x:c r="C643" s="12"/>
      <x:c r="D643" s="12"/>
      <x:c r="E643" s="12"/>
      <x:c r="F643" s="12"/>
      <x:c r="G643" s="17"/>
      <x:c r="H643" s="12"/>
      <x:c r="I643" s="12"/>
      <x:c r="J643" s="18"/>
      <x:c r="K643" s="12"/>
      <x:c r="L643" s="12"/>
      <x:c r="M643" s="12"/>
      <x:c r="N643" s="12"/>
      <x:c r="O643" s="12"/>
      <x:c r="P643" s="12"/>
      <x:c r="Q643" s="12"/>
      <x:c r="R643" s="12"/>
      <x:c r="S643" s="12"/>
      <x:c r="T643" s="12"/>
      <x:c r="U643" s="12"/>
      <x:c r="V643" s="12"/>
      <x:c r="W643" s="12"/>
      <x:c r="X643" s="12"/>
      <x:c r="Y643" s="12"/>
      <x:c r="Z643" s="12"/>
      <x:c r="AA643" s="12"/>
    </x:row>
    <x:row r="644">
      <x:c r="A644" s="12"/>
      <x:c r="B644" s="12"/>
      <x:c r="C644" s="12"/>
      <x:c r="D644" s="12"/>
      <x:c r="E644" s="12"/>
      <x:c r="F644" s="12"/>
      <x:c r="G644" s="17"/>
      <x:c r="H644" s="12"/>
      <x:c r="I644" s="12"/>
      <x:c r="J644" s="18"/>
      <x:c r="K644" s="12"/>
      <x:c r="L644" s="12"/>
      <x:c r="M644" s="12"/>
      <x:c r="N644" s="12"/>
      <x:c r="O644" s="12"/>
      <x:c r="P644" s="12"/>
      <x:c r="Q644" s="12"/>
      <x:c r="R644" s="12"/>
      <x:c r="S644" s="12"/>
      <x:c r="T644" s="12"/>
      <x:c r="U644" s="12"/>
      <x:c r="V644" s="12"/>
      <x:c r="W644" s="12"/>
      <x:c r="X644" s="12"/>
      <x:c r="Y644" s="12"/>
      <x:c r="Z644" s="12"/>
      <x:c r="AA644" s="12"/>
    </x:row>
    <x:row r="645">
      <x:c r="A645" s="12"/>
      <x:c r="B645" s="12"/>
      <x:c r="C645" s="12"/>
      <x:c r="D645" s="12"/>
      <x:c r="E645" s="12"/>
      <x:c r="F645" s="12"/>
      <x:c r="G645" s="17"/>
      <x:c r="H645" s="12"/>
      <x:c r="I645" s="12"/>
      <x:c r="J645" s="18"/>
      <x:c r="K645" s="12"/>
      <x:c r="L645" s="12"/>
      <x:c r="M645" s="12"/>
      <x:c r="N645" s="12"/>
      <x:c r="O645" s="12"/>
      <x:c r="P645" s="12"/>
      <x:c r="Q645" s="12"/>
      <x:c r="R645" s="12"/>
      <x:c r="S645" s="12"/>
      <x:c r="T645" s="12"/>
      <x:c r="U645" s="12"/>
      <x:c r="V645" s="12"/>
      <x:c r="W645" s="12"/>
      <x:c r="X645" s="12"/>
      <x:c r="Y645" s="12"/>
      <x:c r="Z645" s="12"/>
      <x:c r="AA645" s="12"/>
    </x:row>
    <x:row r="646">
      <x:c r="A646" s="12"/>
      <x:c r="B646" s="12"/>
      <x:c r="C646" s="12"/>
      <x:c r="D646" s="12"/>
      <x:c r="E646" s="12"/>
      <x:c r="F646" s="12"/>
      <x:c r="G646" s="17"/>
      <x:c r="H646" s="12"/>
      <x:c r="I646" s="12"/>
      <x:c r="J646" s="18"/>
      <x:c r="K646" s="12"/>
      <x:c r="L646" s="12"/>
      <x:c r="M646" s="12"/>
      <x:c r="N646" s="12"/>
      <x:c r="O646" s="12"/>
      <x:c r="P646" s="12"/>
      <x:c r="Q646" s="12"/>
      <x:c r="R646" s="12"/>
      <x:c r="S646" s="12"/>
      <x:c r="T646" s="12"/>
      <x:c r="U646" s="12"/>
      <x:c r="V646" s="12"/>
      <x:c r="W646" s="12"/>
      <x:c r="X646" s="12"/>
      <x:c r="Y646" s="12"/>
      <x:c r="Z646" s="12"/>
      <x:c r="AA646" s="12"/>
    </x:row>
    <x:row r="647">
      <x:c r="A647" s="12"/>
      <x:c r="B647" s="12"/>
      <x:c r="C647" s="12"/>
      <x:c r="D647" s="12"/>
      <x:c r="E647" s="12"/>
      <x:c r="F647" s="12"/>
      <x:c r="G647" s="17"/>
      <x:c r="H647" s="12"/>
      <x:c r="I647" s="12"/>
      <x:c r="J647" s="18"/>
      <x:c r="K647" s="12"/>
      <x:c r="L647" s="12"/>
      <x:c r="M647" s="12"/>
      <x:c r="N647" s="12"/>
      <x:c r="O647" s="12"/>
      <x:c r="P647" s="12"/>
      <x:c r="Q647" s="12"/>
      <x:c r="R647" s="12"/>
      <x:c r="S647" s="12"/>
      <x:c r="T647" s="12"/>
      <x:c r="U647" s="12"/>
      <x:c r="V647" s="12"/>
      <x:c r="W647" s="12"/>
      <x:c r="X647" s="12"/>
      <x:c r="Y647" s="12"/>
      <x:c r="Z647" s="12"/>
      <x:c r="AA647" s="12"/>
    </x:row>
    <x:row r="648">
      <x:c r="A648" s="12"/>
      <x:c r="B648" s="12"/>
      <x:c r="C648" s="12"/>
      <x:c r="D648" s="12"/>
      <x:c r="E648" s="12"/>
      <x:c r="F648" s="12"/>
      <x:c r="G648" s="17"/>
      <x:c r="H648" s="12"/>
      <x:c r="I648" s="12"/>
      <x:c r="J648" s="18"/>
      <x:c r="K648" s="12"/>
      <x:c r="L648" s="12"/>
      <x:c r="M648" s="12"/>
      <x:c r="N648" s="12"/>
      <x:c r="O648" s="12"/>
      <x:c r="P648" s="12"/>
      <x:c r="Q648" s="12"/>
      <x:c r="R648" s="12"/>
      <x:c r="S648" s="12"/>
      <x:c r="T648" s="12"/>
      <x:c r="U648" s="12"/>
      <x:c r="V648" s="12"/>
      <x:c r="W648" s="12"/>
      <x:c r="X648" s="12"/>
      <x:c r="Y648" s="12"/>
      <x:c r="Z648" s="12"/>
      <x:c r="AA648" s="12"/>
    </x:row>
    <x:row r="649">
      <x:c r="A649" s="12"/>
      <x:c r="B649" s="12"/>
      <x:c r="C649" s="12"/>
      <x:c r="D649" s="12"/>
      <x:c r="E649" s="12"/>
      <x:c r="F649" s="12"/>
      <x:c r="G649" s="17"/>
      <x:c r="H649" s="12"/>
      <x:c r="I649" s="12"/>
      <x:c r="J649" s="18"/>
      <x:c r="K649" s="12"/>
      <x:c r="L649" s="12"/>
      <x:c r="M649" s="12"/>
      <x:c r="N649" s="12"/>
      <x:c r="O649" s="12"/>
      <x:c r="P649" s="12"/>
      <x:c r="Q649" s="12"/>
      <x:c r="R649" s="12"/>
      <x:c r="S649" s="12"/>
      <x:c r="T649" s="12"/>
      <x:c r="U649" s="12"/>
      <x:c r="V649" s="12"/>
      <x:c r="W649" s="12"/>
      <x:c r="X649" s="12"/>
      <x:c r="Y649" s="12"/>
      <x:c r="Z649" s="12"/>
      <x:c r="AA649" s="12"/>
    </x:row>
    <x:row r="650">
      <x:c r="A650" s="12"/>
      <x:c r="B650" s="12"/>
      <x:c r="C650" s="12"/>
      <x:c r="D650" s="12"/>
      <x:c r="E650" s="12"/>
      <x:c r="F650" s="12"/>
      <x:c r="G650" s="17"/>
      <x:c r="H650" s="12"/>
      <x:c r="I650" s="12"/>
      <x:c r="J650" s="18"/>
      <x:c r="K650" s="12"/>
      <x:c r="L650" s="12"/>
      <x:c r="M650" s="12"/>
      <x:c r="N650" s="12"/>
      <x:c r="O650" s="12"/>
      <x:c r="P650" s="12"/>
      <x:c r="Q650" s="12"/>
      <x:c r="R650" s="12"/>
      <x:c r="S650" s="12"/>
      <x:c r="T650" s="12"/>
      <x:c r="U650" s="12"/>
      <x:c r="V650" s="12"/>
      <x:c r="W650" s="12"/>
      <x:c r="X650" s="12"/>
      <x:c r="Y650" s="12"/>
      <x:c r="Z650" s="12"/>
      <x:c r="AA650" s="12"/>
    </x:row>
    <x:row r="651">
      <x:c r="A651" s="12"/>
      <x:c r="B651" s="12"/>
      <x:c r="C651" s="12"/>
      <x:c r="D651" s="12"/>
      <x:c r="E651" s="12"/>
      <x:c r="F651" s="12"/>
      <x:c r="G651" s="17"/>
      <x:c r="H651" s="12"/>
      <x:c r="I651" s="12"/>
      <x:c r="J651" s="18"/>
      <x:c r="K651" s="12"/>
      <x:c r="L651" s="12"/>
      <x:c r="M651" s="12"/>
      <x:c r="N651" s="12"/>
      <x:c r="O651" s="12"/>
      <x:c r="P651" s="12"/>
      <x:c r="Q651" s="12"/>
      <x:c r="R651" s="12"/>
      <x:c r="S651" s="12"/>
      <x:c r="T651" s="12"/>
      <x:c r="U651" s="12"/>
      <x:c r="V651" s="12"/>
      <x:c r="W651" s="12"/>
      <x:c r="X651" s="12"/>
      <x:c r="Y651" s="12"/>
      <x:c r="Z651" s="12"/>
      <x:c r="AA651" s="12"/>
    </x:row>
    <x:row r="652">
      <x:c r="A652" s="12"/>
      <x:c r="B652" s="12"/>
      <x:c r="C652" s="12"/>
      <x:c r="D652" s="12"/>
      <x:c r="E652" s="12"/>
      <x:c r="F652" s="12"/>
      <x:c r="G652" s="17"/>
      <x:c r="H652" s="12"/>
      <x:c r="I652" s="12"/>
      <x:c r="J652" s="18"/>
      <x:c r="K652" s="12"/>
      <x:c r="L652" s="12"/>
      <x:c r="M652" s="12"/>
      <x:c r="N652" s="12"/>
      <x:c r="O652" s="12"/>
      <x:c r="P652" s="12"/>
      <x:c r="Q652" s="12"/>
      <x:c r="R652" s="12"/>
      <x:c r="S652" s="12"/>
      <x:c r="T652" s="12"/>
      <x:c r="U652" s="12"/>
      <x:c r="V652" s="12"/>
      <x:c r="W652" s="12"/>
      <x:c r="X652" s="12"/>
      <x:c r="Y652" s="12"/>
      <x:c r="Z652" s="12"/>
      <x:c r="AA652" s="12"/>
    </x:row>
    <x:row r="653">
      <x:c r="A653" s="12"/>
      <x:c r="B653" s="12"/>
      <x:c r="C653" s="12"/>
      <x:c r="D653" s="12"/>
      <x:c r="E653" s="12"/>
      <x:c r="F653" s="12"/>
      <x:c r="G653" s="17"/>
      <x:c r="H653" s="12"/>
      <x:c r="I653" s="12"/>
      <x:c r="J653" s="18"/>
      <x:c r="K653" s="12"/>
      <x:c r="L653" s="12"/>
      <x:c r="M653" s="12"/>
      <x:c r="N653" s="12"/>
      <x:c r="O653" s="12"/>
      <x:c r="P653" s="12"/>
      <x:c r="Q653" s="12"/>
      <x:c r="R653" s="12"/>
      <x:c r="S653" s="12"/>
      <x:c r="T653" s="12"/>
      <x:c r="U653" s="12"/>
      <x:c r="V653" s="12"/>
      <x:c r="W653" s="12"/>
      <x:c r="X653" s="12"/>
      <x:c r="Y653" s="12"/>
      <x:c r="Z653" s="12"/>
      <x:c r="AA653" s="12"/>
    </x:row>
    <x:row r="654">
      <x:c r="A654" s="12"/>
      <x:c r="B654" s="12"/>
      <x:c r="C654" s="12"/>
      <x:c r="D654" s="12"/>
      <x:c r="E654" s="12"/>
      <x:c r="F654" s="12"/>
      <x:c r="G654" s="17"/>
      <x:c r="H654" s="12"/>
      <x:c r="I654" s="12"/>
      <x:c r="J654" s="18"/>
      <x:c r="K654" s="12"/>
      <x:c r="L654" s="12"/>
      <x:c r="M654" s="12"/>
      <x:c r="N654" s="12"/>
      <x:c r="O654" s="12"/>
      <x:c r="P654" s="12"/>
      <x:c r="Q654" s="12"/>
      <x:c r="R654" s="12"/>
      <x:c r="S654" s="12"/>
      <x:c r="T654" s="12"/>
      <x:c r="U654" s="12"/>
      <x:c r="V654" s="12"/>
      <x:c r="W654" s="12"/>
      <x:c r="X654" s="12"/>
      <x:c r="Y654" s="12"/>
      <x:c r="Z654" s="12"/>
      <x:c r="AA654" s="12"/>
    </x:row>
    <x:row r="655">
      <x:c r="A655" s="12"/>
      <x:c r="B655" s="12"/>
      <x:c r="C655" s="12"/>
      <x:c r="D655" s="12"/>
      <x:c r="E655" s="12"/>
      <x:c r="F655" s="12"/>
      <x:c r="G655" s="17"/>
      <x:c r="H655" s="12"/>
      <x:c r="I655" s="12"/>
      <x:c r="J655" s="18"/>
      <x:c r="K655" s="12"/>
      <x:c r="L655" s="12"/>
      <x:c r="M655" s="12"/>
      <x:c r="N655" s="12"/>
      <x:c r="O655" s="12"/>
      <x:c r="P655" s="12"/>
      <x:c r="Q655" s="12"/>
      <x:c r="R655" s="12"/>
      <x:c r="S655" s="12"/>
      <x:c r="T655" s="12"/>
      <x:c r="U655" s="12"/>
      <x:c r="V655" s="12"/>
      <x:c r="W655" s="12"/>
      <x:c r="X655" s="12"/>
      <x:c r="Y655" s="12"/>
      <x:c r="Z655" s="12"/>
      <x:c r="AA655" s="12"/>
    </x:row>
    <x:row r="656">
      <x:c r="A656" s="12"/>
      <x:c r="B656" s="12"/>
      <x:c r="C656" s="12"/>
      <x:c r="D656" s="12"/>
      <x:c r="E656" s="12"/>
      <x:c r="F656" s="12"/>
      <x:c r="G656" s="17"/>
      <x:c r="H656" s="12"/>
      <x:c r="I656" s="12"/>
      <x:c r="J656" s="18"/>
      <x:c r="K656" s="12"/>
      <x:c r="L656" s="12"/>
      <x:c r="M656" s="12"/>
      <x:c r="N656" s="12"/>
      <x:c r="O656" s="12"/>
      <x:c r="P656" s="12"/>
      <x:c r="Q656" s="12"/>
      <x:c r="R656" s="12"/>
      <x:c r="S656" s="12"/>
      <x:c r="T656" s="12"/>
      <x:c r="U656" s="12"/>
      <x:c r="V656" s="12"/>
      <x:c r="W656" s="12"/>
      <x:c r="X656" s="12"/>
      <x:c r="Y656" s="12"/>
      <x:c r="Z656" s="12"/>
      <x:c r="AA656" s="12"/>
    </x:row>
    <x:row r="657">
      <x:c r="A657" s="12"/>
      <x:c r="B657" s="12"/>
      <x:c r="C657" s="12"/>
      <x:c r="D657" s="12"/>
      <x:c r="E657" s="12"/>
      <x:c r="F657" s="12"/>
      <x:c r="G657" s="17"/>
      <x:c r="H657" s="12"/>
      <x:c r="I657" s="12"/>
      <x:c r="J657" s="18"/>
      <x:c r="K657" s="12"/>
      <x:c r="L657" s="12"/>
      <x:c r="M657" s="12"/>
      <x:c r="N657" s="12"/>
      <x:c r="O657" s="12"/>
      <x:c r="P657" s="12"/>
      <x:c r="Q657" s="12"/>
      <x:c r="R657" s="12"/>
      <x:c r="S657" s="12"/>
      <x:c r="T657" s="12"/>
      <x:c r="U657" s="12"/>
      <x:c r="V657" s="12"/>
      <x:c r="W657" s="12"/>
      <x:c r="X657" s="12"/>
      <x:c r="Y657" s="12"/>
      <x:c r="Z657" s="12"/>
      <x:c r="AA657" s="12"/>
    </x:row>
    <x:row r="658">
      <x:c r="A658" s="12"/>
      <x:c r="B658" s="12"/>
      <x:c r="C658" s="12"/>
      <x:c r="D658" s="12"/>
      <x:c r="E658" s="12"/>
      <x:c r="F658" s="12"/>
      <x:c r="G658" s="17"/>
      <x:c r="H658" s="12"/>
      <x:c r="I658" s="12"/>
      <x:c r="J658" s="18"/>
      <x:c r="K658" s="12"/>
      <x:c r="L658" s="12"/>
      <x:c r="M658" s="12"/>
      <x:c r="N658" s="12"/>
      <x:c r="O658" s="12"/>
      <x:c r="P658" s="12"/>
      <x:c r="Q658" s="12"/>
      <x:c r="R658" s="12"/>
      <x:c r="S658" s="12"/>
      <x:c r="T658" s="12"/>
      <x:c r="U658" s="12"/>
      <x:c r="V658" s="12"/>
      <x:c r="W658" s="12"/>
      <x:c r="X658" s="12"/>
      <x:c r="Y658" s="12"/>
      <x:c r="Z658" s="12"/>
      <x:c r="AA658" s="12"/>
    </x:row>
    <x:row r="659">
      <x:c r="A659" s="12"/>
      <x:c r="B659" s="12"/>
      <x:c r="C659" s="12"/>
      <x:c r="D659" s="12"/>
      <x:c r="E659" s="12"/>
      <x:c r="F659" s="12"/>
      <x:c r="G659" s="17"/>
      <x:c r="H659" s="12"/>
      <x:c r="I659" s="12"/>
      <x:c r="J659" s="18"/>
      <x:c r="K659" s="12"/>
      <x:c r="L659" s="12"/>
      <x:c r="M659" s="12"/>
      <x:c r="N659" s="12"/>
      <x:c r="O659" s="12"/>
      <x:c r="P659" s="12"/>
      <x:c r="Q659" s="12"/>
      <x:c r="R659" s="12"/>
      <x:c r="S659" s="12"/>
      <x:c r="T659" s="12"/>
      <x:c r="U659" s="12"/>
      <x:c r="V659" s="12"/>
      <x:c r="W659" s="12"/>
      <x:c r="X659" s="12"/>
      <x:c r="Y659" s="12"/>
      <x:c r="Z659" s="12"/>
      <x:c r="AA659" s="12"/>
    </x:row>
    <x:row r="660">
      <x:c r="A660" s="12"/>
      <x:c r="B660" s="12"/>
      <x:c r="C660" s="12"/>
      <x:c r="D660" s="12"/>
      <x:c r="E660" s="12"/>
      <x:c r="F660" s="12"/>
      <x:c r="G660" s="17"/>
      <x:c r="H660" s="12"/>
      <x:c r="I660" s="12"/>
      <x:c r="J660" s="18"/>
      <x:c r="K660" s="12"/>
      <x:c r="L660" s="12"/>
      <x:c r="M660" s="12"/>
      <x:c r="N660" s="12"/>
      <x:c r="O660" s="12"/>
      <x:c r="P660" s="12"/>
      <x:c r="Q660" s="12"/>
      <x:c r="R660" s="12"/>
      <x:c r="S660" s="12"/>
      <x:c r="T660" s="12"/>
      <x:c r="U660" s="12"/>
      <x:c r="V660" s="12"/>
      <x:c r="W660" s="12"/>
      <x:c r="X660" s="12"/>
      <x:c r="Y660" s="12"/>
      <x:c r="Z660" s="12"/>
      <x:c r="AA660" s="12"/>
    </x:row>
    <x:row r="661">
      <x:c r="A661" s="12"/>
      <x:c r="B661" s="12"/>
      <x:c r="C661" s="12"/>
      <x:c r="D661" s="12"/>
      <x:c r="E661" s="12"/>
      <x:c r="F661" s="12"/>
      <x:c r="G661" s="17"/>
      <x:c r="H661" s="12"/>
      <x:c r="I661" s="12"/>
      <x:c r="J661" s="18"/>
      <x:c r="K661" s="12"/>
      <x:c r="L661" s="12"/>
      <x:c r="M661" s="12"/>
      <x:c r="N661" s="12"/>
      <x:c r="O661" s="12"/>
      <x:c r="P661" s="12"/>
      <x:c r="Q661" s="12"/>
      <x:c r="R661" s="12"/>
      <x:c r="S661" s="12"/>
      <x:c r="T661" s="12"/>
      <x:c r="U661" s="12"/>
      <x:c r="V661" s="12"/>
      <x:c r="W661" s="12"/>
      <x:c r="X661" s="12"/>
      <x:c r="Y661" s="12"/>
      <x:c r="Z661" s="12"/>
      <x:c r="AA661" s="12"/>
    </x:row>
    <x:row r="662">
      <x:c r="A662" s="12"/>
      <x:c r="B662" s="12"/>
      <x:c r="C662" s="12"/>
      <x:c r="D662" s="12"/>
      <x:c r="E662" s="12"/>
      <x:c r="F662" s="12"/>
      <x:c r="G662" s="17"/>
      <x:c r="H662" s="12"/>
      <x:c r="I662" s="12"/>
      <x:c r="J662" s="18"/>
      <x:c r="K662" s="12"/>
      <x:c r="L662" s="12"/>
      <x:c r="M662" s="12"/>
      <x:c r="N662" s="12"/>
      <x:c r="O662" s="12"/>
      <x:c r="P662" s="12"/>
      <x:c r="Q662" s="12"/>
      <x:c r="R662" s="12"/>
      <x:c r="S662" s="12"/>
      <x:c r="T662" s="12"/>
      <x:c r="U662" s="12"/>
      <x:c r="V662" s="12"/>
      <x:c r="W662" s="12"/>
      <x:c r="X662" s="12"/>
      <x:c r="Y662" s="12"/>
      <x:c r="Z662" s="12"/>
      <x:c r="AA662" s="12"/>
    </x:row>
    <x:row r="663">
      <x:c r="A663" s="12"/>
      <x:c r="B663" s="12"/>
      <x:c r="C663" s="12"/>
      <x:c r="D663" s="12"/>
      <x:c r="E663" s="12"/>
      <x:c r="F663" s="12"/>
      <x:c r="G663" s="17"/>
      <x:c r="H663" s="12"/>
      <x:c r="I663" s="12"/>
      <x:c r="J663" s="18"/>
      <x:c r="K663" s="12"/>
      <x:c r="L663" s="12"/>
      <x:c r="M663" s="12"/>
      <x:c r="N663" s="12"/>
      <x:c r="O663" s="12"/>
      <x:c r="P663" s="12"/>
      <x:c r="Q663" s="12"/>
      <x:c r="R663" s="12"/>
      <x:c r="S663" s="12"/>
      <x:c r="T663" s="12"/>
      <x:c r="U663" s="12"/>
      <x:c r="V663" s="12"/>
      <x:c r="W663" s="12"/>
      <x:c r="X663" s="12"/>
      <x:c r="Y663" s="12"/>
      <x:c r="Z663" s="12"/>
      <x:c r="AA663" s="12"/>
    </x:row>
    <x:row r="664">
      <x:c r="A664" s="12"/>
      <x:c r="B664" s="12"/>
      <x:c r="C664" s="12"/>
      <x:c r="D664" s="12"/>
      <x:c r="E664" s="12"/>
      <x:c r="F664" s="12"/>
      <x:c r="G664" s="17"/>
      <x:c r="H664" s="12"/>
      <x:c r="I664" s="12"/>
      <x:c r="J664" s="18"/>
      <x:c r="K664" s="12"/>
      <x:c r="L664" s="12"/>
      <x:c r="M664" s="12"/>
      <x:c r="N664" s="12"/>
      <x:c r="O664" s="12"/>
      <x:c r="P664" s="12"/>
      <x:c r="Q664" s="12"/>
      <x:c r="R664" s="12"/>
      <x:c r="S664" s="12"/>
      <x:c r="T664" s="12"/>
      <x:c r="U664" s="12"/>
      <x:c r="V664" s="12"/>
      <x:c r="W664" s="12"/>
      <x:c r="X664" s="12"/>
      <x:c r="Y664" s="12"/>
      <x:c r="Z664" s="12"/>
      <x:c r="AA664" s="12"/>
    </x:row>
    <x:row r="665">
      <x:c r="A665" s="12"/>
      <x:c r="B665" s="12"/>
      <x:c r="C665" s="12"/>
      <x:c r="D665" s="12"/>
      <x:c r="E665" s="12"/>
      <x:c r="F665" s="12"/>
      <x:c r="G665" s="17"/>
      <x:c r="H665" s="12"/>
      <x:c r="I665" s="12"/>
      <x:c r="J665" s="18"/>
      <x:c r="K665" s="12"/>
      <x:c r="L665" s="12"/>
      <x:c r="M665" s="12"/>
      <x:c r="N665" s="12"/>
      <x:c r="O665" s="12"/>
      <x:c r="P665" s="12"/>
      <x:c r="Q665" s="12"/>
      <x:c r="R665" s="12"/>
      <x:c r="S665" s="12"/>
      <x:c r="T665" s="12"/>
      <x:c r="U665" s="12"/>
      <x:c r="V665" s="12"/>
      <x:c r="W665" s="12"/>
      <x:c r="X665" s="12"/>
      <x:c r="Y665" s="12"/>
      <x:c r="Z665" s="12"/>
      <x:c r="AA665" s="12"/>
    </x:row>
    <x:row r="666">
      <x:c r="A666" s="12"/>
      <x:c r="B666" s="12"/>
      <x:c r="C666" s="12"/>
      <x:c r="D666" s="12"/>
      <x:c r="E666" s="12"/>
      <x:c r="F666" s="12"/>
      <x:c r="G666" s="17"/>
      <x:c r="H666" s="12"/>
      <x:c r="I666" s="12"/>
      <x:c r="J666" s="18"/>
      <x:c r="K666" s="12"/>
      <x:c r="L666" s="12"/>
      <x:c r="M666" s="12"/>
      <x:c r="N666" s="12"/>
      <x:c r="O666" s="12"/>
      <x:c r="P666" s="12"/>
      <x:c r="Q666" s="12"/>
      <x:c r="R666" s="12"/>
      <x:c r="S666" s="12"/>
      <x:c r="T666" s="12"/>
      <x:c r="U666" s="12"/>
      <x:c r="V666" s="12"/>
      <x:c r="W666" s="12"/>
      <x:c r="X666" s="12"/>
      <x:c r="Y666" s="12"/>
      <x:c r="Z666" s="12"/>
      <x:c r="AA666" s="12"/>
    </x:row>
    <x:row r="667">
      <x:c r="A667" s="12"/>
      <x:c r="B667" s="12"/>
      <x:c r="C667" s="12"/>
      <x:c r="D667" s="12"/>
      <x:c r="E667" s="12"/>
      <x:c r="F667" s="12"/>
      <x:c r="G667" s="17"/>
      <x:c r="H667" s="12"/>
      <x:c r="I667" s="12"/>
      <x:c r="J667" s="18"/>
      <x:c r="K667" s="12"/>
      <x:c r="L667" s="12"/>
      <x:c r="M667" s="12"/>
      <x:c r="N667" s="12"/>
      <x:c r="O667" s="12"/>
      <x:c r="P667" s="12"/>
      <x:c r="Q667" s="12"/>
      <x:c r="R667" s="12"/>
      <x:c r="S667" s="12"/>
      <x:c r="T667" s="12"/>
      <x:c r="U667" s="12"/>
      <x:c r="V667" s="12"/>
      <x:c r="W667" s="12"/>
      <x:c r="X667" s="12"/>
      <x:c r="Y667" s="12"/>
      <x:c r="Z667" s="12"/>
      <x:c r="AA667" s="12"/>
    </x:row>
    <x:row r="668">
      <x:c r="A668" s="12"/>
      <x:c r="B668" s="12"/>
      <x:c r="C668" s="12"/>
      <x:c r="D668" s="12"/>
      <x:c r="E668" s="12"/>
      <x:c r="F668" s="12"/>
      <x:c r="G668" s="17"/>
      <x:c r="H668" s="12"/>
      <x:c r="I668" s="12"/>
      <x:c r="J668" s="18"/>
      <x:c r="K668" s="12"/>
      <x:c r="L668" s="12"/>
      <x:c r="M668" s="12"/>
      <x:c r="N668" s="12"/>
      <x:c r="O668" s="12"/>
      <x:c r="P668" s="12"/>
      <x:c r="Q668" s="12"/>
      <x:c r="R668" s="12"/>
      <x:c r="S668" s="12"/>
      <x:c r="T668" s="12"/>
      <x:c r="U668" s="12"/>
      <x:c r="V668" s="12"/>
      <x:c r="W668" s="12"/>
      <x:c r="X668" s="12"/>
      <x:c r="Y668" s="12"/>
      <x:c r="Z668" s="12"/>
      <x:c r="AA668" s="12"/>
    </x:row>
    <x:row r="669">
      <x:c r="A669" s="12"/>
      <x:c r="B669" s="12"/>
      <x:c r="C669" s="12"/>
      <x:c r="D669" s="12"/>
      <x:c r="E669" s="12"/>
      <x:c r="F669" s="12"/>
      <x:c r="G669" s="17"/>
      <x:c r="H669" s="12"/>
      <x:c r="I669" s="12"/>
      <x:c r="J669" s="18"/>
      <x:c r="K669" s="12"/>
      <x:c r="L669" s="12"/>
      <x:c r="M669" s="12"/>
      <x:c r="N669" s="12"/>
      <x:c r="O669" s="12"/>
      <x:c r="P669" s="12"/>
      <x:c r="Q669" s="12"/>
      <x:c r="R669" s="12"/>
      <x:c r="S669" s="12"/>
      <x:c r="T669" s="12"/>
      <x:c r="U669" s="12"/>
      <x:c r="V669" s="12"/>
      <x:c r="W669" s="12"/>
      <x:c r="X669" s="12"/>
      <x:c r="Y669" s="12"/>
      <x:c r="Z669" s="12"/>
      <x:c r="AA669" s="12"/>
    </x:row>
    <x:row r="670">
      <x:c r="A670" s="12"/>
      <x:c r="B670" s="12"/>
      <x:c r="C670" s="12"/>
      <x:c r="D670" s="12"/>
      <x:c r="E670" s="12"/>
      <x:c r="F670" s="12"/>
      <x:c r="G670" s="17"/>
      <x:c r="H670" s="12"/>
      <x:c r="I670" s="12"/>
      <x:c r="J670" s="18"/>
      <x:c r="K670" s="12"/>
      <x:c r="L670" s="12"/>
      <x:c r="M670" s="12"/>
      <x:c r="N670" s="12"/>
      <x:c r="O670" s="12"/>
      <x:c r="P670" s="12"/>
      <x:c r="Q670" s="12"/>
      <x:c r="R670" s="12"/>
      <x:c r="S670" s="12"/>
      <x:c r="T670" s="12"/>
      <x:c r="U670" s="12"/>
      <x:c r="V670" s="12"/>
      <x:c r="W670" s="12"/>
      <x:c r="X670" s="12"/>
      <x:c r="Y670" s="12"/>
      <x:c r="Z670" s="12"/>
      <x:c r="AA670" s="12"/>
    </x:row>
    <x:row r="671">
      <x:c r="A671" s="12"/>
      <x:c r="B671" s="12"/>
      <x:c r="C671" s="12"/>
      <x:c r="D671" s="12"/>
      <x:c r="E671" s="12"/>
      <x:c r="F671" s="12"/>
      <x:c r="G671" s="17"/>
      <x:c r="H671" s="12"/>
      <x:c r="I671" s="12"/>
      <x:c r="J671" s="18"/>
      <x:c r="K671" s="12"/>
      <x:c r="L671" s="12"/>
      <x:c r="M671" s="12"/>
      <x:c r="N671" s="12"/>
      <x:c r="O671" s="12"/>
      <x:c r="P671" s="12"/>
      <x:c r="Q671" s="12"/>
      <x:c r="R671" s="12"/>
      <x:c r="S671" s="12"/>
      <x:c r="T671" s="12"/>
      <x:c r="U671" s="12"/>
      <x:c r="V671" s="12"/>
      <x:c r="W671" s="12"/>
      <x:c r="X671" s="12"/>
      <x:c r="Y671" s="12"/>
      <x:c r="Z671" s="12"/>
      <x:c r="AA671" s="12"/>
    </x:row>
    <x:row r="672">
      <x:c r="A672" s="12"/>
      <x:c r="B672" s="12"/>
      <x:c r="C672" s="12"/>
      <x:c r="D672" s="12"/>
      <x:c r="E672" s="12"/>
      <x:c r="F672" s="12"/>
      <x:c r="G672" s="17"/>
      <x:c r="H672" s="12"/>
      <x:c r="I672" s="12"/>
      <x:c r="J672" s="18"/>
      <x:c r="K672" s="12"/>
      <x:c r="L672" s="12"/>
      <x:c r="M672" s="12"/>
      <x:c r="N672" s="12"/>
      <x:c r="O672" s="12"/>
      <x:c r="P672" s="12"/>
      <x:c r="Q672" s="12"/>
      <x:c r="R672" s="12"/>
      <x:c r="S672" s="12"/>
      <x:c r="T672" s="12"/>
      <x:c r="U672" s="12"/>
      <x:c r="V672" s="12"/>
      <x:c r="W672" s="12"/>
      <x:c r="X672" s="12"/>
      <x:c r="Y672" s="12"/>
      <x:c r="Z672" s="12"/>
      <x:c r="AA672" s="12"/>
    </x:row>
    <x:row r="673">
      <x:c r="A673" s="12"/>
      <x:c r="B673" s="12"/>
      <x:c r="C673" s="12"/>
      <x:c r="D673" s="12"/>
      <x:c r="E673" s="12"/>
      <x:c r="F673" s="12"/>
      <x:c r="G673" s="17"/>
      <x:c r="H673" s="12"/>
      <x:c r="I673" s="12"/>
      <x:c r="J673" s="18"/>
      <x:c r="K673" s="12"/>
      <x:c r="L673" s="12"/>
      <x:c r="M673" s="12"/>
      <x:c r="N673" s="12"/>
      <x:c r="O673" s="12"/>
      <x:c r="P673" s="12"/>
      <x:c r="Q673" s="12"/>
      <x:c r="R673" s="12"/>
      <x:c r="S673" s="12"/>
      <x:c r="T673" s="12"/>
      <x:c r="U673" s="12"/>
      <x:c r="V673" s="12"/>
      <x:c r="W673" s="12"/>
      <x:c r="X673" s="12"/>
      <x:c r="Y673" s="12"/>
      <x:c r="Z673" s="12"/>
      <x:c r="AA673" s="12"/>
    </x:row>
    <x:row r="674">
      <x:c r="A674" s="12"/>
      <x:c r="B674" s="12"/>
      <x:c r="C674" s="12"/>
      <x:c r="D674" s="12"/>
      <x:c r="E674" s="12"/>
      <x:c r="F674" s="12"/>
      <x:c r="G674" s="17"/>
      <x:c r="H674" s="12"/>
      <x:c r="I674" s="12"/>
      <x:c r="J674" s="18"/>
      <x:c r="K674" s="12"/>
      <x:c r="L674" s="12"/>
      <x:c r="M674" s="12"/>
      <x:c r="N674" s="12"/>
      <x:c r="O674" s="12"/>
      <x:c r="P674" s="12"/>
      <x:c r="Q674" s="12"/>
      <x:c r="R674" s="12"/>
      <x:c r="S674" s="12"/>
      <x:c r="T674" s="12"/>
      <x:c r="U674" s="12"/>
      <x:c r="V674" s="12"/>
      <x:c r="W674" s="12"/>
      <x:c r="X674" s="12"/>
      <x:c r="Y674" s="12"/>
      <x:c r="Z674" s="12"/>
      <x:c r="AA674" s="12"/>
    </x:row>
    <x:row r="675">
      <x:c r="A675" s="12"/>
      <x:c r="B675" s="12"/>
      <x:c r="C675" s="12"/>
      <x:c r="D675" s="12"/>
      <x:c r="E675" s="12"/>
      <x:c r="F675" s="12"/>
      <x:c r="G675" s="17"/>
      <x:c r="H675" s="12"/>
      <x:c r="I675" s="12"/>
      <x:c r="J675" s="18"/>
      <x:c r="K675" s="12"/>
      <x:c r="L675" s="12"/>
      <x:c r="M675" s="12"/>
      <x:c r="N675" s="12"/>
      <x:c r="O675" s="12"/>
      <x:c r="P675" s="12"/>
      <x:c r="Q675" s="12"/>
      <x:c r="R675" s="12"/>
      <x:c r="S675" s="12"/>
      <x:c r="T675" s="12"/>
      <x:c r="U675" s="12"/>
      <x:c r="V675" s="12"/>
      <x:c r="W675" s="12"/>
      <x:c r="X675" s="12"/>
      <x:c r="Y675" s="12"/>
      <x:c r="Z675" s="12"/>
      <x:c r="AA675" s="12"/>
    </x:row>
    <x:row r="676">
      <x:c r="A676" s="12"/>
      <x:c r="B676" s="12"/>
      <x:c r="C676" s="12"/>
      <x:c r="D676" s="12"/>
      <x:c r="E676" s="12"/>
      <x:c r="F676" s="12"/>
      <x:c r="G676" s="17"/>
      <x:c r="H676" s="12"/>
      <x:c r="I676" s="12"/>
      <x:c r="J676" s="18"/>
      <x:c r="K676" s="12"/>
      <x:c r="L676" s="12"/>
      <x:c r="M676" s="12"/>
      <x:c r="N676" s="12"/>
      <x:c r="O676" s="12"/>
      <x:c r="P676" s="12"/>
      <x:c r="Q676" s="12"/>
      <x:c r="R676" s="12"/>
      <x:c r="S676" s="12"/>
      <x:c r="T676" s="12"/>
      <x:c r="U676" s="12"/>
      <x:c r="V676" s="12"/>
      <x:c r="W676" s="12"/>
      <x:c r="X676" s="12"/>
      <x:c r="Y676" s="12"/>
      <x:c r="Z676" s="12"/>
      <x:c r="AA676" s="12"/>
    </x:row>
    <x:row r="677">
      <x:c r="A677" s="12"/>
      <x:c r="B677" s="12"/>
      <x:c r="C677" s="12"/>
      <x:c r="D677" s="12"/>
      <x:c r="E677" s="12"/>
      <x:c r="F677" s="12"/>
      <x:c r="G677" s="17"/>
      <x:c r="H677" s="12"/>
      <x:c r="I677" s="12"/>
      <x:c r="J677" s="18"/>
      <x:c r="K677" s="12"/>
      <x:c r="L677" s="12"/>
      <x:c r="M677" s="12"/>
      <x:c r="N677" s="12"/>
      <x:c r="O677" s="12"/>
      <x:c r="P677" s="12"/>
      <x:c r="Q677" s="12"/>
      <x:c r="R677" s="12"/>
      <x:c r="S677" s="12"/>
      <x:c r="T677" s="12"/>
      <x:c r="U677" s="12"/>
      <x:c r="V677" s="12"/>
      <x:c r="W677" s="12"/>
      <x:c r="X677" s="12"/>
      <x:c r="Y677" s="12"/>
      <x:c r="Z677" s="12"/>
      <x:c r="AA677" s="12"/>
    </x:row>
    <x:row r="678">
      <x:c r="A678" s="12"/>
      <x:c r="B678" s="12"/>
      <x:c r="C678" s="12"/>
      <x:c r="D678" s="12"/>
      <x:c r="E678" s="12"/>
      <x:c r="F678" s="12"/>
      <x:c r="G678" s="17"/>
      <x:c r="H678" s="12"/>
      <x:c r="I678" s="12"/>
      <x:c r="J678" s="18"/>
      <x:c r="K678" s="12"/>
      <x:c r="L678" s="12"/>
      <x:c r="M678" s="12"/>
      <x:c r="N678" s="12"/>
      <x:c r="O678" s="12"/>
      <x:c r="P678" s="12"/>
      <x:c r="Q678" s="12"/>
      <x:c r="R678" s="12"/>
      <x:c r="S678" s="12"/>
      <x:c r="T678" s="12"/>
      <x:c r="U678" s="12"/>
      <x:c r="V678" s="12"/>
      <x:c r="W678" s="12"/>
      <x:c r="X678" s="12"/>
      <x:c r="Y678" s="12"/>
      <x:c r="Z678" s="12"/>
      <x:c r="AA678" s="12"/>
    </x:row>
    <x:row r="679">
      <x:c r="A679" s="12"/>
      <x:c r="B679" s="12"/>
      <x:c r="C679" s="12"/>
      <x:c r="D679" s="12"/>
      <x:c r="E679" s="12"/>
      <x:c r="F679" s="12"/>
      <x:c r="G679" s="17"/>
      <x:c r="H679" s="12"/>
      <x:c r="I679" s="12"/>
      <x:c r="J679" s="18"/>
      <x:c r="K679" s="12"/>
      <x:c r="L679" s="12"/>
      <x:c r="M679" s="12"/>
      <x:c r="N679" s="12"/>
      <x:c r="O679" s="12"/>
      <x:c r="P679" s="12"/>
      <x:c r="Q679" s="12"/>
      <x:c r="R679" s="12"/>
      <x:c r="S679" s="12"/>
      <x:c r="T679" s="12"/>
      <x:c r="U679" s="12"/>
      <x:c r="V679" s="12"/>
      <x:c r="W679" s="12"/>
      <x:c r="X679" s="12"/>
      <x:c r="Y679" s="12"/>
      <x:c r="Z679" s="12"/>
      <x:c r="AA679" s="12"/>
    </x:row>
    <x:row r="680">
      <x:c r="A680" s="12"/>
      <x:c r="B680" s="12"/>
      <x:c r="C680" s="12"/>
      <x:c r="D680" s="12"/>
      <x:c r="E680" s="12"/>
      <x:c r="F680" s="12"/>
      <x:c r="G680" s="17"/>
      <x:c r="H680" s="12"/>
      <x:c r="I680" s="12"/>
      <x:c r="J680" s="18"/>
      <x:c r="K680" s="12"/>
      <x:c r="L680" s="12"/>
      <x:c r="M680" s="12"/>
      <x:c r="N680" s="12"/>
      <x:c r="O680" s="12"/>
      <x:c r="P680" s="12"/>
      <x:c r="Q680" s="12"/>
      <x:c r="R680" s="12"/>
      <x:c r="S680" s="12"/>
      <x:c r="T680" s="12"/>
      <x:c r="U680" s="12"/>
      <x:c r="V680" s="12"/>
      <x:c r="W680" s="12"/>
      <x:c r="X680" s="12"/>
      <x:c r="Y680" s="12"/>
      <x:c r="Z680" s="12"/>
      <x:c r="AA680" s="12"/>
    </x:row>
    <x:row r="681">
      <x:c r="A681" s="12"/>
      <x:c r="B681" s="12"/>
      <x:c r="C681" s="12"/>
      <x:c r="D681" s="12"/>
      <x:c r="E681" s="12"/>
      <x:c r="F681" s="12"/>
      <x:c r="G681" s="17"/>
      <x:c r="H681" s="12"/>
      <x:c r="I681" s="12"/>
      <x:c r="J681" s="18"/>
      <x:c r="K681" s="12"/>
      <x:c r="L681" s="12"/>
      <x:c r="M681" s="12"/>
      <x:c r="N681" s="12"/>
      <x:c r="O681" s="12"/>
      <x:c r="P681" s="12"/>
      <x:c r="Q681" s="12"/>
      <x:c r="R681" s="12"/>
      <x:c r="S681" s="12"/>
      <x:c r="T681" s="12"/>
      <x:c r="U681" s="12"/>
      <x:c r="V681" s="12"/>
      <x:c r="W681" s="12"/>
      <x:c r="X681" s="12"/>
      <x:c r="Y681" s="12"/>
      <x:c r="Z681" s="12"/>
      <x:c r="AA681" s="12"/>
    </x:row>
    <x:row r="682">
      <x:c r="A682" s="12"/>
      <x:c r="B682" s="12"/>
      <x:c r="C682" s="12"/>
      <x:c r="D682" s="12"/>
      <x:c r="E682" s="12"/>
      <x:c r="F682" s="12"/>
      <x:c r="G682" s="17"/>
      <x:c r="H682" s="12"/>
      <x:c r="I682" s="12"/>
      <x:c r="J682" s="18"/>
      <x:c r="K682" s="12"/>
      <x:c r="L682" s="12"/>
      <x:c r="M682" s="12"/>
      <x:c r="N682" s="12"/>
      <x:c r="O682" s="12"/>
      <x:c r="P682" s="12"/>
      <x:c r="Q682" s="12"/>
      <x:c r="R682" s="12"/>
      <x:c r="S682" s="12"/>
      <x:c r="T682" s="12"/>
      <x:c r="U682" s="12"/>
      <x:c r="V682" s="12"/>
      <x:c r="W682" s="12"/>
      <x:c r="X682" s="12"/>
      <x:c r="Y682" s="12"/>
      <x:c r="Z682" s="12"/>
      <x:c r="AA682" s="12"/>
    </x:row>
    <x:row r="683">
      <x:c r="A683" s="12"/>
      <x:c r="B683" s="12"/>
      <x:c r="C683" s="12"/>
      <x:c r="D683" s="12"/>
      <x:c r="E683" s="12"/>
      <x:c r="F683" s="12"/>
      <x:c r="G683" s="17"/>
      <x:c r="H683" s="12"/>
      <x:c r="I683" s="12"/>
      <x:c r="J683" s="18"/>
      <x:c r="K683" s="12"/>
      <x:c r="L683" s="12"/>
      <x:c r="M683" s="12"/>
      <x:c r="N683" s="12"/>
      <x:c r="O683" s="12"/>
      <x:c r="P683" s="12"/>
      <x:c r="Q683" s="12"/>
      <x:c r="R683" s="12"/>
      <x:c r="S683" s="12"/>
      <x:c r="T683" s="12"/>
      <x:c r="U683" s="12"/>
      <x:c r="V683" s="12"/>
      <x:c r="W683" s="12"/>
      <x:c r="X683" s="12"/>
      <x:c r="Y683" s="12"/>
      <x:c r="Z683" s="12"/>
      <x:c r="AA683" s="12"/>
    </x:row>
    <x:row r="684">
      <x:c r="A684" s="12"/>
      <x:c r="B684" s="12"/>
      <x:c r="C684" s="12"/>
      <x:c r="D684" s="12"/>
      <x:c r="E684" s="12"/>
      <x:c r="F684" s="12"/>
      <x:c r="G684" s="17"/>
      <x:c r="H684" s="12"/>
      <x:c r="I684" s="12"/>
      <x:c r="J684" s="18"/>
      <x:c r="K684" s="12"/>
      <x:c r="L684" s="12"/>
      <x:c r="M684" s="12"/>
      <x:c r="N684" s="12"/>
      <x:c r="O684" s="12"/>
      <x:c r="P684" s="12"/>
      <x:c r="Q684" s="12"/>
      <x:c r="R684" s="12"/>
      <x:c r="S684" s="12"/>
      <x:c r="T684" s="12"/>
      <x:c r="U684" s="12"/>
      <x:c r="V684" s="12"/>
      <x:c r="W684" s="12"/>
      <x:c r="X684" s="12"/>
      <x:c r="Y684" s="12"/>
      <x:c r="Z684" s="12"/>
      <x:c r="AA684" s="12"/>
    </x:row>
    <x:row r="685">
      <x:c r="A685" s="12"/>
      <x:c r="B685" s="12"/>
      <x:c r="C685" s="12"/>
      <x:c r="D685" s="12"/>
      <x:c r="E685" s="12"/>
      <x:c r="F685" s="12"/>
      <x:c r="G685" s="17"/>
      <x:c r="H685" s="12"/>
      <x:c r="I685" s="12"/>
      <x:c r="J685" s="18"/>
      <x:c r="K685" s="12"/>
      <x:c r="L685" s="12"/>
      <x:c r="M685" s="12"/>
      <x:c r="N685" s="12"/>
      <x:c r="O685" s="12"/>
      <x:c r="P685" s="12"/>
      <x:c r="Q685" s="12"/>
      <x:c r="R685" s="12"/>
      <x:c r="S685" s="12"/>
      <x:c r="T685" s="12"/>
      <x:c r="U685" s="12"/>
      <x:c r="V685" s="12"/>
      <x:c r="W685" s="12"/>
      <x:c r="X685" s="12"/>
      <x:c r="Y685" s="12"/>
      <x:c r="Z685" s="12"/>
      <x:c r="AA685" s="12"/>
    </x:row>
    <x:row r="686">
      <x:c r="A686" s="12"/>
      <x:c r="B686" s="12"/>
      <x:c r="C686" s="12"/>
      <x:c r="D686" s="12"/>
      <x:c r="E686" s="12"/>
      <x:c r="F686" s="12"/>
      <x:c r="G686" s="17"/>
      <x:c r="H686" s="12"/>
      <x:c r="I686" s="12"/>
      <x:c r="J686" s="18"/>
      <x:c r="K686" s="12"/>
      <x:c r="L686" s="12"/>
      <x:c r="M686" s="12"/>
      <x:c r="N686" s="12"/>
      <x:c r="O686" s="12"/>
      <x:c r="P686" s="12"/>
      <x:c r="Q686" s="12"/>
      <x:c r="R686" s="12"/>
      <x:c r="S686" s="12"/>
      <x:c r="T686" s="12"/>
      <x:c r="U686" s="12"/>
      <x:c r="V686" s="12"/>
      <x:c r="W686" s="12"/>
      <x:c r="X686" s="12"/>
      <x:c r="Y686" s="12"/>
      <x:c r="Z686" s="12"/>
      <x:c r="AA686" s="12"/>
    </x:row>
    <x:row r="687">
      <x:c r="A687" s="12"/>
      <x:c r="B687" s="12"/>
      <x:c r="C687" s="12"/>
      <x:c r="D687" s="12"/>
      <x:c r="E687" s="12"/>
      <x:c r="F687" s="12"/>
      <x:c r="G687" s="17"/>
      <x:c r="H687" s="12"/>
      <x:c r="I687" s="12"/>
      <x:c r="J687" s="18"/>
      <x:c r="K687" s="12"/>
      <x:c r="L687" s="12"/>
      <x:c r="M687" s="12"/>
      <x:c r="N687" s="12"/>
      <x:c r="O687" s="12"/>
      <x:c r="P687" s="12"/>
      <x:c r="Q687" s="12"/>
      <x:c r="R687" s="12"/>
      <x:c r="S687" s="12"/>
      <x:c r="T687" s="12"/>
      <x:c r="U687" s="12"/>
      <x:c r="V687" s="12"/>
      <x:c r="W687" s="12"/>
      <x:c r="X687" s="12"/>
      <x:c r="Y687" s="12"/>
      <x:c r="Z687" s="12"/>
      <x:c r="AA687" s="12"/>
    </x:row>
    <x:row r="688">
      <x:c r="A688" s="12"/>
      <x:c r="B688" s="12"/>
      <x:c r="C688" s="12"/>
      <x:c r="D688" s="12"/>
      <x:c r="E688" s="12"/>
      <x:c r="F688" s="12"/>
      <x:c r="G688" s="17"/>
      <x:c r="H688" s="12"/>
      <x:c r="I688" s="12"/>
      <x:c r="J688" s="18"/>
      <x:c r="K688" s="12"/>
      <x:c r="L688" s="12"/>
      <x:c r="M688" s="12"/>
      <x:c r="N688" s="12"/>
      <x:c r="O688" s="12"/>
      <x:c r="P688" s="12"/>
      <x:c r="Q688" s="12"/>
      <x:c r="R688" s="12"/>
      <x:c r="S688" s="12"/>
      <x:c r="T688" s="12"/>
      <x:c r="U688" s="12"/>
      <x:c r="V688" s="12"/>
      <x:c r="W688" s="12"/>
      <x:c r="X688" s="12"/>
      <x:c r="Y688" s="12"/>
      <x:c r="Z688" s="12"/>
      <x:c r="AA688" s="12"/>
    </x:row>
    <x:row r="689">
      <x:c r="A689" s="12"/>
      <x:c r="B689" s="12"/>
      <x:c r="C689" s="12"/>
      <x:c r="D689" s="12"/>
      <x:c r="E689" s="12"/>
      <x:c r="F689" s="12"/>
      <x:c r="G689" s="17"/>
      <x:c r="H689" s="12"/>
      <x:c r="I689" s="12"/>
      <x:c r="J689" s="18"/>
      <x:c r="K689" s="12"/>
      <x:c r="L689" s="12"/>
      <x:c r="M689" s="12"/>
      <x:c r="N689" s="12"/>
      <x:c r="O689" s="12"/>
      <x:c r="P689" s="12"/>
      <x:c r="Q689" s="12"/>
      <x:c r="R689" s="12"/>
      <x:c r="S689" s="12"/>
      <x:c r="T689" s="12"/>
      <x:c r="U689" s="12"/>
      <x:c r="V689" s="12"/>
      <x:c r="W689" s="12"/>
      <x:c r="X689" s="12"/>
      <x:c r="Y689" s="12"/>
      <x:c r="Z689" s="12"/>
      <x:c r="AA689" s="12"/>
    </x:row>
    <x:row r="690">
      <x:c r="A690" s="12"/>
      <x:c r="B690" s="12"/>
      <x:c r="C690" s="12"/>
      <x:c r="D690" s="12"/>
      <x:c r="E690" s="12"/>
      <x:c r="F690" s="12"/>
      <x:c r="G690" s="17"/>
      <x:c r="H690" s="12"/>
      <x:c r="I690" s="12"/>
      <x:c r="J690" s="18"/>
      <x:c r="K690" s="12"/>
      <x:c r="L690" s="12"/>
      <x:c r="M690" s="12"/>
      <x:c r="N690" s="12"/>
      <x:c r="O690" s="12"/>
      <x:c r="P690" s="12"/>
      <x:c r="Q690" s="12"/>
      <x:c r="R690" s="12"/>
      <x:c r="S690" s="12"/>
      <x:c r="T690" s="12"/>
      <x:c r="U690" s="12"/>
      <x:c r="V690" s="12"/>
      <x:c r="W690" s="12"/>
      <x:c r="X690" s="12"/>
      <x:c r="Y690" s="12"/>
      <x:c r="Z690" s="12"/>
      <x:c r="AA690" s="12"/>
    </x:row>
    <x:row r="691">
      <x:c r="A691" s="12"/>
      <x:c r="B691" s="12"/>
      <x:c r="C691" s="12"/>
      <x:c r="D691" s="12"/>
      <x:c r="E691" s="12"/>
      <x:c r="F691" s="12"/>
      <x:c r="G691" s="17"/>
      <x:c r="H691" s="12"/>
      <x:c r="I691" s="12"/>
      <x:c r="J691" s="18"/>
      <x:c r="K691" s="12"/>
      <x:c r="L691" s="12"/>
      <x:c r="M691" s="12"/>
      <x:c r="N691" s="12"/>
      <x:c r="O691" s="12"/>
      <x:c r="P691" s="12"/>
      <x:c r="Q691" s="12"/>
      <x:c r="R691" s="12"/>
      <x:c r="S691" s="12"/>
      <x:c r="T691" s="12"/>
      <x:c r="U691" s="12"/>
      <x:c r="V691" s="12"/>
      <x:c r="W691" s="12"/>
      <x:c r="X691" s="12"/>
      <x:c r="Y691" s="12"/>
      <x:c r="Z691" s="12"/>
      <x:c r="AA691" s="12"/>
    </x:row>
    <x:row r="692">
      <x:c r="A692" s="12"/>
      <x:c r="B692" s="12"/>
      <x:c r="C692" s="12"/>
      <x:c r="D692" s="12"/>
      <x:c r="E692" s="12"/>
      <x:c r="F692" s="12"/>
      <x:c r="G692" s="17"/>
      <x:c r="H692" s="12"/>
      <x:c r="I692" s="12"/>
      <x:c r="J692" s="18"/>
      <x:c r="K692" s="12"/>
      <x:c r="L692" s="12"/>
      <x:c r="M692" s="12"/>
      <x:c r="N692" s="12"/>
      <x:c r="O692" s="12"/>
      <x:c r="P692" s="12"/>
      <x:c r="Q692" s="12"/>
      <x:c r="R692" s="12"/>
      <x:c r="S692" s="12"/>
      <x:c r="T692" s="12"/>
      <x:c r="U692" s="12"/>
      <x:c r="V692" s="12"/>
      <x:c r="W692" s="12"/>
      <x:c r="X692" s="12"/>
      <x:c r="Y692" s="12"/>
      <x:c r="Z692" s="12"/>
      <x:c r="AA692" s="12"/>
    </x:row>
    <x:row r="693">
      <x:c r="A693" s="12"/>
      <x:c r="B693" s="12"/>
      <x:c r="C693" s="12"/>
      <x:c r="D693" s="12"/>
      <x:c r="E693" s="12"/>
      <x:c r="F693" s="12"/>
      <x:c r="G693" s="17"/>
      <x:c r="H693" s="12"/>
      <x:c r="I693" s="12"/>
      <x:c r="J693" s="18"/>
      <x:c r="K693" s="12"/>
      <x:c r="L693" s="12"/>
      <x:c r="M693" s="12"/>
      <x:c r="N693" s="12"/>
      <x:c r="O693" s="12"/>
      <x:c r="P693" s="12"/>
      <x:c r="Q693" s="12"/>
      <x:c r="R693" s="12"/>
      <x:c r="S693" s="12"/>
      <x:c r="T693" s="12"/>
      <x:c r="U693" s="12"/>
      <x:c r="V693" s="12"/>
      <x:c r="W693" s="12"/>
      <x:c r="X693" s="12"/>
      <x:c r="Y693" s="12"/>
      <x:c r="Z693" s="12"/>
      <x:c r="AA693" s="12"/>
    </x:row>
    <x:row r="694">
      <x:c r="A694" s="12"/>
      <x:c r="B694" s="12"/>
      <x:c r="C694" s="12"/>
      <x:c r="D694" s="12"/>
      <x:c r="E694" s="12"/>
      <x:c r="F694" s="12"/>
      <x:c r="G694" s="17"/>
      <x:c r="H694" s="12"/>
      <x:c r="I694" s="12"/>
      <x:c r="J694" s="18"/>
      <x:c r="K694" s="12"/>
      <x:c r="L694" s="12"/>
      <x:c r="M694" s="12"/>
      <x:c r="N694" s="12"/>
      <x:c r="O694" s="12"/>
      <x:c r="P694" s="12"/>
      <x:c r="Q694" s="12"/>
      <x:c r="R694" s="12"/>
      <x:c r="S694" s="12"/>
      <x:c r="T694" s="12"/>
      <x:c r="U694" s="12"/>
      <x:c r="V694" s="12"/>
      <x:c r="W694" s="12"/>
      <x:c r="X694" s="12"/>
      <x:c r="Y694" s="12"/>
      <x:c r="Z694" s="12"/>
      <x:c r="AA694" s="12"/>
    </x:row>
    <x:row r="695">
      <x:c r="A695" s="12"/>
      <x:c r="B695" s="12"/>
      <x:c r="C695" s="12"/>
      <x:c r="D695" s="12"/>
      <x:c r="E695" s="12"/>
      <x:c r="F695" s="12"/>
      <x:c r="G695" s="17"/>
      <x:c r="H695" s="12"/>
      <x:c r="I695" s="12"/>
      <x:c r="J695" s="18"/>
      <x:c r="K695" s="12"/>
      <x:c r="L695" s="12"/>
      <x:c r="M695" s="12"/>
      <x:c r="N695" s="12"/>
      <x:c r="O695" s="12"/>
      <x:c r="P695" s="12"/>
      <x:c r="Q695" s="12"/>
      <x:c r="R695" s="12"/>
      <x:c r="S695" s="12"/>
      <x:c r="T695" s="12"/>
      <x:c r="U695" s="12"/>
      <x:c r="V695" s="12"/>
      <x:c r="W695" s="12"/>
      <x:c r="X695" s="12"/>
      <x:c r="Y695" s="12"/>
      <x:c r="Z695" s="12"/>
      <x:c r="AA695" s="12"/>
    </x:row>
    <x:row r="696">
      <x:c r="A696" s="12"/>
      <x:c r="B696" s="12"/>
      <x:c r="C696" s="12"/>
      <x:c r="D696" s="12"/>
      <x:c r="E696" s="12"/>
      <x:c r="F696" s="12"/>
      <x:c r="G696" s="17"/>
      <x:c r="H696" s="12"/>
      <x:c r="I696" s="12"/>
      <x:c r="J696" s="18"/>
      <x:c r="K696" s="12"/>
      <x:c r="L696" s="12"/>
      <x:c r="M696" s="12"/>
      <x:c r="N696" s="12"/>
      <x:c r="O696" s="12"/>
      <x:c r="P696" s="12"/>
      <x:c r="Q696" s="12"/>
      <x:c r="R696" s="12"/>
      <x:c r="S696" s="12"/>
      <x:c r="T696" s="12"/>
      <x:c r="U696" s="12"/>
      <x:c r="V696" s="12"/>
      <x:c r="W696" s="12"/>
      <x:c r="X696" s="12"/>
      <x:c r="Y696" s="12"/>
      <x:c r="Z696" s="12"/>
      <x:c r="AA696" s="12"/>
    </x:row>
    <x:row r="697">
      <x:c r="A697" s="12"/>
      <x:c r="B697" s="12"/>
      <x:c r="C697" s="12"/>
      <x:c r="D697" s="12"/>
      <x:c r="E697" s="12"/>
      <x:c r="F697" s="12"/>
      <x:c r="G697" s="17"/>
      <x:c r="H697" s="12"/>
      <x:c r="I697" s="12"/>
      <x:c r="J697" s="18"/>
      <x:c r="K697" s="12"/>
      <x:c r="L697" s="12"/>
      <x:c r="M697" s="12"/>
      <x:c r="N697" s="12"/>
      <x:c r="O697" s="12"/>
      <x:c r="P697" s="12"/>
      <x:c r="Q697" s="12"/>
      <x:c r="R697" s="12"/>
      <x:c r="S697" s="12"/>
      <x:c r="T697" s="12"/>
      <x:c r="U697" s="12"/>
      <x:c r="V697" s="12"/>
      <x:c r="W697" s="12"/>
      <x:c r="X697" s="12"/>
      <x:c r="Y697" s="12"/>
      <x:c r="Z697" s="12"/>
      <x:c r="AA697" s="12"/>
    </x:row>
    <x:row r="698">
      <x:c r="A698" s="12"/>
      <x:c r="B698" s="12"/>
      <x:c r="C698" s="12"/>
      <x:c r="D698" s="12"/>
      <x:c r="E698" s="12"/>
      <x:c r="F698" s="12"/>
      <x:c r="G698" s="17"/>
      <x:c r="H698" s="12"/>
      <x:c r="I698" s="12"/>
      <x:c r="J698" s="18"/>
      <x:c r="K698" s="12"/>
      <x:c r="L698" s="12"/>
      <x:c r="M698" s="12"/>
      <x:c r="N698" s="12"/>
      <x:c r="O698" s="12"/>
      <x:c r="P698" s="12"/>
      <x:c r="Q698" s="12"/>
      <x:c r="R698" s="12"/>
      <x:c r="S698" s="12"/>
      <x:c r="T698" s="12"/>
      <x:c r="U698" s="12"/>
      <x:c r="V698" s="12"/>
      <x:c r="W698" s="12"/>
      <x:c r="X698" s="12"/>
      <x:c r="Y698" s="12"/>
      <x:c r="Z698" s="12"/>
      <x:c r="AA698" s="12"/>
    </x:row>
    <x:row r="699">
      <x:c r="A699" s="12"/>
      <x:c r="B699" s="12"/>
      <x:c r="C699" s="12"/>
      <x:c r="D699" s="12"/>
      <x:c r="E699" s="12"/>
      <x:c r="F699" s="12"/>
      <x:c r="G699" s="17"/>
      <x:c r="H699" s="12"/>
      <x:c r="I699" s="12"/>
      <x:c r="J699" s="18"/>
      <x:c r="K699" s="12"/>
      <x:c r="L699" s="12"/>
      <x:c r="M699" s="12"/>
      <x:c r="N699" s="12"/>
      <x:c r="O699" s="12"/>
      <x:c r="P699" s="12"/>
      <x:c r="Q699" s="12"/>
      <x:c r="R699" s="12"/>
      <x:c r="S699" s="12"/>
      <x:c r="T699" s="12"/>
      <x:c r="U699" s="12"/>
      <x:c r="V699" s="12"/>
      <x:c r="W699" s="12"/>
      <x:c r="X699" s="12"/>
      <x:c r="Y699" s="12"/>
      <x:c r="Z699" s="12"/>
      <x:c r="AA699" s="12"/>
    </x:row>
    <x:row r="700">
      <x:c r="A700" s="12"/>
      <x:c r="B700" s="12"/>
      <x:c r="C700" s="12"/>
      <x:c r="D700" s="12"/>
      <x:c r="E700" s="12"/>
      <x:c r="F700" s="12"/>
      <x:c r="G700" s="17"/>
      <x:c r="H700" s="12"/>
      <x:c r="I700" s="12"/>
      <x:c r="J700" s="18"/>
      <x:c r="K700" s="12"/>
      <x:c r="L700" s="12"/>
      <x:c r="M700" s="12"/>
      <x:c r="N700" s="12"/>
      <x:c r="O700" s="12"/>
      <x:c r="P700" s="12"/>
      <x:c r="Q700" s="12"/>
      <x:c r="R700" s="12"/>
      <x:c r="S700" s="12"/>
      <x:c r="T700" s="12"/>
      <x:c r="U700" s="12"/>
      <x:c r="V700" s="12"/>
      <x:c r="W700" s="12"/>
      <x:c r="X700" s="12"/>
      <x:c r="Y700" s="12"/>
      <x:c r="Z700" s="12"/>
      <x:c r="AA700" s="12"/>
    </x:row>
    <x:row r="701">
      <x:c r="A701" s="12"/>
      <x:c r="B701" s="12"/>
      <x:c r="C701" s="12"/>
      <x:c r="D701" s="12"/>
      <x:c r="E701" s="12"/>
      <x:c r="F701" s="12"/>
      <x:c r="G701" s="17"/>
      <x:c r="H701" s="12"/>
      <x:c r="I701" s="12"/>
      <x:c r="J701" s="18"/>
      <x:c r="K701" s="12"/>
      <x:c r="L701" s="12"/>
      <x:c r="M701" s="12"/>
      <x:c r="N701" s="12"/>
      <x:c r="O701" s="12"/>
      <x:c r="P701" s="12"/>
      <x:c r="Q701" s="12"/>
      <x:c r="R701" s="12"/>
      <x:c r="S701" s="12"/>
      <x:c r="T701" s="12"/>
      <x:c r="U701" s="12"/>
      <x:c r="V701" s="12"/>
      <x:c r="W701" s="12"/>
      <x:c r="X701" s="12"/>
      <x:c r="Y701" s="12"/>
      <x:c r="Z701" s="12"/>
      <x:c r="AA701" s="12"/>
    </x:row>
    <x:row r="702">
      <x:c r="A702" s="12"/>
      <x:c r="B702" s="12"/>
      <x:c r="C702" s="12"/>
      <x:c r="D702" s="12"/>
      <x:c r="E702" s="12"/>
      <x:c r="F702" s="12"/>
      <x:c r="G702" s="17"/>
      <x:c r="H702" s="12"/>
      <x:c r="I702" s="12"/>
      <x:c r="J702" s="18"/>
      <x:c r="K702" s="12"/>
      <x:c r="L702" s="12"/>
      <x:c r="M702" s="12"/>
      <x:c r="N702" s="12"/>
      <x:c r="O702" s="12"/>
      <x:c r="P702" s="12"/>
      <x:c r="Q702" s="12"/>
      <x:c r="R702" s="12"/>
      <x:c r="S702" s="12"/>
      <x:c r="T702" s="12"/>
      <x:c r="U702" s="12"/>
      <x:c r="V702" s="12"/>
      <x:c r="W702" s="12"/>
      <x:c r="X702" s="12"/>
      <x:c r="Y702" s="12"/>
      <x:c r="Z702" s="12"/>
      <x:c r="AA702" s="12"/>
    </x:row>
    <x:row r="703">
      <x:c r="A703" s="12"/>
      <x:c r="B703" s="12"/>
      <x:c r="C703" s="12"/>
      <x:c r="D703" s="12"/>
      <x:c r="E703" s="12"/>
      <x:c r="F703" s="12"/>
      <x:c r="G703" s="17"/>
      <x:c r="H703" s="12"/>
      <x:c r="I703" s="12"/>
      <x:c r="J703" s="18"/>
      <x:c r="K703" s="12"/>
      <x:c r="L703" s="12"/>
      <x:c r="M703" s="12"/>
      <x:c r="N703" s="12"/>
      <x:c r="O703" s="12"/>
      <x:c r="P703" s="12"/>
      <x:c r="Q703" s="12"/>
      <x:c r="R703" s="12"/>
      <x:c r="S703" s="12"/>
      <x:c r="T703" s="12"/>
      <x:c r="U703" s="12"/>
      <x:c r="V703" s="12"/>
      <x:c r="W703" s="12"/>
      <x:c r="X703" s="12"/>
      <x:c r="Y703" s="12"/>
      <x:c r="Z703" s="12"/>
      <x:c r="AA703" s="12"/>
    </x:row>
    <x:row r="704">
      <x:c r="A704" s="12"/>
      <x:c r="B704" s="12"/>
      <x:c r="C704" s="12"/>
      <x:c r="D704" s="12"/>
      <x:c r="E704" s="12"/>
      <x:c r="F704" s="12"/>
      <x:c r="G704" s="17"/>
      <x:c r="H704" s="12"/>
      <x:c r="I704" s="12"/>
      <x:c r="J704" s="18"/>
      <x:c r="K704" s="12"/>
      <x:c r="L704" s="12"/>
      <x:c r="M704" s="12"/>
      <x:c r="N704" s="12"/>
      <x:c r="O704" s="12"/>
      <x:c r="P704" s="12"/>
      <x:c r="Q704" s="12"/>
      <x:c r="R704" s="12"/>
      <x:c r="S704" s="12"/>
      <x:c r="T704" s="12"/>
      <x:c r="U704" s="12"/>
      <x:c r="V704" s="12"/>
      <x:c r="W704" s="12"/>
      <x:c r="X704" s="12"/>
      <x:c r="Y704" s="12"/>
      <x:c r="Z704" s="12"/>
      <x:c r="AA704" s="12"/>
    </x:row>
    <x:row r="705">
      <x:c r="A705" s="12"/>
      <x:c r="B705" s="12"/>
      <x:c r="C705" s="12"/>
      <x:c r="D705" s="12"/>
      <x:c r="E705" s="12"/>
      <x:c r="F705" s="12"/>
      <x:c r="G705" s="17"/>
      <x:c r="H705" s="12"/>
      <x:c r="I705" s="12"/>
      <x:c r="J705" s="18"/>
      <x:c r="K705" s="12"/>
      <x:c r="L705" s="12"/>
      <x:c r="M705" s="12"/>
      <x:c r="N705" s="12"/>
      <x:c r="O705" s="12"/>
      <x:c r="P705" s="12"/>
      <x:c r="Q705" s="12"/>
      <x:c r="R705" s="12"/>
      <x:c r="S705" s="12"/>
      <x:c r="T705" s="12"/>
      <x:c r="U705" s="12"/>
      <x:c r="V705" s="12"/>
      <x:c r="W705" s="12"/>
      <x:c r="X705" s="12"/>
      <x:c r="Y705" s="12"/>
      <x:c r="Z705" s="12"/>
      <x:c r="AA705" s="12"/>
    </x:row>
    <x:row r="706">
      <x:c r="A706" s="12"/>
      <x:c r="B706" s="12"/>
      <x:c r="C706" s="12"/>
      <x:c r="D706" s="12"/>
      <x:c r="E706" s="12"/>
      <x:c r="F706" s="12"/>
      <x:c r="G706" s="17"/>
      <x:c r="H706" s="12"/>
      <x:c r="I706" s="12"/>
      <x:c r="J706" s="18"/>
      <x:c r="K706" s="12"/>
      <x:c r="L706" s="12"/>
      <x:c r="M706" s="12"/>
      <x:c r="N706" s="12"/>
      <x:c r="O706" s="12"/>
      <x:c r="P706" s="12"/>
      <x:c r="Q706" s="12"/>
      <x:c r="R706" s="12"/>
      <x:c r="S706" s="12"/>
      <x:c r="T706" s="12"/>
      <x:c r="U706" s="12"/>
      <x:c r="V706" s="12"/>
      <x:c r="W706" s="12"/>
      <x:c r="X706" s="12"/>
      <x:c r="Y706" s="12"/>
      <x:c r="Z706" s="12"/>
      <x:c r="AA706" s="12"/>
    </x:row>
    <x:row r="707">
      <x:c r="A707" s="12"/>
      <x:c r="B707" s="12"/>
      <x:c r="C707" s="12"/>
      <x:c r="D707" s="12"/>
      <x:c r="E707" s="12"/>
      <x:c r="F707" s="12"/>
      <x:c r="G707" s="17"/>
      <x:c r="H707" s="12"/>
      <x:c r="I707" s="12"/>
      <x:c r="J707" s="18"/>
      <x:c r="K707" s="12"/>
      <x:c r="L707" s="12"/>
      <x:c r="M707" s="12"/>
      <x:c r="N707" s="12"/>
      <x:c r="O707" s="12"/>
      <x:c r="P707" s="12"/>
      <x:c r="Q707" s="12"/>
      <x:c r="R707" s="12"/>
      <x:c r="S707" s="12"/>
      <x:c r="T707" s="12"/>
      <x:c r="U707" s="12"/>
      <x:c r="V707" s="12"/>
      <x:c r="W707" s="12"/>
      <x:c r="X707" s="12"/>
      <x:c r="Y707" s="12"/>
      <x:c r="Z707" s="12"/>
      <x:c r="AA707" s="12"/>
    </x:row>
    <x:row r="708">
      <x:c r="A708" s="12"/>
      <x:c r="B708" s="12"/>
      <x:c r="C708" s="12"/>
      <x:c r="D708" s="12"/>
      <x:c r="E708" s="12"/>
      <x:c r="F708" s="12"/>
      <x:c r="G708" s="17"/>
      <x:c r="H708" s="12"/>
      <x:c r="I708" s="12"/>
      <x:c r="J708" s="18"/>
      <x:c r="K708" s="12"/>
      <x:c r="L708" s="12"/>
      <x:c r="M708" s="12"/>
      <x:c r="N708" s="12"/>
      <x:c r="O708" s="12"/>
      <x:c r="P708" s="12"/>
      <x:c r="Q708" s="12"/>
      <x:c r="R708" s="12"/>
      <x:c r="S708" s="12"/>
      <x:c r="T708" s="12"/>
      <x:c r="U708" s="12"/>
      <x:c r="V708" s="12"/>
      <x:c r="W708" s="12"/>
      <x:c r="X708" s="12"/>
      <x:c r="Y708" s="12"/>
      <x:c r="Z708" s="12"/>
      <x:c r="AA708" s="12"/>
    </x:row>
    <x:row r="709">
      <x:c r="A709" s="12"/>
      <x:c r="B709" s="12"/>
      <x:c r="C709" s="12"/>
      <x:c r="D709" s="12"/>
      <x:c r="E709" s="12"/>
      <x:c r="F709" s="12"/>
      <x:c r="G709" s="17"/>
      <x:c r="H709" s="12"/>
      <x:c r="I709" s="12"/>
      <x:c r="J709" s="18"/>
      <x:c r="K709" s="12"/>
      <x:c r="L709" s="12"/>
      <x:c r="M709" s="12"/>
      <x:c r="N709" s="12"/>
      <x:c r="O709" s="12"/>
      <x:c r="P709" s="12"/>
      <x:c r="Q709" s="12"/>
      <x:c r="R709" s="12"/>
      <x:c r="S709" s="12"/>
      <x:c r="T709" s="12"/>
      <x:c r="U709" s="12"/>
      <x:c r="V709" s="12"/>
      <x:c r="W709" s="12"/>
      <x:c r="X709" s="12"/>
      <x:c r="Y709" s="12"/>
      <x:c r="Z709" s="12"/>
      <x:c r="AA709" s="12"/>
    </x:row>
    <x:row r="710">
      <x:c r="A710" s="12"/>
      <x:c r="B710" s="12"/>
      <x:c r="C710" s="12"/>
      <x:c r="D710" s="12"/>
      <x:c r="E710" s="12"/>
      <x:c r="F710" s="12"/>
      <x:c r="G710" s="17"/>
      <x:c r="H710" s="12"/>
      <x:c r="I710" s="12"/>
      <x:c r="J710" s="18"/>
      <x:c r="K710" s="12"/>
      <x:c r="L710" s="12"/>
      <x:c r="M710" s="12"/>
      <x:c r="N710" s="12"/>
      <x:c r="O710" s="12"/>
      <x:c r="P710" s="12"/>
      <x:c r="Q710" s="12"/>
      <x:c r="R710" s="12"/>
      <x:c r="S710" s="12"/>
      <x:c r="T710" s="12"/>
      <x:c r="U710" s="12"/>
      <x:c r="V710" s="12"/>
      <x:c r="W710" s="12"/>
      <x:c r="X710" s="12"/>
      <x:c r="Y710" s="12"/>
      <x:c r="Z710" s="12"/>
      <x:c r="AA710" s="12"/>
    </x:row>
    <x:row r="711">
      <x:c r="A711" s="12"/>
      <x:c r="B711" s="12"/>
      <x:c r="C711" s="12"/>
      <x:c r="D711" s="12"/>
      <x:c r="E711" s="12"/>
      <x:c r="F711" s="12"/>
      <x:c r="G711" s="17"/>
      <x:c r="H711" s="12"/>
      <x:c r="I711" s="12"/>
      <x:c r="J711" s="18"/>
      <x:c r="K711" s="12"/>
      <x:c r="L711" s="12"/>
      <x:c r="M711" s="12"/>
      <x:c r="N711" s="12"/>
      <x:c r="O711" s="12"/>
      <x:c r="P711" s="12"/>
      <x:c r="Q711" s="12"/>
      <x:c r="R711" s="12"/>
      <x:c r="S711" s="12"/>
      <x:c r="T711" s="12"/>
      <x:c r="U711" s="12"/>
      <x:c r="V711" s="12"/>
      <x:c r="W711" s="12"/>
      <x:c r="X711" s="12"/>
      <x:c r="Y711" s="12"/>
      <x:c r="Z711" s="12"/>
      <x:c r="AA711" s="12"/>
    </x:row>
    <x:row r="712">
      <x:c r="A712" s="12"/>
      <x:c r="B712" s="12"/>
      <x:c r="C712" s="12"/>
      <x:c r="D712" s="12"/>
      <x:c r="E712" s="12"/>
      <x:c r="F712" s="12"/>
      <x:c r="G712" s="17"/>
      <x:c r="H712" s="12"/>
      <x:c r="I712" s="12"/>
      <x:c r="J712" s="18"/>
      <x:c r="K712" s="12"/>
      <x:c r="L712" s="12"/>
      <x:c r="M712" s="12"/>
      <x:c r="N712" s="12"/>
      <x:c r="O712" s="12"/>
      <x:c r="P712" s="12"/>
      <x:c r="Q712" s="12"/>
      <x:c r="R712" s="12"/>
      <x:c r="S712" s="12"/>
      <x:c r="T712" s="12"/>
      <x:c r="U712" s="12"/>
      <x:c r="V712" s="12"/>
      <x:c r="W712" s="12"/>
      <x:c r="X712" s="12"/>
      <x:c r="Y712" s="12"/>
      <x:c r="Z712" s="12"/>
      <x:c r="AA712" s="12"/>
    </x:row>
    <x:row r="713">
      <x:c r="A713" s="12"/>
      <x:c r="B713" s="12"/>
      <x:c r="C713" s="12"/>
      <x:c r="D713" s="12"/>
      <x:c r="E713" s="12"/>
      <x:c r="F713" s="12"/>
      <x:c r="G713" s="17"/>
      <x:c r="H713" s="12"/>
      <x:c r="I713" s="12"/>
      <x:c r="J713" s="18"/>
      <x:c r="K713" s="12"/>
      <x:c r="L713" s="12"/>
      <x:c r="M713" s="12"/>
      <x:c r="N713" s="12"/>
      <x:c r="O713" s="12"/>
      <x:c r="P713" s="12"/>
      <x:c r="Q713" s="12"/>
      <x:c r="R713" s="12"/>
      <x:c r="S713" s="12"/>
      <x:c r="T713" s="12"/>
      <x:c r="U713" s="12"/>
      <x:c r="V713" s="12"/>
      <x:c r="W713" s="12"/>
      <x:c r="X713" s="12"/>
      <x:c r="Y713" s="12"/>
      <x:c r="Z713" s="12"/>
      <x:c r="AA713" s="12"/>
    </x:row>
    <x:row r="714">
      <x:c r="A714" s="12"/>
      <x:c r="B714" s="12"/>
      <x:c r="C714" s="12"/>
      <x:c r="D714" s="12"/>
      <x:c r="E714" s="12"/>
      <x:c r="F714" s="12"/>
      <x:c r="G714" s="17"/>
      <x:c r="H714" s="12"/>
      <x:c r="I714" s="12"/>
      <x:c r="J714" s="18"/>
      <x:c r="K714" s="12"/>
      <x:c r="L714" s="12"/>
      <x:c r="M714" s="12"/>
      <x:c r="N714" s="12"/>
      <x:c r="O714" s="12"/>
      <x:c r="P714" s="12"/>
      <x:c r="Q714" s="12"/>
      <x:c r="R714" s="12"/>
      <x:c r="S714" s="12"/>
      <x:c r="T714" s="12"/>
      <x:c r="U714" s="12"/>
      <x:c r="V714" s="12"/>
      <x:c r="W714" s="12"/>
      <x:c r="X714" s="12"/>
      <x:c r="Y714" s="12"/>
      <x:c r="Z714" s="12"/>
      <x:c r="AA714" s="12"/>
    </x:row>
    <x:row r="715">
      <x:c r="A715" s="12"/>
      <x:c r="B715" s="12"/>
      <x:c r="C715" s="12"/>
      <x:c r="D715" s="12"/>
      <x:c r="E715" s="12"/>
      <x:c r="F715" s="12"/>
      <x:c r="G715" s="17"/>
      <x:c r="H715" s="12"/>
      <x:c r="I715" s="12"/>
      <x:c r="J715" s="18"/>
      <x:c r="K715" s="12"/>
      <x:c r="L715" s="12"/>
      <x:c r="M715" s="12"/>
      <x:c r="N715" s="12"/>
      <x:c r="O715" s="12"/>
      <x:c r="P715" s="12"/>
      <x:c r="Q715" s="12"/>
      <x:c r="R715" s="12"/>
      <x:c r="S715" s="12"/>
      <x:c r="T715" s="12"/>
      <x:c r="U715" s="12"/>
      <x:c r="V715" s="12"/>
      <x:c r="W715" s="12"/>
      <x:c r="X715" s="12"/>
      <x:c r="Y715" s="12"/>
      <x:c r="Z715" s="12"/>
      <x:c r="AA715" s="12"/>
    </x:row>
    <x:row r="716">
      <x:c r="A716" s="12"/>
      <x:c r="B716" s="12"/>
      <x:c r="C716" s="12"/>
      <x:c r="D716" s="12"/>
      <x:c r="E716" s="12"/>
      <x:c r="F716" s="12"/>
      <x:c r="G716" s="17"/>
      <x:c r="H716" s="12"/>
      <x:c r="I716" s="12"/>
      <x:c r="J716" s="18"/>
      <x:c r="K716" s="12"/>
      <x:c r="L716" s="12"/>
      <x:c r="M716" s="12"/>
      <x:c r="N716" s="12"/>
      <x:c r="O716" s="12"/>
      <x:c r="P716" s="12"/>
      <x:c r="Q716" s="12"/>
      <x:c r="R716" s="12"/>
      <x:c r="S716" s="12"/>
      <x:c r="T716" s="12"/>
      <x:c r="U716" s="12"/>
      <x:c r="V716" s="12"/>
      <x:c r="W716" s="12"/>
      <x:c r="X716" s="12"/>
      <x:c r="Y716" s="12"/>
      <x:c r="Z716" s="12"/>
      <x:c r="AA716" s="12"/>
    </x:row>
    <x:row r="717">
      <x:c r="A717" s="12"/>
      <x:c r="B717" s="12"/>
      <x:c r="C717" s="12"/>
      <x:c r="D717" s="12"/>
      <x:c r="E717" s="12"/>
      <x:c r="F717" s="12"/>
      <x:c r="G717" s="17"/>
      <x:c r="H717" s="12"/>
      <x:c r="I717" s="12"/>
      <x:c r="J717" s="18"/>
      <x:c r="K717" s="12"/>
      <x:c r="L717" s="12"/>
      <x:c r="M717" s="12"/>
      <x:c r="N717" s="12"/>
      <x:c r="O717" s="12"/>
      <x:c r="P717" s="12"/>
      <x:c r="Q717" s="12"/>
      <x:c r="R717" s="12"/>
      <x:c r="S717" s="12"/>
      <x:c r="T717" s="12"/>
      <x:c r="U717" s="12"/>
      <x:c r="V717" s="12"/>
      <x:c r="W717" s="12"/>
      <x:c r="X717" s="12"/>
      <x:c r="Y717" s="12"/>
      <x:c r="Z717" s="12"/>
      <x:c r="AA717" s="12"/>
    </x:row>
    <x:row r="718">
      <x:c r="A718" s="12"/>
      <x:c r="B718" s="12"/>
      <x:c r="C718" s="12"/>
      <x:c r="D718" s="12"/>
      <x:c r="E718" s="12"/>
      <x:c r="F718" s="12"/>
      <x:c r="G718" s="17"/>
      <x:c r="H718" s="12"/>
      <x:c r="I718" s="12"/>
      <x:c r="J718" s="18"/>
      <x:c r="K718" s="12"/>
      <x:c r="L718" s="12"/>
      <x:c r="M718" s="12"/>
      <x:c r="N718" s="12"/>
      <x:c r="O718" s="12"/>
      <x:c r="P718" s="12"/>
      <x:c r="Q718" s="12"/>
      <x:c r="R718" s="12"/>
      <x:c r="S718" s="12"/>
      <x:c r="T718" s="12"/>
      <x:c r="U718" s="12"/>
      <x:c r="V718" s="12"/>
      <x:c r="W718" s="12"/>
      <x:c r="X718" s="12"/>
      <x:c r="Y718" s="12"/>
      <x:c r="Z718" s="12"/>
      <x:c r="AA718" s="12"/>
    </x:row>
    <x:row r="719">
      <x:c r="A719" s="12"/>
      <x:c r="B719" s="12"/>
      <x:c r="C719" s="12"/>
      <x:c r="D719" s="12"/>
      <x:c r="E719" s="12"/>
      <x:c r="F719" s="12"/>
      <x:c r="G719" s="17"/>
      <x:c r="H719" s="12"/>
      <x:c r="I719" s="12"/>
      <x:c r="J719" s="18"/>
      <x:c r="K719" s="12"/>
      <x:c r="L719" s="12"/>
      <x:c r="M719" s="12"/>
      <x:c r="N719" s="12"/>
      <x:c r="O719" s="12"/>
      <x:c r="P719" s="12"/>
      <x:c r="Q719" s="12"/>
      <x:c r="R719" s="12"/>
      <x:c r="S719" s="12"/>
      <x:c r="T719" s="12"/>
      <x:c r="U719" s="12"/>
      <x:c r="V719" s="12"/>
      <x:c r="W719" s="12"/>
      <x:c r="X719" s="12"/>
      <x:c r="Y719" s="12"/>
      <x:c r="Z719" s="12"/>
      <x:c r="AA719" s="12"/>
    </x:row>
    <x:row r="720">
      <x:c r="A720" s="12"/>
      <x:c r="B720" s="12"/>
      <x:c r="C720" s="12"/>
      <x:c r="D720" s="12"/>
      <x:c r="E720" s="12"/>
      <x:c r="F720" s="12"/>
      <x:c r="G720" s="17"/>
      <x:c r="H720" s="12"/>
      <x:c r="I720" s="12"/>
      <x:c r="J720" s="18"/>
      <x:c r="K720" s="12"/>
      <x:c r="L720" s="12"/>
      <x:c r="M720" s="12"/>
      <x:c r="N720" s="12"/>
      <x:c r="O720" s="12"/>
      <x:c r="P720" s="12"/>
      <x:c r="Q720" s="12"/>
      <x:c r="R720" s="12"/>
      <x:c r="S720" s="12"/>
      <x:c r="T720" s="12"/>
      <x:c r="U720" s="12"/>
      <x:c r="V720" s="12"/>
      <x:c r="W720" s="12"/>
      <x:c r="X720" s="12"/>
      <x:c r="Y720" s="12"/>
      <x:c r="Z720" s="12"/>
      <x:c r="AA720" s="12"/>
    </x:row>
    <x:row r="721">
      <x:c r="A721" s="12"/>
      <x:c r="B721" s="12"/>
      <x:c r="C721" s="12"/>
      <x:c r="D721" s="12"/>
      <x:c r="E721" s="12"/>
      <x:c r="F721" s="12"/>
      <x:c r="G721" s="17"/>
      <x:c r="H721" s="12"/>
      <x:c r="I721" s="12"/>
      <x:c r="J721" s="18"/>
      <x:c r="K721" s="12"/>
      <x:c r="L721" s="12"/>
      <x:c r="M721" s="12"/>
      <x:c r="N721" s="12"/>
      <x:c r="O721" s="12"/>
      <x:c r="P721" s="12"/>
      <x:c r="Q721" s="12"/>
      <x:c r="R721" s="12"/>
      <x:c r="S721" s="12"/>
      <x:c r="T721" s="12"/>
      <x:c r="U721" s="12"/>
      <x:c r="V721" s="12"/>
      <x:c r="W721" s="12"/>
      <x:c r="X721" s="12"/>
      <x:c r="Y721" s="12"/>
      <x:c r="Z721" s="12"/>
      <x:c r="AA721" s="12"/>
    </x:row>
    <x:row r="722">
      <x:c r="A722" s="12"/>
      <x:c r="B722" s="12"/>
      <x:c r="C722" s="12"/>
      <x:c r="D722" s="12"/>
      <x:c r="E722" s="12"/>
      <x:c r="F722" s="12"/>
      <x:c r="G722" s="17"/>
      <x:c r="H722" s="12"/>
      <x:c r="I722" s="12"/>
      <x:c r="J722" s="18"/>
      <x:c r="K722" s="12"/>
      <x:c r="L722" s="12"/>
      <x:c r="M722" s="12"/>
      <x:c r="N722" s="12"/>
      <x:c r="O722" s="12"/>
      <x:c r="P722" s="12"/>
      <x:c r="Q722" s="12"/>
      <x:c r="R722" s="12"/>
      <x:c r="S722" s="12"/>
      <x:c r="T722" s="12"/>
      <x:c r="U722" s="12"/>
      <x:c r="V722" s="12"/>
      <x:c r="W722" s="12"/>
      <x:c r="X722" s="12"/>
      <x:c r="Y722" s="12"/>
      <x:c r="Z722" s="12"/>
      <x:c r="AA722" s="12"/>
    </x:row>
    <x:row r="723">
      <x:c r="A723" s="12"/>
      <x:c r="B723" s="12"/>
      <x:c r="C723" s="12"/>
      <x:c r="D723" s="12"/>
      <x:c r="E723" s="12"/>
      <x:c r="F723" s="12"/>
      <x:c r="G723" s="17"/>
      <x:c r="H723" s="12"/>
      <x:c r="I723" s="12"/>
      <x:c r="J723" s="18"/>
      <x:c r="K723" s="12"/>
      <x:c r="L723" s="12"/>
      <x:c r="M723" s="12"/>
      <x:c r="N723" s="12"/>
      <x:c r="O723" s="12"/>
      <x:c r="P723" s="12"/>
      <x:c r="Q723" s="12"/>
      <x:c r="R723" s="12"/>
      <x:c r="S723" s="12"/>
      <x:c r="T723" s="12"/>
      <x:c r="U723" s="12"/>
      <x:c r="V723" s="12"/>
      <x:c r="W723" s="12"/>
      <x:c r="X723" s="12"/>
      <x:c r="Y723" s="12"/>
      <x:c r="Z723" s="12"/>
      <x:c r="AA723" s="12"/>
    </x:row>
    <x:row r="724">
      <x:c r="A724" s="12"/>
      <x:c r="B724" s="12"/>
      <x:c r="C724" s="12"/>
      <x:c r="D724" s="12"/>
      <x:c r="E724" s="12"/>
      <x:c r="F724" s="12"/>
      <x:c r="G724" s="17"/>
      <x:c r="H724" s="12"/>
      <x:c r="I724" s="12"/>
      <x:c r="J724" s="18"/>
      <x:c r="K724" s="12"/>
      <x:c r="L724" s="12"/>
      <x:c r="M724" s="12"/>
      <x:c r="N724" s="12"/>
      <x:c r="O724" s="12"/>
      <x:c r="P724" s="12"/>
      <x:c r="Q724" s="12"/>
      <x:c r="R724" s="12"/>
      <x:c r="S724" s="12"/>
      <x:c r="T724" s="12"/>
      <x:c r="U724" s="12"/>
      <x:c r="V724" s="12"/>
      <x:c r="W724" s="12"/>
      <x:c r="X724" s="12"/>
      <x:c r="Y724" s="12"/>
      <x:c r="Z724" s="12"/>
      <x:c r="AA724" s="12"/>
    </x:row>
    <x:row r="725">
      <x:c r="A725" s="12"/>
      <x:c r="B725" s="12"/>
      <x:c r="C725" s="12"/>
      <x:c r="D725" s="12"/>
      <x:c r="E725" s="12"/>
      <x:c r="F725" s="12"/>
      <x:c r="G725" s="17"/>
      <x:c r="H725" s="12"/>
      <x:c r="I725" s="12"/>
      <x:c r="J725" s="18"/>
      <x:c r="K725" s="12"/>
      <x:c r="L725" s="12"/>
      <x:c r="M725" s="12"/>
      <x:c r="N725" s="12"/>
      <x:c r="O725" s="12"/>
      <x:c r="P725" s="12"/>
      <x:c r="Q725" s="12"/>
      <x:c r="R725" s="12"/>
      <x:c r="S725" s="12"/>
      <x:c r="T725" s="12"/>
      <x:c r="U725" s="12"/>
      <x:c r="V725" s="12"/>
      <x:c r="W725" s="12"/>
      <x:c r="X725" s="12"/>
      <x:c r="Y725" s="12"/>
      <x:c r="Z725" s="12"/>
      <x:c r="AA725" s="12"/>
    </x:row>
    <x:row r="726">
      <x:c r="A726" s="12"/>
      <x:c r="B726" s="12"/>
      <x:c r="C726" s="12"/>
      <x:c r="D726" s="12"/>
      <x:c r="E726" s="12"/>
      <x:c r="F726" s="12"/>
      <x:c r="G726" s="17"/>
      <x:c r="H726" s="12"/>
      <x:c r="I726" s="12"/>
      <x:c r="J726" s="18"/>
      <x:c r="K726" s="12"/>
      <x:c r="L726" s="12"/>
      <x:c r="M726" s="12"/>
      <x:c r="N726" s="12"/>
      <x:c r="O726" s="12"/>
      <x:c r="P726" s="12"/>
      <x:c r="Q726" s="12"/>
      <x:c r="R726" s="12"/>
      <x:c r="S726" s="12"/>
      <x:c r="T726" s="12"/>
      <x:c r="U726" s="12"/>
      <x:c r="V726" s="12"/>
      <x:c r="W726" s="12"/>
      <x:c r="X726" s="12"/>
      <x:c r="Y726" s="12"/>
      <x:c r="Z726" s="12"/>
      <x:c r="AA726" s="12"/>
    </x:row>
    <x:row r="727">
      <x:c r="A727" s="12"/>
      <x:c r="B727" s="12"/>
      <x:c r="C727" s="12"/>
      <x:c r="D727" s="12"/>
      <x:c r="E727" s="12"/>
      <x:c r="F727" s="12"/>
      <x:c r="G727" s="17"/>
      <x:c r="H727" s="12"/>
      <x:c r="I727" s="12"/>
      <x:c r="J727" s="18"/>
      <x:c r="K727" s="12"/>
      <x:c r="L727" s="12"/>
      <x:c r="M727" s="12"/>
      <x:c r="N727" s="12"/>
      <x:c r="O727" s="12"/>
      <x:c r="P727" s="12"/>
      <x:c r="Q727" s="12"/>
      <x:c r="R727" s="12"/>
      <x:c r="S727" s="12"/>
      <x:c r="T727" s="12"/>
      <x:c r="U727" s="12"/>
      <x:c r="V727" s="12"/>
      <x:c r="W727" s="12"/>
      <x:c r="X727" s="12"/>
      <x:c r="Y727" s="12"/>
      <x:c r="Z727" s="12"/>
      <x:c r="AA727" s="12"/>
    </x:row>
    <x:row r="728">
      <x:c r="A728" s="12"/>
      <x:c r="B728" s="12"/>
      <x:c r="C728" s="12"/>
      <x:c r="D728" s="12"/>
      <x:c r="E728" s="12"/>
      <x:c r="F728" s="12"/>
      <x:c r="G728" s="17"/>
      <x:c r="H728" s="12"/>
      <x:c r="I728" s="12"/>
      <x:c r="J728" s="18"/>
      <x:c r="K728" s="12"/>
      <x:c r="L728" s="12"/>
      <x:c r="M728" s="12"/>
      <x:c r="N728" s="12"/>
      <x:c r="O728" s="12"/>
      <x:c r="P728" s="12"/>
      <x:c r="Q728" s="12"/>
      <x:c r="R728" s="12"/>
      <x:c r="S728" s="12"/>
      <x:c r="T728" s="12"/>
      <x:c r="U728" s="12"/>
      <x:c r="V728" s="12"/>
      <x:c r="W728" s="12"/>
      <x:c r="X728" s="12"/>
      <x:c r="Y728" s="12"/>
      <x:c r="Z728" s="12"/>
      <x:c r="AA728" s="12"/>
    </x:row>
    <x:row r="729">
      <x:c r="A729" s="12"/>
      <x:c r="B729" s="12"/>
      <x:c r="C729" s="12"/>
      <x:c r="D729" s="12"/>
      <x:c r="E729" s="12"/>
      <x:c r="F729" s="12"/>
      <x:c r="G729" s="17"/>
      <x:c r="H729" s="12"/>
      <x:c r="I729" s="12"/>
      <x:c r="J729" s="18"/>
      <x:c r="K729" s="12"/>
      <x:c r="L729" s="12"/>
      <x:c r="M729" s="12"/>
      <x:c r="N729" s="12"/>
      <x:c r="O729" s="12"/>
      <x:c r="P729" s="12"/>
      <x:c r="Q729" s="12"/>
      <x:c r="R729" s="12"/>
      <x:c r="S729" s="12"/>
      <x:c r="T729" s="12"/>
      <x:c r="U729" s="12"/>
      <x:c r="V729" s="12"/>
      <x:c r="W729" s="12"/>
      <x:c r="X729" s="12"/>
      <x:c r="Y729" s="12"/>
      <x:c r="Z729" s="12"/>
      <x:c r="AA729" s="12"/>
    </x:row>
    <x:row r="730">
      <x:c r="A730" s="12"/>
      <x:c r="B730" s="12"/>
      <x:c r="C730" s="12"/>
      <x:c r="D730" s="12"/>
      <x:c r="E730" s="12"/>
      <x:c r="F730" s="12"/>
      <x:c r="G730" s="17"/>
      <x:c r="H730" s="12"/>
      <x:c r="I730" s="12"/>
      <x:c r="J730" s="18"/>
      <x:c r="K730" s="12"/>
      <x:c r="L730" s="12"/>
      <x:c r="M730" s="12"/>
      <x:c r="N730" s="12"/>
      <x:c r="O730" s="12"/>
      <x:c r="P730" s="12"/>
      <x:c r="Q730" s="12"/>
      <x:c r="R730" s="12"/>
      <x:c r="S730" s="12"/>
      <x:c r="T730" s="12"/>
      <x:c r="U730" s="12"/>
      <x:c r="V730" s="12"/>
      <x:c r="W730" s="12"/>
      <x:c r="X730" s="12"/>
      <x:c r="Y730" s="12"/>
      <x:c r="Z730" s="12"/>
      <x:c r="AA730" s="12"/>
    </x:row>
    <x:row r="731">
      <x:c r="A731" s="12"/>
      <x:c r="B731" s="12"/>
      <x:c r="C731" s="12"/>
      <x:c r="D731" s="12"/>
      <x:c r="E731" s="12"/>
      <x:c r="F731" s="12"/>
      <x:c r="G731" s="17"/>
      <x:c r="H731" s="12"/>
      <x:c r="I731" s="12"/>
      <x:c r="J731" s="18"/>
      <x:c r="K731" s="12"/>
      <x:c r="L731" s="12"/>
      <x:c r="M731" s="12"/>
      <x:c r="N731" s="12"/>
      <x:c r="O731" s="12"/>
      <x:c r="P731" s="12"/>
      <x:c r="Q731" s="12"/>
      <x:c r="R731" s="12"/>
      <x:c r="S731" s="12"/>
      <x:c r="T731" s="12"/>
      <x:c r="U731" s="12"/>
      <x:c r="V731" s="12"/>
      <x:c r="W731" s="12"/>
      <x:c r="X731" s="12"/>
      <x:c r="Y731" s="12"/>
      <x:c r="Z731" s="12"/>
      <x:c r="AA731" s="12"/>
    </x:row>
    <x:row r="732">
      <x:c r="A732" s="12"/>
      <x:c r="B732" s="12"/>
      <x:c r="C732" s="12"/>
      <x:c r="D732" s="12"/>
      <x:c r="E732" s="12"/>
      <x:c r="F732" s="12"/>
      <x:c r="G732" s="17"/>
      <x:c r="H732" s="12"/>
      <x:c r="I732" s="12"/>
      <x:c r="J732" s="18"/>
      <x:c r="K732" s="12"/>
      <x:c r="L732" s="12"/>
      <x:c r="M732" s="12"/>
      <x:c r="N732" s="12"/>
      <x:c r="O732" s="12"/>
      <x:c r="P732" s="12"/>
      <x:c r="Q732" s="12"/>
      <x:c r="R732" s="12"/>
      <x:c r="S732" s="12"/>
      <x:c r="T732" s="12"/>
      <x:c r="U732" s="12"/>
      <x:c r="V732" s="12"/>
      <x:c r="W732" s="12"/>
      <x:c r="X732" s="12"/>
      <x:c r="Y732" s="12"/>
      <x:c r="Z732" s="12"/>
      <x:c r="AA732" s="12"/>
    </x:row>
    <x:row r="733">
      <x:c r="A733" s="12"/>
      <x:c r="B733" s="12"/>
      <x:c r="C733" s="12"/>
      <x:c r="D733" s="12"/>
      <x:c r="E733" s="12"/>
      <x:c r="F733" s="12"/>
      <x:c r="G733" s="17"/>
      <x:c r="H733" s="12"/>
      <x:c r="I733" s="12"/>
      <x:c r="J733" s="18"/>
      <x:c r="K733" s="12"/>
      <x:c r="L733" s="12"/>
      <x:c r="M733" s="12"/>
      <x:c r="N733" s="12"/>
      <x:c r="O733" s="12"/>
      <x:c r="P733" s="12"/>
      <x:c r="Q733" s="12"/>
      <x:c r="R733" s="12"/>
      <x:c r="S733" s="12"/>
      <x:c r="T733" s="12"/>
      <x:c r="U733" s="12"/>
      <x:c r="V733" s="12"/>
      <x:c r="W733" s="12"/>
      <x:c r="X733" s="12"/>
      <x:c r="Y733" s="12"/>
      <x:c r="Z733" s="12"/>
      <x:c r="AA733" s="12"/>
    </x:row>
    <x:row r="734">
      <x:c r="A734" s="12"/>
      <x:c r="B734" s="12"/>
      <x:c r="C734" s="12"/>
      <x:c r="D734" s="12"/>
      <x:c r="E734" s="12"/>
      <x:c r="F734" s="12"/>
      <x:c r="G734" s="17"/>
      <x:c r="H734" s="12"/>
      <x:c r="I734" s="12"/>
      <x:c r="J734" s="18"/>
      <x:c r="K734" s="12"/>
      <x:c r="L734" s="12"/>
      <x:c r="M734" s="12"/>
      <x:c r="N734" s="12"/>
      <x:c r="O734" s="12"/>
      <x:c r="P734" s="12"/>
      <x:c r="Q734" s="12"/>
      <x:c r="R734" s="12"/>
      <x:c r="S734" s="12"/>
      <x:c r="T734" s="12"/>
      <x:c r="U734" s="12"/>
      <x:c r="V734" s="12"/>
      <x:c r="W734" s="12"/>
      <x:c r="X734" s="12"/>
      <x:c r="Y734" s="12"/>
      <x:c r="Z734" s="12"/>
      <x:c r="AA734" s="12"/>
    </x:row>
    <x:row r="735">
      <x:c r="A735" s="12"/>
      <x:c r="B735" s="12"/>
      <x:c r="C735" s="12"/>
      <x:c r="D735" s="12"/>
      <x:c r="E735" s="12"/>
      <x:c r="F735" s="12"/>
      <x:c r="G735" s="17"/>
      <x:c r="H735" s="12"/>
      <x:c r="I735" s="12"/>
      <x:c r="J735" s="18"/>
      <x:c r="K735" s="12"/>
      <x:c r="L735" s="12"/>
      <x:c r="M735" s="12"/>
      <x:c r="N735" s="12"/>
      <x:c r="O735" s="12"/>
      <x:c r="P735" s="12"/>
      <x:c r="Q735" s="12"/>
      <x:c r="R735" s="12"/>
      <x:c r="S735" s="12"/>
      <x:c r="T735" s="12"/>
      <x:c r="U735" s="12"/>
      <x:c r="V735" s="12"/>
      <x:c r="W735" s="12"/>
      <x:c r="X735" s="12"/>
      <x:c r="Y735" s="12"/>
      <x:c r="Z735" s="12"/>
      <x:c r="AA735" s="12"/>
    </x:row>
    <x:row r="736">
      <x:c r="A736" s="12"/>
      <x:c r="B736" s="12"/>
      <x:c r="C736" s="12"/>
      <x:c r="D736" s="12"/>
      <x:c r="E736" s="12"/>
      <x:c r="F736" s="12"/>
      <x:c r="G736" s="17"/>
      <x:c r="H736" s="12"/>
      <x:c r="I736" s="12"/>
      <x:c r="J736" s="18"/>
      <x:c r="K736" s="12"/>
      <x:c r="L736" s="12"/>
      <x:c r="M736" s="12"/>
      <x:c r="N736" s="12"/>
      <x:c r="O736" s="12"/>
      <x:c r="P736" s="12"/>
      <x:c r="Q736" s="12"/>
      <x:c r="R736" s="12"/>
      <x:c r="S736" s="12"/>
      <x:c r="T736" s="12"/>
      <x:c r="U736" s="12"/>
      <x:c r="V736" s="12"/>
      <x:c r="W736" s="12"/>
      <x:c r="X736" s="12"/>
      <x:c r="Y736" s="12"/>
      <x:c r="Z736" s="12"/>
      <x:c r="AA736" s="12"/>
    </x:row>
    <x:row r="737">
      <x:c r="A737" s="12"/>
      <x:c r="B737" s="12"/>
      <x:c r="C737" s="12"/>
      <x:c r="D737" s="12"/>
      <x:c r="E737" s="12"/>
      <x:c r="F737" s="12"/>
      <x:c r="G737" s="17"/>
      <x:c r="H737" s="12"/>
      <x:c r="I737" s="12"/>
      <x:c r="J737" s="18"/>
      <x:c r="K737" s="12"/>
      <x:c r="L737" s="12"/>
      <x:c r="M737" s="12"/>
      <x:c r="N737" s="12"/>
      <x:c r="O737" s="12"/>
      <x:c r="P737" s="12"/>
      <x:c r="Q737" s="12"/>
      <x:c r="R737" s="12"/>
      <x:c r="S737" s="12"/>
      <x:c r="T737" s="12"/>
      <x:c r="U737" s="12"/>
      <x:c r="V737" s="12"/>
      <x:c r="W737" s="12"/>
      <x:c r="X737" s="12"/>
      <x:c r="Y737" s="12"/>
      <x:c r="Z737" s="12"/>
      <x:c r="AA737" s="12"/>
    </x:row>
    <x:row r="738">
      <x:c r="A738" s="12"/>
      <x:c r="B738" s="12"/>
      <x:c r="C738" s="12"/>
      <x:c r="D738" s="12"/>
      <x:c r="E738" s="12"/>
      <x:c r="F738" s="12"/>
      <x:c r="G738" s="17"/>
      <x:c r="H738" s="12"/>
      <x:c r="I738" s="12"/>
      <x:c r="J738" s="18"/>
      <x:c r="K738" s="12"/>
      <x:c r="L738" s="12"/>
      <x:c r="M738" s="12"/>
      <x:c r="N738" s="12"/>
      <x:c r="O738" s="12"/>
      <x:c r="P738" s="12"/>
      <x:c r="Q738" s="12"/>
      <x:c r="R738" s="12"/>
      <x:c r="S738" s="12"/>
      <x:c r="T738" s="12"/>
      <x:c r="U738" s="12"/>
      <x:c r="V738" s="12"/>
      <x:c r="W738" s="12"/>
      <x:c r="X738" s="12"/>
      <x:c r="Y738" s="12"/>
      <x:c r="Z738" s="12"/>
      <x:c r="AA738" s="12"/>
    </x:row>
    <x:row r="739">
      <x:c r="A739" s="12"/>
      <x:c r="B739" s="12"/>
      <x:c r="C739" s="12"/>
      <x:c r="D739" s="12"/>
      <x:c r="E739" s="12"/>
      <x:c r="F739" s="12"/>
      <x:c r="G739" s="17"/>
      <x:c r="H739" s="12"/>
      <x:c r="I739" s="12"/>
      <x:c r="J739" s="18"/>
      <x:c r="K739" s="12"/>
      <x:c r="L739" s="12"/>
      <x:c r="M739" s="12"/>
      <x:c r="N739" s="12"/>
      <x:c r="O739" s="12"/>
      <x:c r="P739" s="12"/>
      <x:c r="Q739" s="12"/>
      <x:c r="R739" s="12"/>
      <x:c r="S739" s="12"/>
      <x:c r="T739" s="12"/>
      <x:c r="U739" s="12"/>
      <x:c r="V739" s="12"/>
      <x:c r="W739" s="12"/>
      <x:c r="X739" s="12"/>
      <x:c r="Y739" s="12"/>
      <x:c r="Z739" s="12"/>
      <x:c r="AA739" s="12"/>
    </x:row>
    <x:row r="740">
      <x:c r="A740" s="12"/>
      <x:c r="B740" s="12"/>
      <x:c r="C740" s="12"/>
      <x:c r="D740" s="12"/>
      <x:c r="E740" s="12"/>
      <x:c r="F740" s="12"/>
      <x:c r="G740" s="17"/>
      <x:c r="H740" s="12"/>
      <x:c r="I740" s="12"/>
      <x:c r="J740" s="18"/>
      <x:c r="K740" s="12"/>
      <x:c r="L740" s="12"/>
      <x:c r="M740" s="12"/>
      <x:c r="N740" s="12"/>
      <x:c r="O740" s="12"/>
      <x:c r="P740" s="12"/>
      <x:c r="Q740" s="12"/>
      <x:c r="R740" s="12"/>
      <x:c r="S740" s="12"/>
      <x:c r="T740" s="12"/>
      <x:c r="U740" s="12"/>
      <x:c r="V740" s="12"/>
      <x:c r="W740" s="12"/>
      <x:c r="X740" s="12"/>
      <x:c r="Y740" s="12"/>
      <x:c r="Z740" s="12"/>
      <x:c r="AA740" s="12"/>
    </x:row>
    <x:row r="741">
      <x:c r="A741" s="12"/>
      <x:c r="B741" s="12"/>
      <x:c r="C741" s="12"/>
      <x:c r="D741" s="12"/>
      <x:c r="E741" s="12"/>
      <x:c r="F741" s="12"/>
      <x:c r="G741" s="17"/>
      <x:c r="H741" s="12"/>
      <x:c r="I741" s="12"/>
      <x:c r="J741" s="18"/>
      <x:c r="K741" s="12"/>
      <x:c r="L741" s="12"/>
      <x:c r="M741" s="12"/>
      <x:c r="N741" s="12"/>
      <x:c r="O741" s="12"/>
      <x:c r="P741" s="12"/>
      <x:c r="Q741" s="12"/>
      <x:c r="R741" s="12"/>
      <x:c r="S741" s="12"/>
      <x:c r="T741" s="12"/>
      <x:c r="U741" s="12"/>
      <x:c r="V741" s="12"/>
      <x:c r="W741" s="12"/>
      <x:c r="X741" s="12"/>
      <x:c r="Y741" s="12"/>
      <x:c r="Z741" s="12"/>
      <x:c r="AA741" s="12"/>
    </x:row>
    <x:row r="742">
      <x:c r="A742" s="12"/>
      <x:c r="B742" s="12"/>
      <x:c r="C742" s="12"/>
      <x:c r="D742" s="12"/>
      <x:c r="E742" s="12"/>
      <x:c r="F742" s="12"/>
      <x:c r="G742" s="17"/>
      <x:c r="H742" s="12"/>
      <x:c r="I742" s="12"/>
      <x:c r="J742" s="18"/>
      <x:c r="K742" s="12"/>
      <x:c r="L742" s="12"/>
      <x:c r="M742" s="12"/>
      <x:c r="N742" s="12"/>
      <x:c r="O742" s="12"/>
      <x:c r="P742" s="12"/>
      <x:c r="Q742" s="12"/>
      <x:c r="R742" s="12"/>
      <x:c r="S742" s="12"/>
      <x:c r="T742" s="12"/>
      <x:c r="U742" s="12"/>
      <x:c r="V742" s="12"/>
      <x:c r="W742" s="12"/>
      <x:c r="X742" s="12"/>
      <x:c r="Y742" s="12"/>
      <x:c r="Z742" s="12"/>
      <x:c r="AA742" s="12"/>
    </x:row>
    <x:row r="743">
      <x:c r="A743" s="12"/>
      <x:c r="B743" s="12"/>
      <x:c r="C743" s="12"/>
      <x:c r="D743" s="12"/>
      <x:c r="E743" s="12"/>
      <x:c r="F743" s="12"/>
      <x:c r="G743" s="17"/>
      <x:c r="H743" s="12"/>
      <x:c r="I743" s="12"/>
      <x:c r="J743" s="18"/>
      <x:c r="K743" s="12"/>
      <x:c r="L743" s="12"/>
      <x:c r="M743" s="12"/>
      <x:c r="N743" s="12"/>
      <x:c r="O743" s="12"/>
      <x:c r="P743" s="12"/>
      <x:c r="Q743" s="12"/>
      <x:c r="R743" s="12"/>
      <x:c r="S743" s="12"/>
      <x:c r="T743" s="12"/>
      <x:c r="U743" s="12"/>
      <x:c r="V743" s="12"/>
      <x:c r="W743" s="12"/>
      <x:c r="X743" s="12"/>
      <x:c r="Y743" s="12"/>
      <x:c r="Z743" s="12"/>
      <x:c r="AA743" s="12"/>
    </x:row>
    <x:row r="744">
      <x:c r="A744" s="12"/>
      <x:c r="B744" s="12"/>
      <x:c r="C744" s="12"/>
      <x:c r="D744" s="12"/>
      <x:c r="E744" s="12"/>
      <x:c r="F744" s="12"/>
      <x:c r="G744" s="17"/>
      <x:c r="H744" s="12"/>
      <x:c r="I744" s="12"/>
      <x:c r="J744" s="18"/>
      <x:c r="K744" s="12"/>
      <x:c r="L744" s="12"/>
      <x:c r="M744" s="12"/>
      <x:c r="N744" s="12"/>
      <x:c r="O744" s="12"/>
      <x:c r="P744" s="12"/>
      <x:c r="Q744" s="12"/>
      <x:c r="R744" s="12"/>
      <x:c r="S744" s="12"/>
      <x:c r="T744" s="12"/>
      <x:c r="U744" s="12"/>
      <x:c r="V744" s="12"/>
      <x:c r="W744" s="12"/>
      <x:c r="X744" s="12"/>
      <x:c r="Y744" s="12"/>
      <x:c r="Z744" s="12"/>
      <x:c r="AA744" s="12"/>
    </x:row>
    <x:row r="745">
      <x:c r="A745" s="12"/>
      <x:c r="B745" s="12"/>
      <x:c r="C745" s="12"/>
      <x:c r="D745" s="12"/>
      <x:c r="E745" s="12"/>
      <x:c r="F745" s="12"/>
      <x:c r="G745" s="17"/>
      <x:c r="H745" s="12"/>
      <x:c r="I745" s="12"/>
      <x:c r="J745" s="18"/>
      <x:c r="K745" s="12"/>
      <x:c r="L745" s="12"/>
      <x:c r="M745" s="12"/>
      <x:c r="N745" s="12"/>
      <x:c r="O745" s="12"/>
      <x:c r="P745" s="12"/>
      <x:c r="Q745" s="12"/>
      <x:c r="R745" s="12"/>
      <x:c r="S745" s="12"/>
      <x:c r="T745" s="12"/>
      <x:c r="U745" s="12"/>
      <x:c r="V745" s="12"/>
      <x:c r="W745" s="12"/>
      <x:c r="X745" s="12"/>
      <x:c r="Y745" s="12"/>
      <x:c r="Z745" s="12"/>
      <x:c r="AA745" s="12"/>
    </x:row>
    <x:row r="746">
      <x:c r="A746" s="12"/>
      <x:c r="B746" s="12"/>
      <x:c r="C746" s="12"/>
      <x:c r="D746" s="12"/>
      <x:c r="E746" s="12"/>
      <x:c r="F746" s="12"/>
      <x:c r="G746" s="17"/>
      <x:c r="H746" s="12"/>
      <x:c r="I746" s="12"/>
      <x:c r="J746" s="18"/>
      <x:c r="K746" s="12"/>
      <x:c r="L746" s="12"/>
      <x:c r="M746" s="12"/>
      <x:c r="N746" s="12"/>
      <x:c r="O746" s="12"/>
      <x:c r="P746" s="12"/>
      <x:c r="Q746" s="12"/>
      <x:c r="R746" s="12"/>
      <x:c r="S746" s="12"/>
      <x:c r="T746" s="12"/>
      <x:c r="U746" s="12"/>
      <x:c r="V746" s="12"/>
      <x:c r="W746" s="12"/>
      <x:c r="X746" s="12"/>
      <x:c r="Y746" s="12"/>
      <x:c r="Z746" s="12"/>
      <x:c r="AA746" s="12"/>
    </x:row>
    <x:row r="747">
      <x:c r="A747" s="12"/>
      <x:c r="B747" s="12"/>
      <x:c r="C747" s="12"/>
      <x:c r="D747" s="12"/>
      <x:c r="E747" s="12"/>
      <x:c r="F747" s="12"/>
      <x:c r="G747" s="17"/>
      <x:c r="H747" s="12"/>
      <x:c r="I747" s="12"/>
      <x:c r="J747" s="18"/>
      <x:c r="K747" s="12"/>
      <x:c r="L747" s="12"/>
      <x:c r="M747" s="12"/>
      <x:c r="N747" s="12"/>
      <x:c r="O747" s="12"/>
      <x:c r="P747" s="12"/>
      <x:c r="Q747" s="12"/>
      <x:c r="R747" s="12"/>
      <x:c r="S747" s="12"/>
      <x:c r="T747" s="12"/>
      <x:c r="U747" s="12"/>
      <x:c r="V747" s="12"/>
      <x:c r="W747" s="12"/>
      <x:c r="X747" s="12"/>
      <x:c r="Y747" s="12"/>
      <x:c r="Z747" s="12"/>
      <x:c r="AA747" s="12"/>
    </x:row>
    <x:row r="748">
      <x:c r="A748" s="12"/>
      <x:c r="B748" s="12"/>
      <x:c r="C748" s="12"/>
      <x:c r="D748" s="12"/>
      <x:c r="E748" s="12"/>
      <x:c r="F748" s="12"/>
      <x:c r="G748" s="17"/>
      <x:c r="H748" s="12"/>
      <x:c r="I748" s="12"/>
      <x:c r="J748" s="18"/>
      <x:c r="K748" s="12"/>
      <x:c r="L748" s="12"/>
      <x:c r="M748" s="12"/>
      <x:c r="N748" s="12"/>
      <x:c r="O748" s="12"/>
      <x:c r="P748" s="12"/>
      <x:c r="Q748" s="12"/>
      <x:c r="R748" s="12"/>
      <x:c r="S748" s="12"/>
      <x:c r="T748" s="12"/>
      <x:c r="U748" s="12"/>
      <x:c r="V748" s="12"/>
      <x:c r="W748" s="12"/>
      <x:c r="X748" s="12"/>
      <x:c r="Y748" s="12"/>
      <x:c r="Z748" s="12"/>
      <x:c r="AA748" s="12"/>
    </x:row>
    <x:row r="749">
      <x:c r="A749" s="12"/>
      <x:c r="B749" s="12"/>
      <x:c r="C749" s="12"/>
      <x:c r="D749" s="12"/>
      <x:c r="E749" s="12"/>
      <x:c r="F749" s="12"/>
      <x:c r="G749" s="17"/>
      <x:c r="H749" s="12"/>
      <x:c r="I749" s="12"/>
      <x:c r="J749" s="18"/>
      <x:c r="K749" s="12"/>
      <x:c r="L749" s="12"/>
      <x:c r="M749" s="12"/>
      <x:c r="N749" s="12"/>
      <x:c r="O749" s="12"/>
      <x:c r="P749" s="12"/>
      <x:c r="Q749" s="12"/>
      <x:c r="R749" s="12"/>
      <x:c r="S749" s="12"/>
      <x:c r="T749" s="12"/>
      <x:c r="U749" s="12"/>
      <x:c r="V749" s="12"/>
      <x:c r="W749" s="12"/>
      <x:c r="X749" s="12"/>
      <x:c r="Y749" s="12"/>
      <x:c r="Z749" s="12"/>
      <x:c r="AA749" s="12"/>
    </x:row>
    <x:row r="750">
      <x:c r="A750" s="12"/>
      <x:c r="B750" s="12"/>
      <x:c r="C750" s="12"/>
      <x:c r="D750" s="12"/>
      <x:c r="E750" s="12"/>
      <x:c r="F750" s="12"/>
      <x:c r="G750" s="17"/>
      <x:c r="H750" s="12"/>
      <x:c r="I750" s="12"/>
      <x:c r="J750" s="18"/>
      <x:c r="K750" s="12"/>
      <x:c r="L750" s="12"/>
      <x:c r="M750" s="12"/>
      <x:c r="N750" s="12"/>
      <x:c r="O750" s="12"/>
      <x:c r="P750" s="12"/>
      <x:c r="Q750" s="12"/>
      <x:c r="R750" s="12"/>
      <x:c r="S750" s="12"/>
      <x:c r="T750" s="12"/>
      <x:c r="U750" s="12"/>
      <x:c r="V750" s="12"/>
      <x:c r="W750" s="12"/>
      <x:c r="X750" s="12"/>
      <x:c r="Y750" s="12"/>
      <x:c r="Z750" s="12"/>
      <x:c r="AA750" s="12"/>
    </x:row>
    <x:row r="751">
      <x:c r="A751" s="12"/>
      <x:c r="B751" s="12"/>
      <x:c r="C751" s="12"/>
      <x:c r="D751" s="12"/>
      <x:c r="E751" s="12"/>
      <x:c r="F751" s="12"/>
      <x:c r="G751" s="17"/>
      <x:c r="H751" s="12"/>
      <x:c r="I751" s="12"/>
      <x:c r="J751" s="18"/>
      <x:c r="K751" s="12"/>
      <x:c r="L751" s="12"/>
      <x:c r="M751" s="12"/>
      <x:c r="N751" s="12"/>
      <x:c r="O751" s="12"/>
      <x:c r="P751" s="12"/>
      <x:c r="Q751" s="12"/>
      <x:c r="R751" s="12"/>
      <x:c r="S751" s="12"/>
      <x:c r="T751" s="12"/>
      <x:c r="U751" s="12"/>
      <x:c r="V751" s="12"/>
      <x:c r="W751" s="12"/>
      <x:c r="X751" s="12"/>
      <x:c r="Y751" s="12"/>
      <x:c r="Z751" s="12"/>
      <x:c r="AA751" s="12"/>
    </x:row>
    <x:row r="752">
      <x:c r="A752" s="12"/>
      <x:c r="B752" s="12"/>
      <x:c r="C752" s="12"/>
      <x:c r="D752" s="12"/>
      <x:c r="E752" s="12"/>
      <x:c r="F752" s="12"/>
      <x:c r="G752" s="17"/>
      <x:c r="H752" s="12"/>
      <x:c r="I752" s="12"/>
      <x:c r="J752" s="18"/>
      <x:c r="K752" s="12"/>
      <x:c r="L752" s="12"/>
      <x:c r="M752" s="12"/>
      <x:c r="N752" s="12"/>
      <x:c r="O752" s="12"/>
      <x:c r="P752" s="12"/>
      <x:c r="Q752" s="12"/>
      <x:c r="R752" s="12"/>
      <x:c r="S752" s="12"/>
      <x:c r="T752" s="12"/>
      <x:c r="U752" s="12"/>
      <x:c r="V752" s="12"/>
      <x:c r="W752" s="12"/>
      <x:c r="X752" s="12"/>
      <x:c r="Y752" s="12"/>
      <x:c r="Z752" s="12"/>
      <x:c r="AA752" s="12"/>
    </x:row>
    <x:row r="753">
      <x:c r="A753" s="12"/>
      <x:c r="B753" s="12"/>
      <x:c r="C753" s="12"/>
      <x:c r="D753" s="12"/>
      <x:c r="E753" s="12"/>
      <x:c r="F753" s="12"/>
      <x:c r="G753" s="17"/>
      <x:c r="H753" s="12"/>
      <x:c r="I753" s="12"/>
      <x:c r="J753" s="18"/>
      <x:c r="K753" s="12"/>
      <x:c r="L753" s="12"/>
      <x:c r="M753" s="12"/>
      <x:c r="N753" s="12"/>
      <x:c r="O753" s="12"/>
      <x:c r="P753" s="12"/>
      <x:c r="Q753" s="12"/>
      <x:c r="R753" s="12"/>
      <x:c r="S753" s="12"/>
      <x:c r="T753" s="12"/>
      <x:c r="U753" s="12"/>
      <x:c r="V753" s="12"/>
      <x:c r="W753" s="12"/>
      <x:c r="X753" s="12"/>
      <x:c r="Y753" s="12"/>
      <x:c r="Z753" s="12"/>
      <x:c r="AA753" s="12"/>
    </x:row>
    <x:row r="754">
      <x:c r="A754" s="12"/>
      <x:c r="B754" s="12"/>
      <x:c r="C754" s="12"/>
      <x:c r="D754" s="12"/>
      <x:c r="E754" s="12"/>
      <x:c r="F754" s="12"/>
      <x:c r="G754" s="17"/>
      <x:c r="H754" s="12"/>
      <x:c r="I754" s="12"/>
      <x:c r="J754" s="18"/>
      <x:c r="K754" s="12"/>
      <x:c r="L754" s="12"/>
      <x:c r="M754" s="12"/>
      <x:c r="N754" s="12"/>
      <x:c r="O754" s="12"/>
      <x:c r="P754" s="12"/>
      <x:c r="Q754" s="12"/>
      <x:c r="R754" s="12"/>
      <x:c r="S754" s="12"/>
      <x:c r="T754" s="12"/>
      <x:c r="U754" s="12"/>
      <x:c r="V754" s="12"/>
      <x:c r="W754" s="12"/>
      <x:c r="X754" s="12"/>
      <x:c r="Y754" s="12"/>
      <x:c r="Z754" s="12"/>
      <x:c r="AA754" s="12"/>
    </x:row>
    <x:row r="755">
      <x:c r="A755" s="12"/>
      <x:c r="B755" s="12"/>
      <x:c r="C755" s="12"/>
      <x:c r="D755" s="12"/>
      <x:c r="E755" s="12"/>
      <x:c r="F755" s="12"/>
      <x:c r="G755" s="17"/>
      <x:c r="H755" s="12"/>
      <x:c r="I755" s="12"/>
      <x:c r="J755" s="18"/>
      <x:c r="K755" s="12"/>
      <x:c r="L755" s="12"/>
      <x:c r="M755" s="12"/>
      <x:c r="N755" s="12"/>
      <x:c r="O755" s="12"/>
      <x:c r="P755" s="12"/>
      <x:c r="Q755" s="12"/>
      <x:c r="R755" s="12"/>
      <x:c r="S755" s="12"/>
      <x:c r="T755" s="12"/>
      <x:c r="U755" s="12"/>
      <x:c r="V755" s="12"/>
      <x:c r="W755" s="12"/>
      <x:c r="X755" s="12"/>
      <x:c r="Y755" s="12"/>
      <x:c r="Z755" s="12"/>
      <x:c r="AA755" s="12"/>
    </x:row>
    <x:row r="756">
      <x:c r="A756" s="12"/>
      <x:c r="B756" s="12"/>
      <x:c r="C756" s="12"/>
      <x:c r="D756" s="12"/>
      <x:c r="E756" s="12"/>
      <x:c r="F756" s="12"/>
      <x:c r="G756" s="17"/>
      <x:c r="H756" s="12"/>
      <x:c r="I756" s="12"/>
      <x:c r="J756" s="18"/>
      <x:c r="K756" s="12"/>
      <x:c r="L756" s="12"/>
      <x:c r="M756" s="12"/>
      <x:c r="N756" s="12"/>
      <x:c r="O756" s="12"/>
      <x:c r="P756" s="12"/>
      <x:c r="Q756" s="12"/>
      <x:c r="R756" s="12"/>
      <x:c r="S756" s="12"/>
      <x:c r="T756" s="12"/>
      <x:c r="U756" s="12"/>
      <x:c r="V756" s="12"/>
      <x:c r="W756" s="12"/>
      <x:c r="X756" s="12"/>
      <x:c r="Y756" s="12"/>
      <x:c r="Z756" s="12"/>
      <x:c r="AA756" s="12"/>
    </x:row>
    <x:row r="757">
      <x:c r="A757" s="12"/>
      <x:c r="B757" s="12"/>
      <x:c r="C757" s="12"/>
      <x:c r="D757" s="12"/>
      <x:c r="E757" s="12"/>
      <x:c r="F757" s="12"/>
      <x:c r="G757" s="17"/>
      <x:c r="H757" s="12"/>
      <x:c r="I757" s="12"/>
      <x:c r="J757" s="18"/>
      <x:c r="K757" s="12"/>
      <x:c r="L757" s="12"/>
      <x:c r="M757" s="12"/>
      <x:c r="N757" s="12"/>
      <x:c r="O757" s="12"/>
      <x:c r="P757" s="12"/>
      <x:c r="Q757" s="12"/>
      <x:c r="R757" s="12"/>
      <x:c r="S757" s="12"/>
      <x:c r="T757" s="12"/>
      <x:c r="U757" s="12"/>
      <x:c r="V757" s="12"/>
      <x:c r="W757" s="12"/>
      <x:c r="X757" s="12"/>
      <x:c r="Y757" s="12"/>
      <x:c r="Z757" s="12"/>
      <x:c r="AA757" s="12"/>
    </x:row>
    <x:row r="758">
      <x:c r="A758" s="12"/>
      <x:c r="B758" s="12"/>
      <x:c r="C758" s="12"/>
      <x:c r="D758" s="12"/>
      <x:c r="E758" s="12"/>
      <x:c r="F758" s="12"/>
      <x:c r="G758" s="17"/>
      <x:c r="H758" s="12"/>
      <x:c r="I758" s="12"/>
      <x:c r="J758" s="18"/>
      <x:c r="K758" s="12"/>
      <x:c r="L758" s="12"/>
      <x:c r="M758" s="12"/>
      <x:c r="N758" s="12"/>
      <x:c r="O758" s="12"/>
      <x:c r="P758" s="12"/>
      <x:c r="Q758" s="12"/>
      <x:c r="R758" s="12"/>
      <x:c r="S758" s="12"/>
      <x:c r="T758" s="12"/>
      <x:c r="U758" s="12"/>
      <x:c r="V758" s="12"/>
      <x:c r="W758" s="12"/>
      <x:c r="X758" s="12"/>
      <x:c r="Y758" s="12"/>
      <x:c r="Z758" s="12"/>
      <x:c r="AA758" s="12"/>
    </x:row>
    <x:row r="759">
      <x:c r="A759" s="12"/>
      <x:c r="B759" s="12"/>
      <x:c r="C759" s="12"/>
      <x:c r="D759" s="12"/>
      <x:c r="E759" s="12"/>
      <x:c r="F759" s="12"/>
      <x:c r="G759" s="17"/>
      <x:c r="H759" s="12"/>
      <x:c r="I759" s="12"/>
      <x:c r="J759" s="18"/>
      <x:c r="K759" s="12"/>
      <x:c r="L759" s="12"/>
      <x:c r="M759" s="12"/>
      <x:c r="N759" s="12"/>
      <x:c r="O759" s="12"/>
      <x:c r="P759" s="12"/>
      <x:c r="Q759" s="12"/>
      <x:c r="R759" s="12"/>
      <x:c r="S759" s="12"/>
      <x:c r="T759" s="12"/>
      <x:c r="U759" s="12"/>
      <x:c r="V759" s="12"/>
      <x:c r="W759" s="12"/>
      <x:c r="X759" s="12"/>
      <x:c r="Y759" s="12"/>
      <x:c r="Z759" s="12"/>
      <x:c r="AA759" s="12"/>
    </x:row>
    <x:row r="760">
      <x:c r="A760" s="12"/>
      <x:c r="B760" s="12"/>
      <x:c r="C760" s="12"/>
      <x:c r="D760" s="12"/>
      <x:c r="E760" s="12"/>
      <x:c r="F760" s="12"/>
      <x:c r="G760" s="17"/>
      <x:c r="H760" s="12"/>
      <x:c r="I760" s="12"/>
      <x:c r="J760" s="18"/>
      <x:c r="K760" s="12"/>
      <x:c r="L760" s="12"/>
      <x:c r="M760" s="12"/>
      <x:c r="N760" s="12"/>
      <x:c r="O760" s="12"/>
      <x:c r="P760" s="12"/>
      <x:c r="Q760" s="12"/>
      <x:c r="R760" s="12"/>
      <x:c r="S760" s="12"/>
      <x:c r="T760" s="12"/>
      <x:c r="U760" s="12"/>
      <x:c r="V760" s="12"/>
      <x:c r="W760" s="12"/>
      <x:c r="X760" s="12"/>
      <x:c r="Y760" s="12"/>
      <x:c r="Z760" s="12"/>
      <x:c r="AA760" s="12"/>
    </x:row>
    <x:row r="761">
      <x:c r="A761" s="12"/>
      <x:c r="B761" s="12"/>
      <x:c r="C761" s="12"/>
      <x:c r="D761" s="12"/>
      <x:c r="E761" s="12"/>
      <x:c r="F761" s="12"/>
      <x:c r="G761" s="17"/>
      <x:c r="H761" s="12"/>
      <x:c r="I761" s="12"/>
      <x:c r="J761" s="18"/>
      <x:c r="K761" s="12"/>
      <x:c r="L761" s="12"/>
      <x:c r="M761" s="12"/>
      <x:c r="N761" s="12"/>
      <x:c r="O761" s="12"/>
      <x:c r="P761" s="12"/>
      <x:c r="Q761" s="12"/>
      <x:c r="R761" s="12"/>
      <x:c r="S761" s="12"/>
      <x:c r="T761" s="12"/>
      <x:c r="U761" s="12"/>
      <x:c r="V761" s="12"/>
      <x:c r="W761" s="12"/>
      <x:c r="X761" s="12"/>
      <x:c r="Y761" s="12"/>
      <x:c r="Z761" s="12"/>
      <x:c r="AA761" s="12"/>
    </x:row>
    <x:row r="762">
      <x:c r="A762" s="12"/>
      <x:c r="B762" s="12"/>
      <x:c r="C762" s="12"/>
      <x:c r="D762" s="12"/>
      <x:c r="E762" s="12"/>
      <x:c r="F762" s="12"/>
      <x:c r="G762" s="17"/>
      <x:c r="H762" s="12"/>
      <x:c r="I762" s="12"/>
      <x:c r="J762" s="18"/>
      <x:c r="K762" s="12"/>
      <x:c r="L762" s="12"/>
      <x:c r="M762" s="12"/>
      <x:c r="N762" s="12"/>
      <x:c r="O762" s="12"/>
      <x:c r="P762" s="12"/>
      <x:c r="Q762" s="12"/>
      <x:c r="R762" s="12"/>
      <x:c r="S762" s="12"/>
      <x:c r="T762" s="12"/>
      <x:c r="U762" s="12"/>
      <x:c r="V762" s="12"/>
      <x:c r="W762" s="12"/>
      <x:c r="X762" s="12"/>
      <x:c r="Y762" s="12"/>
      <x:c r="Z762" s="12"/>
      <x:c r="AA762" s="12"/>
    </x:row>
    <x:row r="763">
      <x:c r="A763" s="12"/>
      <x:c r="B763" s="12"/>
      <x:c r="C763" s="12"/>
      <x:c r="D763" s="12"/>
      <x:c r="E763" s="12"/>
      <x:c r="F763" s="12"/>
      <x:c r="G763" s="17"/>
      <x:c r="H763" s="12"/>
      <x:c r="I763" s="12"/>
      <x:c r="J763" s="18"/>
      <x:c r="K763" s="12"/>
      <x:c r="L763" s="12"/>
      <x:c r="M763" s="12"/>
      <x:c r="N763" s="12"/>
      <x:c r="O763" s="12"/>
      <x:c r="P763" s="12"/>
      <x:c r="Q763" s="12"/>
      <x:c r="R763" s="12"/>
      <x:c r="S763" s="12"/>
      <x:c r="T763" s="12"/>
      <x:c r="U763" s="12"/>
      <x:c r="V763" s="12"/>
      <x:c r="W763" s="12"/>
      <x:c r="X763" s="12"/>
      <x:c r="Y763" s="12"/>
      <x:c r="Z763" s="12"/>
      <x:c r="AA763" s="12"/>
    </x:row>
    <x:row r="764">
      <x:c r="A764" s="12"/>
      <x:c r="B764" s="12"/>
      <x:c r="C764" s="12"/>
      <x:c r="D764" s="12"/>
      <x:c r="E764" s="12"/>
      <x:c r="F764" s="12"/>
      <x:c r="G764" s="17"/>
      <x:c r="H764" s="12"/>
      <x:c r="I764" s="12"/>
      <x:c r="J764" s="18"/>
      <x:c r="K764" s="12"/>
      <x:c r="L764" s="12"/>
      <x:c r="M764" s="12"/>
      <x:c r="N764" s="12"/>
      <x:c r="O764" s="12"/>
      <x:c r="P764" s="12"/>
      <x:c r="Q764" s="12"/>
      <x:c r="R764" s="12"/>
      <x:c r="S764" s="12"/>
      <x:c r="T764" s="12"/>
      <x:c r="U764" s="12"/>
      <x:c r="V764" s="12"/>
      <x:c r="W764" s="12"/>
      <x:c r="X764" s="12"/>
      <x:c r="Y764" s="12"/>
      <x:c r="Z764" s="12"/>
      <x:c r="AA764" s="12"/>
    </x:row>
    <x:row r="765">
      <x:c r="A765" s="12"/>
      <x:c r="B765" s="12"/>
      <x:c r="C765" s="12"/>
      <x:c r="D765" s="12"/>
      <x:c r="E765" s="12"/>
      <x:c r="F765" s="12"/>
      <x:c r="G765" s="17"/>
      <x:c r="H765" s="12"/>
      <x:c r="I765" s="12"/>
      <x:c r="J765" s="18"/>
      <x:c r="K765" s="12"/>
      <x:c r="L765" s="12"/>
      <x:c r="M765" s="12"/>
      <x:c r="N765" s="12"/>
      <x:c r="O765" s="12"/>
      <x:c r="P765" s="12"/>
      <x:c r="Q765" s="12"/>
      <x:c r="R765" s="12"/>
      <x:c r="S765" s="12"/>
      <x:c r="T765" s="12"/>
      <x:c r="U765" s="12"/>
      <x:c r="V765" s="12"/>
      <x:c r="W765" s="12"/>
      <x:c r="X765" s="12"/>
      <x:c r="Y765" s="12"/>
      <x:c r="Z765" s="12"/>
      <x:c r="AA765" s="12"/>
    </x:row>
    <x:row r="766">
      <x:c r="A766" s="12"/>
      <x:c r="B766" s="12"/>
      <x:c r="C766" s="12"/>
      <x:c r="D766" s="12"/>
      <x:c r="E766" s="12"/>
      <x:c r="F766" s="12"/>
      <x:c r="G766" s="17"/>
      <x:c r="H766" s="12"/>
      <x:c r="I766" s="12"/>
      <x:c r="J766" s="18"/>
      <x:c r="K766" s="12"/>
      <x:c r="L766" s="12"/>
      <x:c r="M766" s="12"/>
      <x:c r="N766" s="12"/>
      <x:c r="O766" s="12"/>
      <x:c r="P766" s="12"/>
      <x:c r="Q766" s="12"/>
      <x:c r="R766" s="12"/>
      <x:c r="S766" s="12"/>
      <x:c r="T766" s="12"/>
      <x:c r="U766" s="12"/>
      <x:c r="V766" s="12"/>
      <x:c r="W766" s="12"/>
      <x:c r="X766" s="12"/>
      <x:c r="Y766" s="12"/>
      <x:c r="Z766" s="12"/>
      <x:c r="AA766" s="12"/>
    </x:row>
    <x:row r="767">
      <x:c r="A767" s="12"/>
      <x:c r="B767" s="12"/>
      <x:c r="C767" s="12"/>
      <x:c r="D767" s="12"/>
      <x:c r="E767" s="12"/>
      <x:c r="F767" s="12"/>
      <x:c r="G767" s="17"/>
      <x:c r="H767" s="12"/>
      <x:c r="I767" s="12"/>
      <x:c r="J767" s="18"/>
      <x:c r="K767" s="12"/>
      <x:c r="L767" s="12"/>
      <x:c r="M767" s="12"/>
      <x:c r="N767" s="12"/>
      <x:c r="O767" s="12"/>
      <x:c r="P767" s="12"/>
      <x:c r="Q767" s="12"/>
      <x:c r="R767" s="12"/>
      <x:c r="S767" s="12"/>
      <x:c r="T767" s="12"/>
      <x:c r="U767" s="12"/>
      <x:c r="V767" s="12"/>
      <x:c r="W767" s="12"/>
      <x:c r="X767" s="12"/>
      <x:c r="Y767" s="12"/>
      <x:c r="Z767" s="12"/>
      <x:c r="AA767" s="12"/>
    </x:row>
    <x:row r="768">
      <x:c r="A768" s="12"/>
      <x:c r="B768" s="12"/>
      <x:c r="C768" s="12"/>
      <x:c r="D768" s="12"/>
      <x:c r="E768" s="12"/>
      <x:c r="F768" s="12"/>
      <x:c r="G768" s="17"/>
      <x:c r="H768" s="12"/>
      <x:c r="I768" s="12"/>
      <x:c r="J768" s="18"/>
      <x:c r="K768" s="12"/>
      <x:c r="L768" s="12"/>
      <x:c r="M768" s="12"/>
      <x:c r="N768" s="12"/>
      <x:c r="O768" s="12"/>
      <x:c r="P768" s="12"/>
      <x:c r="Q768" s="12"/>
      <x:c r="R768" s="12"/>
      <x:c r="S768" s="12"/>
      <x:c r="T768" s="12"/>
      <x:c r="U768" s="12"/>
      <x:c r="V768" s="12"/>
      <x:c r="W768" s="12"/>
      <x:c r="X768" s="12"/>
      <x:c r="Y768" s="12"/>
      <x:c r="Z768" s="12"/>
      <x:c r="AA768" s="12"/>
    </x:row>
    <x:row r="769">
      <x:c r="A769" s="12"/>
      <x:c r="B769" s="12"/>
      <x:c r="C769" s="12"/>
      <x:c r="D769" s="12"/>
      <x:c r="E769" s="12"/>
      <x:c r="F769" s="12"/>
      <x:c r="G769" s="17"/>
      <x:c r="H769" s="12"/>
      <x:c r="I769" s="12"/>
      <x:c r="J769" s="18"/>
      <x:c r="K769" s="12"/>
      <x:c r="L769" s="12"/>
      <x:c r="M769" s="12"/>
      <x:c r="N769" s="12"/>
      <x:c r="O769" s="12"/>
      <x:c r="P769" s="12"/>
      <x:c r="Q769" s="12"/>
      <x:c r="R769" s="12"/>
      <x:c r="S769" s="12"/>
      <x:c r="T769" s="12"/>
      <x:c r="U769" s="12"/>
      <x:c r="V769" s="12"/>
      <x:c r="W769" s="12"/>
      <x:c r="X769" s="12"/>
      <x:c r="Y769" s="12"/>
      <x:c r="Z769" s="12"/>
      <x:c r="AA769" s="12"/>
    </x:row>
    <x:row r="770">
      <x:c r="A770" s="12"/>
      <x:c r="B770" s="12"/>
      <x:c r="C770" s="12"/>
      <x:c r="D770" s="12"/>
      <x:c r="E770" s="12"/>
      <x:c r="F770" s="12"/>
      <x:c r="G770" s="17"/>
      <x:c r="H770" s="12"/>
      <x:c r="I770" s="12"/>
      <x:c r="J770" s="18"/>
      <x:c r="K770" s="12"/>
      <x:c r="L770" s="12"/>
      <x:c r="M770" s="12"/>
      <x:c r="N770" s="12"/>
      <x:c r="O770" s="12"/>
      <x:c r="P770" s="12"/>
      <x:c r="Q770" s="12"/>
      <x:c r="R770" s="12"/>
      <x:c r="S770" s="12"/>
      <x:c r="T770" s="12"/>
      <x:c r="U770" s="12"/>
      <x:c r="V770" s="12"/>
      <x:c r="W770" s="12"/>
      <x:c r="X770" s="12"/>
      <x:c r="Y770" s="12"/>
      <x:c r="Z770" s="12"/>
      <x:c r="AA770" s="12"/>
    </x:row>
    <x:row r="771">
      <x:c r="A771" s="12"/>
      <x:c r="B771" s="12"/>
      <x:c r="C771" s="12"/>
      <x:c r="D771" s="12"/>
      <x:c r="E771" s="12"/>
      <x:c r="F771" s="12"/>
      <x:c r="G771" s="17"/>
      <x:c r="H771" s="12"/>
      <x:c r="I771" s="12"/>
      <x:c r="J771" s="18"/>
      <x:c r="K771" s="12"/>
      <x:c r="L771" s="12"/>
      <x:c r="M771" s="12"/>
      <x:c r="N771" s="12"/>
      <x:c r="O771" s="12"/>
      <x:c r="P771" s="12"/>
      <x:c r="Q771" s="12"/>
      <x:c r="R771" s="12"/>
      <x:c r="S771" s="12"/>
      <x:c r="T771" s="12"/>
      <x:c r="U771" s="12"/>
      <x:c r="V771" s="12"/>
      <x:c r="W771" s="12"/>
      <x:c r="X771" s="12"/>
      <x:c r="Y771" s="12"/>
      <x:c r="Z771" s="12"/>
      <x:c r="AA771" s="12"/>
    </x:row>
    <x:row r="772">
      <x:c r="A772" s="12"/>
      <x:c r="B772" s="12"/>
      <x:c r="C772" s="12"/>
      <x:c r="D772" s="12"/>
      <x:c r="E772" s="12"/>
      <x:c r="F772" s="12"/>
      <x:c r="G772" s="17"/>
      <x:c r="H772" s="12"/>
      <x:c r="I772" s="12"/>
      <x:c r="J772" s="18"/>
      <x:c r="K772" s="12"/>
      <x:c r="L772" s="12"/>
      <x:c r="M772" s="12"/>
      <x:c r="N772" s="12"/>
      <x:c r="O772" s="12"/>
      <x:c r="P772" s="12"/>
      <x:c r="Q772" s="12"/>
      <x:c r="R772" s="12"/>
      <x:c r="S772" s="12"/>
      <x:c r="T772" s="12"/>
      <x:c r="U772" s="12"/>
      <x:c r="V772" s="12"/>
      <x:c r="W772" s="12"/>
      <x:c r="X772" s="12"/>
      <x:c r="Y772" s="12"/>
      <x:c r="Z772" s="12"/>
      <x:c r="AA772" s="12"/>
    </x:row>
    <x:row r="773">
      <x:c r="A773" s="12"/>
      <x:c r="B773" s="12"/>
      <x:c r="C773" s="12"/>
      <x:c r="D773" s="12"/>
      <x:c r="E773" s="12"/>
      <x:c r="F773" s="12"/>
      <x:c r="G773" s="17"/>
      <x:c r="H773" s="12"/>
      <x:c r="I773" s="12"/>
      <x:c r="J773" s="18"/>
      <x:c r="K773" s="12"/>
      <x:c r="L773" s="12"/>
      <x:c r="M773" s="12"/>
      <x:c r="N773" s="12"/>
      <x:c r="O773" s="12"/>
      <x:c r="P773" s="12"/>
      <x:c r="Q773" s="12"/>
      <x:c r="R773" s="12"/>
      <x:c r="S773" s="12"/>
      <x:c r="T773" s="12"/>
      <x:c r="U773" s="12"/>
      <x:c r="V773" s="12"/>
      <x:c r="W773" s="12"/>
      <x:c r="X773" s="12"/>
      <x:c r="Y773" s="12"/>
      <x:c r="Z773" s="12"/>
      <x:c r="AA773" s="12"/>
    </x:row>
    <x:row r="774">
      <x:c r="A774" s="12"/>
      <x:c r="B774" s="12"/>
      <x:c r="C774" s="12"/>
      <x:c r="D774" s="12"/>
      <x:c r="E774" s="12"/>
      <x:c r="F774" s="12"/>
      <x:c r="G774" s="17"/>
      <x:c r="H774" s="12"/>
      <x:c r="I774" s="12"/>
      <x:c r="J774" s="18"/>
      <x:c r="K774" s="12"/>
      <x:c r="L774" s="12"/>
      <x:c r="M774" s="12"/>
      <x:c r="N774" s="12"/>
      <x:c r="O774" s="12"/>
      <x:c r="P774" s="12"/>
      <x:c r="Q774" s="12"/>
      <x:c r="R774" s="12"/>
      <x:c r="S774" s="12"/>
      <x:c r="T774" s="12"/>
      <x:c r="U774" s="12"/>
      <x:c r="V774" s="12"/>
      <x:c r="W774" s="12"/>
      <x:c r="X774" s="12"/>
      <x:c r="Y774" s="12"/>
      <x:c r="Z774" s="12"/>
      <x:c r="AA774" s="12"/>
    </x:row>
    <x:row r="775">
      <x:c r="A775" s="12"/>
      <x:c r="B775" s="12"/>
      <x:c r="C775" s="12"/>
      <x:c r="D775" s="12"/>
      <x:c r="E775" s="12"/>
      <x:c r="F775" s="12"/>
      <x:c r="G775" s="17"/>
      <x:c r="H775" s="12"/>
      <x:c r="I775" s="12"/>
      <x:c r="J775" s="18"/>
      <x:c r="K775" s="12"/>
      <x:c r="L775" s="12"/>
      <x:c r="M775" s="12"/>
      <x:c r="N775" s="12"/>
      <x:c r="O775" s="12"/>
      <x:c r="P775" s="12"/>
      <x:c r="Q775" s="12"/>
      <x:c r="R775" s="12"/>
      <x:c r="S775" s="12"/>
      <x:c r="T775" s="12"/>
      <x:c r="U775" s="12"/>
      <x:c r="V775" s="12"/>
      <x:c r="W775" s="12"/>
      <x:c r="X775" s="12"/>
      <x:c r="Y775" s="12"/>
      <x:c r="Z775" s="12"/>
      <x:c r="AA775" s="12"/>
    </x:row>
    <x:row r="776">
      <x:c r="A776" s="12"/>
      <x:c r="B776" s="12"/>
      <x:c r="C776" s="12"/>
      <x:c r="D776" s="12"/>
      <x:c r="E776" s="12"/>
      <x:c r="F776" s="12"/>
      <x:c r="G776" s="17"/>
      <x:c r="H776" s="12"/>
      <x:c r="I776" s="12"/>
      <x:c r="J776" s="18"/>
      <x:c r="K776" s="12"/>
      <x:c r="L776" s="12"/>
      <x:c r="M776" s="12"/>
      <x:c r="N776" s="12"/>
      <x:c r="O776" s="12"/>
      <x:c r="P776" s="12"/>
      <x:c r="Q776" s="12"/>
      <x:c r="R776" s="12"/>
      <x:c r="S776" s="12"/>
      <x:c r="T776" s="12"/>
      <x:c r="U776" s="12"/>
      <x:c r="V776" s="12"/>
      <x:c r="W776" s="12"/>
      <x:c r="X776" s="12"/>
      <x:c r="Y776" s="12"/>
      <x:c r="Z776" s="12"/>
      <x:c r="AA776" s="12"/>
    </x:row>
    <x:row r="777">
      <x:c r="A777" s="12"/>
      <x:c r="B777" s="12"/>
      <x:c r="C777" s="12"/>
      <x:c r="D777" s="12"/>
      <x:c r="E777" s="12"/>
      <x:c r="F777" s="12"/>
      <x:c r="G777" s="17"/>
      <x:c r="H777" s="12"/>
      <x:c r="I777" s="12"/>
      <x:c r="J777" s="18"/>
      <x:c r="K777" s="12"/>
      <x:c r="L777" s="12"/>
      <x:c r="M777" s="12"/>
      <x:c r="N777" s="12"/>
      <x:c r="O777" s="12"/>
      <x:c r="P777" s="12"/>
      <x:c r="Q777" s="12"/>
      <x:c r="R777" s="12"/>
      <x:c r="S777" s="12"/>
      <x:c r="T777" s="12"/>
      <x:c r="U777" s="12"/>
      <x:c r="V777" s="12"/>
      <x:c r="W777" s="12"/>
      <x:c r="X777" s="12"/>
      <x:c r="Y777" s="12"/>
      <x:c r="Z777" s="12"/>
      <x:c r="AA777" s="12"/>
    </x:row>
    <x:row r="778">
      <x:c r="A778" s="12"/>
      <x:c r="B778" s="12"/>
      <x:c r="C778" s="12"/>
      <x:c r="D778" s="12"/>
      <x:c r="E778" s="12"/>
      <x:c r="F778" s="12"/>
      <x:c r="G778" s="17"/>
      <x:c r="H778" s="12"/>
      <x:c r="I778" s="12"/>
      <x:c r="J778" s="18"/>
      <x:c r="K778" s="12"/>
      <x:c r="L778" s="12"/>
      <x:c r="M778" s="12"/>
      <x:c r="N778" s="12"/>
      <x:c r="O778" s="12"/>
      <x:c r="P778" s="12"/>
      <x:c r="Q778" s="12"/>
      <x:c r="R778" s="12"/>
      <x:c r="S778" s="12"/>
      <x:c r="T778" s="12"/>
      <x:c r="U778" s="12"/>
      <x:c r="V778" s="12"/>
      <x:c r="W778" s="12"/>
      <x:c r="X778" s="12"/>
      <x:c r="Y778" s="12"/>
      <x:c r="Z778" s="12"/>
      <x:c r="AA778" s="12"/>
    </x:row>
    <x:row r="779">
      <x:c r="A779" s="12"/>
      <x:c r="B779" s="12"/>
      <x:c r="C779" s="12"/>
      <x:c r="D779" s="12"/>
      <x:c r="E779" s="12"/>
      <x:c r="F779" s="12"/>
      <x:c r="G779" s="17"/>
      <x:c r="H779" s="12"/>
      <x:c r="I779" s="12"/>
      <x:c r="J779" s="18"/>
      <x:c r="K779" s="12"/>
      <x:c r="L779" s="12"/>
      <x:c r="M779" s="12"/>
      <x:c r="N779" s="12"/>
      <x:c r="O779" s="12"/>
      <x:c r="P779" s="12"/>
      <x:c r="Q779" s="12"/>
      <x:c r="R779" s="12"/>
      <x:c r="S779" s="12"/>
      <x:c r="T779" s="12"/>
      <x:c r="U779" s="12"/>
      <x:c r="V779" s="12"/>
      <x:c r="W779" s="12"/>
      <x:c r="X779" s="12"/>
      <x:c r="Y779" s="12"/>
      <x:c r="Z779" s="12"/>
      <x:c r="AA779" s="12"/>
    </x:row>
    <x:row r="780">
      <x:c r="A780" s="12"/>
      <x:c r="B780" s="12"/>
      <x:c r="C780" s="12"/>
      <x:c r="D780" s="12"/>
      <x:c r="E780" s="12"/>
      <x:c r="F780" s="12"/>
      <x:c r="G780" s="17"/>
      <x:c r="H780" s="12"/>
      <x:c r="I780" s="12"/>
      <x:c r="J780" s="18"/>
      <x:c r="K780" s="12"/>
      <x:c r="L780" s="12"/>
      <x:c r="M780" s="12"/>
      <x:c r="N780" s="12"/>
      <x:c r="O780" s="12"/>
      <x:c r="P780" s="12"/>
      <x:c r="Q780" s="12"/>
      <x:c r="R780" s="12"/>
      <x:c r="S780" s="12"/>
      <x:c r="T780" s="12"/>
      <x:c r="U780" s="12"/>
      <x:c r="V780" s="12"/>
      <x:c r="W780" s="12"/>
      <x:c r="X780" s="12"/>
      <x:c r="Y780" s="12"/>
      <x:c r="Z780" s="12"/>
      <x:c r="AA780" s="12"/>
    </x:row>
    <x:row r="781">
      <x:c r="A781" s="12"/>
      <x:c r="B781" s="12"/>
      <x:c r="C781" s="12"/>
      <x:c r="D781" s="12"/>
      <x:c r="E781" s="12"/>
      <x:c r="F781" s="12"/>
      <x:c r="G781" s="17"/>
      <x:c r="H781" s="12"/>
      <x:c r="I781" s="12"/>
      <x:c r="J781" s="18"/>
      <x:c r="K781" s="12"/>
      <x:c r="L781" s="12"/>
      <x:c r="M781" s="12"/>
      <x:c r="N781" s="12"/>
      <x:c r="O781" s="12"/>
      <x:c r="P781" s="12"/>
      <x:c r="Q781" s="12"/>
      <x:c r="R781" s="12"/>
      <x:c r="S781" s="12"/>
      <x:c r="T781" s="12"/>
      <x:c r="U781" s="12"/>
      <x:c r="V781" s="12"/>
      <x:c r="W781" s="12"/>
      <x:c r="X781" s="12"/>
      <x:c r="Y781" s="12"/>
      <x:c r="Z781" s="12"/>
      <x:c r="AA781" s="12"/>
    </x:row>
    <x:row r="782">
      <x:c r="A782" s="12"/>
      <x:c r="B782" s="12"/>
      <x:c r="C782" s="12"/>
      <x:c r="D782" s="12"/>
      <x:c r="E782" s="12"/>
      <x:c r="F782" s="12"/>
      <x:c r="G782" s="17"/>
      <x:c r="H782" s="12"/>
      <x:c r="I782" s="12"/>
      <x:c r="J782" s="18"/>
      <x:c r="K782" s="12"/>
      <x:c r="L782" s="12"/>
      <x:c r="M782" s="12"/>
      <x:c r="N782" s="12"/>
      <x:c r="O782" s="12"/>
      <x:c r="P782" s="12"/>
      <x:c r="Q782" s="12"/>
      <x:c r="R782" s="12"/>
      <x:c r="S782" s="12"/>
      <x:c r="T782" s="12"/>
      <x:c r="U782" s="12"/>
      <x:c r="V782" s="12"/>
      <x:c r="W782" s="12"/>
      <x:c r="X782" s="12"/>
      <x:c r="Y782" s="12"/>
      <x:c r="Z782" s="12"/>
      <x:c r="AA782" s="12"/>
    </x:row>
    <x:row r="783">
      <x:c r="A783" s="12"/>
      <x:c r="B783" s="12"/>
      <x:c r="C783" s="12"/>
      <x:c r="D783" s="12"/>
      <x:c r="E783" s="12"/>
      <x:c r="F783" s="12"/>
      <x:c r="G783" s="17"/>
      <x:c r="H783" s="12"/>
      <x:c r="I783" s="12"/>
      <x:c r="J783" s="18"/>
      <x:c r="K783" s="12"/>
      <x:c r="L783" s="12"/>
      <x:c r="M783" s="12"/>
      <x:c r="N783" s="12"/>
      <x:c r="O783" s="12"/>
      <x:c r="P783" s="12"/>
      <x:c r="Q783" s="12"/>
      <x:c r="R783" s="12"/>
      <x:c r="S783" s="12"/>
      <x:c r="T783" s="12"/>
      <x:c r="U783" s="12"/>
      <x:c r="V783" s="12"/>
      <x:c r="W783" s="12"/>
      <x:c r="X783" s="12"/>
      <x:c r="Y783" s="12"/>
      <x:c r="Z783" s="12"/>
      <x:c r="AA783" s="12"/>
    </x:row>
    <x:row r="784">
      <x:c r="A784" s="12"/>
      <x:c r="B784" s="12"/>
      <x:c r="C784" s="12"/>
      <x:c r="D784" s="12"/>
      <x:c r="E784" s="12"/>
      <x:c r="F784" s="12"/>
      <x:c r="G784" s="17"/>
      <x:c r="H784" s="12"/>
      <x:c r="I784" s="12"/>
      <x:c r="J784" s="18"/>
      <x:c r="K784" s="12"/>
      <x:c r="L784" s="12"/>
      <x:c r="M784" s="12"/>
      <x:c r="N784" s="12"/>
      <x:c r="O784" s="12"/>
      <x:c r="P784" s="12"/>
      <x:c r="Q784" s="12"/>
      <x:c r="R784" s="12"/>
      <x:c r="S784" s="12"/>
      <x:c r="T784" s="12"/>
      <x:c r="U784" s="12"/>
      <x:c r="V784" s="12"/>
      <x:c r="W784" s="12"/>
      <x:c r="X784" s="12"/>
      <x:c r="Y784" s="12"/>
      <x:c r="Z784" s="12"/>
      <x:c r="AA784" s="12"/>
    </x:row>
    <x:row r="785">
      <x:c r="A785" s="12"/>
      <x:c r="B785" s="12"/>
      <x:c r="C785" s="12"/>
      <x:c r="D785" s="12"/>
      <x:c r="E785" s="12"/>
      <x:c r="F785" s="12"/>
      <x:c r="G785" s="17"/>
      <x:c r="H785" s="12"/>
      <x:c r="I785" s="12"/>
      <x:c r="J785" s="18"/>
      <x:c r="K785" s="12"/>
      <x:c r="L785" s="12"/>
      <x:c r="M785" s="12"/>
      <x:c r="N785" s="12"/>
      <x:c r="O785" s="12"/>
      <x:c r="P785" s="12"/>
      <x:c r="Q785" s="12"/>
      <x:c r="R785" s="12"/>
      <x:c r="S785" s="12"/>
      <x:c r="T785" s="12"/>
      <x:c r="U785" s="12"/>
      <x:c r="V785" s="12"/>
      <x:c r="W785" s="12"/>
      <x:c r="X785" s="12"/>
      <x:c r="Y785" s="12"/>
      <x:c r="Z785" s="12"/>
      <x:c r="AA785" s="12"/>
    </x:row>
    <x:row r="786">
      <x:c r="A786" s="12"/>
      <x:c r="B786" s="12"/>
      <x:c r="C786" s="12"/>
      <x:c r="D786" s="12"/>
      <x:c r="E786" s="12"/>
      <x:c r="F786" s="12"/>
      <x:c r="G786" s="17"/>
      <x:c r="H786" s="12"/>
      <x:c r="I786" s="12"/>
      <x:c r="J786" s="18"/>
      <x:c r="K786" s="12"/>
      <x:c r="L786" s="12"/>
      <x:c r="M786" s="12"/>
      <x:c r="N786" s="12"/>
      <x:c r="O786" s="12"/>
      <x:c r="P786" s="12"/>
      <x:c r="Q786" s="12"/>
      <x:c r="R786" s="12"/>
      <x:c r="S786" s="12"/>
      <x:c r="T786" s="12"/>
      <x:c r="U786" s="12"/>
      <x:c r="V786" s="12"/>
      <x:c r="W786" s="12"/>
      <x:c r="X786" s="12"/>
      <x:c r="Y786" s="12"/>
      <x:c r="Z786" s="12"/>
      <x:c r="AA786" s="12"/>
    </x:row>
    <x:row r="787">
      <x:c r="A787" s="12"/>
      <x:c r="B787" s="12"/>
      <x:c r="C787" s="12"/>
      <x:c r="D787" s="12"/>
      <x:c r="E787" s="12"/>
      <x:c r="F787" s="12"/>
      <x:c r="G787" s="17"/>
      <x:c r="H787" s="12"/>
      <x:c r="I787" s="12"/>
      <x:c r="J787" s="18"/>
      <x:c r="K787" s="12"/>
      <x:c r="L787" s="12"/>
      <x:c r="M787" s="12"/>
      <x:c r="N787" s="12"/>
      <x:c r="O787" s="12"/>
      <x:c r="P787" s="12"/>
      <x:c r="Q787" s="12"/>
      <x:c r="R787" s="12"/>
      <x:c r="S787" s="12"/>
      <x:c r="T787" s="12"/>
      <x:c r="U787" s="12"/>
      <x:c r="V787" s="12"/>
      <x:c r="W787" s="12"/>
      <x:c r="X787" s="12"/>
      <x:c r="Y787" s="12"/>
      <x:c r="Z787" s="12"/>
      <x:c r="AA787" s="12"/>
    </x:row>
    <x:row r="788">
      <x:c r="A788" s="12"/>
      <x:c r="B788" s="12"/>
      <x:c r="C788" s="12"/>
      <x:c r="D788" s="12"/>
      <x:c r="E788" s="12"/>
      <x:c r="F788" s="12"/>
      <x:c r="G788" s="17"/>
      <x:c r="H788" s="12"/>
      <x:c r="I788" s="12"/>
      <x:c r="J788" s="18"/>
      <x:c r="K788" s="12"/>
      <x:c r="L788" s="12"/>
      <x:c r="M788" s="12"/>
      <x:c r="N788" s="12"/>
      <x:c r="O788" s="12"/>
      <x:c r="P788" s="12"/>
      <x:c r="Q788" s="12"/>
      <x:c r="R788" s="12"/>
      <x:c r="S788" s="12"/>
      <x:c r="T788" s="12"/>
      <x:c r="U788" s="12"/>
      <x:c r="V788" s="12"/>
      <x:c r="W788" s="12"/>
      <x:c r="X788" s="12"/>
      <x:c r="Y788" s="12"/>
      <x:c r="Z788" s="12"/>
      <x:c r="AA788" s="12"/>
    </x:row>
    <x:row r="789">
      <x:c r="A789" s="12"/>
      <x:c r="B789" s="12"/>
      <x:c r="C789" s="12"/>
      <x:c r="D789" s="12"/>
      <x:c r="E789" s="12"/>
      <x:c r="F789" s="12"/>
      <x:c r="G789" s="17"/>
      <x:c r="H789" s="12"/>
      <x:c r="I789" s="12"/>
      <x:c r="J789" s="18"/>
      <x:c r="K789" s="12"/>
      <x:c r="L789" s="12"/>
      <x:c r="M789" s="12"/>
      <x:c r="N789" s="12"/>
      <x:c r="O789" s="12"/>
      <x:c r="P789" s="12"/>
      <x:c r="Q789" s="12"/>
      <x:c r="R789" s="12"/>
      <x:c r="S789" s="12"/>
      <x:c r="T789" s="12"/>
      <x:c r="U789" s="12"/>
      <x:c r="V789" s="12"/>
      <x:c r="W789" s="12"/>
      <x:c r="X789" s="12"/>
      <x:c r="Y789" s="12"/>
      <x:c r="Z789" s="12"/>
      <x:c r="AA789" s="12"/>
    </x:row>
    <x:row r="790">
      <x:c r="A790" s="12"/>
      <x:c r="B790" s="12"/>
      <x:c r="C790" s="12"/>
      <x:c r="D790" s="12"/>
      <x:c r="E790" s="12"/>
      <x:c r="F790" s="12"/>
      <x:c r="G790" s="17"/>
      <x:c r="H790" s="12"/>
      <x:c r="I790" s="12"/>
      <x:c r="J790" s="18"/>
      <x:c r="K790" s="12"/>
      <x:c r="L790" s="12"/>
      <x:c r="M790" s="12"/>
      <x:c r="N790" s="12"/>
      <x:c r="O790" s="12"/>
      <x:c r="P790" s="12"/>
      <x:c r="Q790" s="12"/>
      <x:c r="R790" s="12"/>
      <x:c r="S790" s="12"/>
      <x:c r="T790" s="12"/>
      <x:c r="U790" s="12"/>
      <x:c r="V790" s="12"/>
      <x:c r="W790" s="12"/>
      <x:c r="X790" s="12"/>
      <x:c r="Y790" s="12"/>
      <x:c r="Z790" s="12"/>
      <x:c r="AA790" s="12"/>
    </x:row>
    <x:row r="791">
      <x:c r="A791" s="12"/>
      <x:c r="B791" s="12"/>
      <x:c r="C791" s="12"/>
      <x:c r="D791" s="12"/>
      <x:c r="E791" s="12"/>
      <x:c r="F791" s="12"/>
      <x:c r="G791" s="17"/>
      <x:c r="H791" s="12"/>
      <x:c r="I791" s="12"/>
      <x:c r="J791" s="18"/>
      <x:c r="K791" s="12"/>
      <x:c r="L791" s="12"/>
      <x:c r="M791" s="12"/>
      <x:c r="N791" s="12"/>
      <x:c r="O791" s="12"/>
      <x:c r="P791" s="12"/>
      <x:c r="Q791" s="12"/>
      <x:c r="R791" s="12"/>
      <x:c r="S791" s="12"/>
      <x:c r="T791" s="12"/>
      <x:c r="U791" s="12"/>
      <x:c r="V791" s="12"/>
      <x:c r="W791" s="12"/>
      <x:c r="X791" s="12"/>
      <x:c r="Y791" s="12"/>
      <x:c r="Z791" s="12"/>
      <x:c r="AA791" s="12"/>
    </x:row>
    <x:row r="792">
      <x:c r="A792" s="12"/>
      <x:c r="B792" s="12"/>
      <x:c r="C792" s="12"/>
      <x:c r="D792" s="12"/>
      <x:c r="E792" s="12"/>
      <x:c r="F792" s="12"/>
      <x:c r="G792" s="17"/>
      <x:c r="H792" s="12"/>
      <x:c r="I792" s="12"/>
      <x:c r="J792" s="18"/>
      <x:c r="K792" s="12"/>
      <x:c r="L792" s="12"/>
      <x:c r="M792" s="12"/>
      <x:c r="N792" s="12"/>
      <x:c r="O792" s="12"/>
      <x:c r="P792" s="12"/>
      <x:c r="Q792" s="12"/>
      <x:c r="R792" s="12"/>
      <x:c r="S792" s="12"/>
      <x:c r="T792" s="12"/>
      <x:c r="U792" s="12"/>
      <x:c r="V792" s="12"/>
      <x:c r="W792" s="12"/>
      <x:c r="X792" s="12"/>
      <x:c r="Y792" s="12"/>
      <x:c r="Z792" s="12"/>
      <x:c r="AA792" s="12"/>
    </x:row>
    <x:row r="793">
      <x:c r="A793" s="12"/>
      <x:c r="B793" s="12"/>
      <x:c r="C793" s="12"/>
      <x:c r="D793" s="12"/>
      <x:c r="E793" s="12"/>
      <x:c r="F793" s="12"/>
      <x:c r="G793" s="17"/>
      <x:c r="H793" s="12"/>
      <x:c r="I793" s="12"/>
      <x:c r="J793" s="18"/>
      <x:c r="K793" s="12"/>
      <x:c r="L793" s="12"/>
      <x:c r="M793" s="12"/>
      <x:c r="N793" s="12"/>
      <x:c r="O793" s="12"/>
      <x:c r="P793" s="12"/>
      <x:c r="Q793" s="12"/>
      <x:c r="R793" s="12"/>
      <x:c r="S793" s="12"/>
      <x:c r="T793" s="12"/>
      <x:c r="U793" s="12"/>
      <x:c r="V793" s="12"/>
      <x:c r="W793" s="12"/>
      <x:c r="X793" s="12"/>
      <x:c r="Y793" s="12"/>
      <x:c r="Z793" s="12"/>
      <x:c r="AA793" s="12"/>
    </x:row>
    <x:row r="794">
      <x:c r="A794" s="12"/>
      <x:c r="B794" s="12"/>
      <x:c r="C794" s="12"/>
      <x:c r="D794" s="12"/>
      <x:c r="E794" s="12"/>
      <x:c r="F794" s="12"/>
      <x:c r="G794" s="17"/>
      <x:c r="H794" s="12"/>
      <x:c r="I794" s="12"/>
      <x:c r="J794" s="18"/>
      <x:c r="K794" s="12"/>
      <x:c r="L794" s="12"/>
      <x:c r="M794" s="12"/>
      <x:c r="N794" s="12"/>
      <x:c r="O794" s="12"/>
      <x:c r="P794" s="12"/>
      <x:c r="Q794" s="12"/>
      <x:c r="R794" s="12"/>
      <x:c r="S794" s="12"/>
      <x:c r="T794" s="12"/>
      <x:c r="U794" s="12"/>
      <x:c r="V794" s="12"/>
      <x:c r="W794" s="12"/>
      <x:c r="X794" s="12"/>
      <x:c r="Y794" s="12"/>
      <x:c r="Z794" s="12"/>
      <x:c r="AA794" s="12"/>
    </x:row>
    <x:row r="795">
      <x:c r="A795" s="12"/>
      <x:c r="B795" s="12"/>
      <x:c r="C795" s="12"/>
      <x:c r="D795" s="12"/>
      <x:c r="E795" s="12"/>
      <x:c r="F795" s="12"/>
      <x:c r="G795" s="17"/>
      <x:c r="H795" s="12"/>
      <x:c r="I795" s="12"/>
      <x:c r="J795" s="18"/>
      <x:c r="K795" s="12"/>
      <x:c r="L795" s="12"/>
      <x:c r="M795" s="12"/>
      <x:c r="N795" s="12"/>
      <x:c r="O795" s="12"/>
      <x:c r="P795" s="12"/>
      <x:c r="Q795" s="12"/>
      <x:c r="R795" s="12"/>
      <x:c r="S795" s="12"/>
      <x:c r="T795" s="12"/>
      <x:c r="U795" s="12"/>
      <x:c r="V795" s="12"/>
      <x:c r="W795" s="12"/>
      <x:c r="X795" s="12"/>
      <x:c r="Y795" s="12"/>
      <x:c r="Z795" s="12"/>
      <x:c r="AA795" s="12"/>
    </x:row>
    <x:row r="796">
      <x:c r="A796" s="12"/>
      <x:c r="B796" s="12"/>
      <x:c r="C796" s="12"/>
      <x:c r="D796" s="12"/>
      <x:c r="E796" s="12"/>
      <x:c r="F796" s="12"/>
      <x:c r="G796" s="17"/>
      <x:c r="H796" s="12"/>
      <x:c r="I796" s="12"/>
      <x:c r="J796" s="18"/>
      <x:c r="K796" s="12"/>
      <x:c r="L796" s="12"/>
      <x:c r="M796" s="12"/>
      <x:c r="N796" s="12"/>
      <x:c r="O796" s="12"/>
      <x:c r="P796" s="12"/>
      <x:c r="Q796" s="12"/>
      <x:c r="R796" s="12"/>
      <x:c r="S796" s="12"/>
      <x:c r="T796" s="12"/>
      <x:c r="U796" s="12"/>
      <x:c r="V796" s="12"/>
      <x:c r="W796" s="12"/>
      <x:c r="X796" s="12"/>
      <x:c r="Y796" s="12"/>
      <x:c r="Z796" s="12"/>
      <x:c r="AA796" s="12"/>
    </x:row>
    <x:row r="797">
      <x:c r="A797" s="12"/>
      <x:c r="B797" s="12"/>
      <x:c r="C797" s="12"/>
      <x:c r="D797" s="12"/>
      <x:c r="E797" s="12"/>
      <x:c r="F797" s="12"/>
      <x:c r="G797" s="17"/>
      <x:c r="H797" s="12"/>
      <x:c r="I797" s="12"/>
      <x:c r="J797" s="18"/>
      <x:c r="K797" s="12"/>
      <x:c r="L797" s="12"/>
      <x:c r="M797" s="12"/>
      <x:c r="N797" s="12"/>
      <x:c r="O797" s="12"/>
      <x:c r="P797" s="12"/>
      <x:c r="Q797" s="12"/>
      <x:c r="R797" s="12"/>
      <x:c r="S797" s="12"/>
      <x:c r="T797" s="12"/>
      <x:c r="U797" s="12"/>
      <x:c r="V797" s="12"/>
      <x:c r="W797" s="12"/>
      <x:c r="X797" s="12"/>
      <x:c r="Y797" s="12"/>
      <x:c r="Z797" s="12"/>
      <x:c r="AA797" s="12"/>
    </x:row>
    <x:row r="798">
      <x:c r="A798" s="12"/>
      <x:c r="B798" s="12"/>
      <x:c r="C798" s="12"/>
      <x:c r="D798" s="12"/>
      <x:c r="E798" s="12"/>
      <x:c r="F798" s="12"/>
      <x:c r="G798" s="17"/>
      <x:c r="H798" s="12"/>
      <x:c r="I798" s="12"/>
      <x:c r="J798" s="18"/>
      <x:c r="K798" s="12"/>
      <x:c r="L798" s="12"/>
      <x:c r="M798" s="12"/>
      <x:c r="N798" s="12"/>
      <x:c r="O798" s="12"/>
      <x:c r="P798" s="12"/>
      <x:c r="Q798" s="12"/>
      <x:c r="R798" s="12"/>
      <x:c r="S798" s="12"/>
      <x:c r="T798" s="12"/>
      <x:c r="U798" s="12"/>
      <x:c r="V798" s="12"/>
      <x:c r="W798" s="12"/>
      <x:c r="X798" s="12"/>
      <x:c r="Y798" s="12"/>
      <x:c r="Z798" s="12"/>
      <x:c r="AA798" s="12"/>
    </x:row>
    <x:row r="799">
      <x:c r="A799" s="12"/>
      <x:c r="B799" s="12"/>
      <x:c r="C799" s="12"/>
      <x:c r="D799" s="12"/>
      <x:c r="E799" s="12"/>
      <x:c r="F799" s="12"/>
      <x:c r="G799" s="17"/>
      <x:c r="H799" s="12"/>
      <x:c r="I799" s="12"/>
      <x:c r="J799" s="18"/>
      <x:c r="K799" s="12"/>
      <x:c r="L799" s="12"/>
      <x:c r="M799" s="12"/>
      <x:c r="N799" s="12"/>
      <x:c r="O799" s="12"/>
      <x:c r="P799" s="12"/>
      <x:c r="Q799" s="12"/>
      <x:c r="R799" s="12"/>
      <x:c r="S799" s="12"/>
      <x:c r="T799" s="12"/>
      <x:c r="U799" s="12"/>
      <x:c r="V799" s="12"/>
      <x:c r="W799" s="12"/>
      <x:c r="X799" s="12"/>
      <x:c r="Y799" s="12"/>
      <x:c r="Z799" s="12"/>
      <x:c r="AA799" s="12"/>
    </x:row>
    <x:row r="800">
      <x:c r="A800" s="12"/>
      <x:c r="B800" s="12"/>
      <x:c r="C800" s="12"/>
      <x:c r="D800" s="12"/>
      <x:c r="E800" s="12"/>
      <x:c r="F800" s="12"/>
      <x:c r="G800" s="17"/>
      <x:c r="H800" s="12"/>
      <x:c r="I800" s="12"/>
      <x:c r="J800" s="18"/>
      <x:c r="K800" s="12"/>
      <x:c r="L800" s="12"/>
      <x:c r="M800" s="12"/>
      <x:c r="N800" s="12"/>
      <x:c r="O800" s="12"/>
      <x:c r="P800" s="12"/>
      <x:c r="Q800" s="12"/>
      <x:c r="R800" s="12"/>
      <x:c r="S800" s="12"/>
      <x:c r="T800" s="12"/>
      <x:c r="U800" s="12"/>
      <x:c r="V800" s="12"/>
      <x:c r="W800" s="12"/>
      <x:c r="X800" s="12"/>
      <x:c r="Y800" s="12"/>
      <x:c r="Z800" s="12"/>
      <x:c r="AA800" s="12"/>
    </x:row>
    <x:row r="801">
      <x:c r="A801" s="12"/>
      <x:c r="B801" s="12"/>
      <x:c r="C801" s="12"/>
      <x:c r="D801" s="12"/>
      <x:c r="E801" s="12"/>
      <x:c r="F801" s="12"/>
      <x:c r="G801" s="17"/>
      <x:c r="H801" s="12"/>
      <x:c r="I801" s="12"/>
      <x:c r="J801" s="18"/>
      <x:c r="K801" s="12"/>
      <x:c r="L801" s="12"/>
      <x:c r="M801" s="12"/>
      <x:c r="N801" s="12"/>
      <x:c r="O801" s="12"/>
      <x:c r="P801" s="12"/>
      <x:c r="Q801" s="12"/>
      <x:c r="R801" s="12"/>
      <x:c r="S801" s="12"/>
      <x:c r="T801" s="12"/>
      <x:c r="U801" s="12"/>
      <x:c r="V801" s="12"/>
      <x:c r="W801" s="12"/>
      <x:c r="X801" s="12"/>
      <x:c r="Y801" s="12"/>
      <x:c r="Z801" s="12"/>
      <x:c r="AA801" s="12"/>
    </x:row>
    <x:row r="802">
      <x:c r="A802" s="12"/>
      <x:c r="B802" s="12"/>
      <x:c r="C802" s="12"/>
      <x:c r="D802" s="12"/>
      <x:c r="E802" s="12"/>
      <x:c r="F802" s="12"/>
      <x:c r="G802" s="17"/>
      <x:c r="H802" s="12"/>
      <x:c r="I802" s="12"/>
      <x:c r="J802" s="18"/>
      <x:c r="K802" s="12"/>
      <x:c r="L802" s="12"/>
      <x:c r="M802" s="12"/>
      <x:c r="N802" s="12"/>
      <x:c r="O802" s="12"/>
      <x:c r="P802" s="12"/>
      <x:c r="Q802" s="12"/>
      <x:c r="R802" s="12"/>
      <x:c r="S802" s="12"/>
      <x:c r="T802" s="12"/>
      <x:c r="U802" s="12"/>
      <x:c r="V802" s="12"/>
      <x:c r="W802" s="12"/>
      <x:c r="X802" s="12"/>
      <x:c r="Y802" s="12"/>
      <x:c r="Z802" s="12"/>
      <x:c r="AA802" s="12"/>
    </x:row>
    <x:row r="803">
      <x:c r="A803" s="12"/>
      <x:c r="B803" s="12"/>
      <x:c r="C803" s="12"/>
      <x:c r="D803" s="12"/>
      <x:c r="E803" s="12"/>
      <x:c r="F803" s="12"/>
      <x:c r="G803" s="17"/>
      <x:c r="H803" s="12"/>
      <x:c r="I803" s="12"/>
      <x:c r="J803" s="18"/>
      <x:c r="K803" s="12"/>
      <x:c r="L803" s="12"/>
      <x:c r="M803" s="12"/>
      <x:c r="N803" s="12"/>
      <x:c r="O803" s="12"/>
      <x:c r="P803" s="12"/>
      <x:c r="Q803" s="12"/>
      <x:c r="R803" s="12"/>
      <x:c r="S803" s="12"/>
      <x:c r="T803" s="12"/>
      <x:c r="U803" s="12"/>
      <x:c r="V803" s="12"/>
      <x:c r="W803" s="12"/>
      <x:c r="X803" s="12"/>
      <x:c r="Y803" s="12"/>
      <x:c r="Z803" s="12"/>
      <x:c r="AA803" s="12"/>
    </x:row>
    <x:row r="804">
      <x:c r="A804" s="12"/>
      <x:c r="B804" s="12"/>
      <x:c r="C804" s="12"/>
      <x:c r="D804" s="12"/>
      <x:c r="E804" s="12"/>
      <x:c r="F804" s="12"/>
      <x:c r="G804" s="17"/>
      <x:c r="H804" s="12"/>
      <x:c r="I804" s="12"/>
      <x:c r="J804" s="18"/>
      <x:c r="K804" s="12"/>
      <x:c r="L804" s="12"/>
      <x:c r="M804" s="12"/>
      <x:c r="N804" s="12"/>
      <x:c r="O804" s="12"/>
      <x:c r="P804" s="12"/>
      <x:c r="Q804" s="12"/>
      <x:c r="R804" s="12"/>
      <x:c r="S804" s="12"/>
      <x:c r="T804" s="12"/>
      <x:c r="U804" s="12"/>
      <x:c r="V804" s="12"/>
      <x:c r="W804" s="12"/>
      <x:c r="X804" s="12"/>
      <x:c r="Y804" s="12"/>
      <x:c r="Z804" s="12"/>
      <x:c r="AA804" s="12"/>
    </x:row>
    <x:row r="805">
      <x:c r="A805" s="12"/>
      <x:c r="B805" s="12"/>
      <x:c r="C805" s="12"/>
      <x:c r="D805" s="12"/>
      <x:c r="E805" s="12"/>
      <x:c r="F805" s="12"/>
      <x:c r="G805" s="17"/>
      <x:c r="H805" s="12"/>
      <x:c r="I805" s="12"/>
      <x:c r="J805" s="18"/>
      <x:c r="K805" s="12"/>
      <x:c r="L805" s="12"/>
      <x:c r="M805" s="12"/>
      <x:c r="N805" s="12"/>
      <x:c r="O805" s="12"/>
      <x:c r="P805" s="12"/>
      <x:c r="Q805" s="12"/>
      <x:c r="R805" s="12"/>
      <x:c r="S805" s="12"/>
      <x:c r="T805" s="12"/>
      <x:c r="U805" s="12"/>
      <x:c r="V805" s="12"/>
      <x:c r="W805" s="12"/>
      <x:c r="X805" s="12"/>
      <x:c r="Y805" s="12"/>
      <x:c r="Z805" s="12"/>
      <x:c r="AA805" s="12"/>
    </x:row>
    <x:row r="806">
      <x:c r="A806" s="12"/>
      <x:c r="B806" s="12"/>
      <x:c r="C806" s="12"/>
      <x:c r="D806" s="12"/>
      <x:c r="E806" s="12"/>
      <x:c r="F806" s="12"/>
      <x:c r="G806" s="17"/>
      <x:c r="H806" s="12"/>
      <x:c r="I806" s="12"/>
      <x:c r="J806" s="18"/>
      <x:c r="K806" s="12"/>
      <x:c r="L806" s="12"/>
      <x:c r="M806" s="12"/>
      <x:c r="N806" s="12"/>
      <x:c r="O806" s="12"/>
      <x:c r="P806" s="12"/>
      <x:c r="Q806" s="12"/>
      <x:c r="R806" s="12"/>
      <x:c r="S806" s="12"/>
      <x:c r="T806" s="12"/>
      <x:c r="U806" s="12"/>
      <x:c r="V806" s="12"/>
      <x:c r="W806" s="12"/>
      <x:c r="X806" s="12"/>
      <x:c r="Y806" s="12"/>
      <x:c r="Z806" s="12"/>
      <x:c r="AA806" s="12"/>
    </x:row>
    <x:row r="807">
      <x:c r="A807" s="12"/>
      <x:c r="B807" s="12"/>
      <x:c r="C807" s="12"/>
      <x:c r="D807" s="12"/>
      <x:c r="E807" s="12"/>
      <x:c r="F807" s="12"/>
      <x:c r="G807" s="17"/>
      <x:c r="H807" s="12"/>
      <x:c r="I807" s="12"/>
      <x:c r="J807" s="18"/>
      <x:c r="K807" s="12"/>
      <x:c r="L807" s="12"/>
      <x:c r="M807" s="12"/>
      <x:c r="N807" s="12"/>
      <x:c r="O807" s="12"/>
      <x:c r="P807" s="12"/>
      <x:c r="Q807" s="12"/>
      <x:c r="R807" s="12"/>
      <x:c r="S807" s="12"/>
      <x:c r="T807" s="12"/>
      <x:c r="U807" s="12"/>
      <x:c r="V807" s="12"/>
      <x:c r="W807" s="12"/>
      <x:c r="X807" s="12"/>
      <x:c r="Y807" s="12"/>
      <x:c r="Z807" s="12"/>
      <x:c r="AA807" s="12"/>
    </x:row>
    <x:row r="808">
      <x:c r="A808" s="12"/>
      <x:c r="B808" s="12"/>
      <x:c r="C808" s="12"/>
      <x:c r="D808" s="12"/>
      <x:c r="E808" s="12"/>
      <x:c r="F808" s="12"/>
      <x:c r="G808" s="17"/>
      <x:c r="H808" s="12"/>
      <x:c r="I808" s="12"/>
      <x:c r="J808" s="18"/>
      <x:c r="K808" s="12"/>
      <x:c r="L808" s="12"/>
      <x:c r="M808" s="12"/>
      <x:c r="N808" s="12"/>
      <x:c r="O808" s="12"/>
      <x:c r="P808" s="12"/>
      <x:c r="Q808" s="12"/>
      <x:c r="R808" s="12"/>
      <x:c r="S808" s="12"/>
      <x:c r="T808" s="12"/>
      <x:c r="U808" s="12"/>
      <x:c r="V808" s="12"/>
      <x:c r="W808" s="12"/>
      <x:c r="X808" s="12"/>
      <x:c r="Y808" s="12"/>
      <x:c r="Z808" s="12"/>
      <x:c r="AA808" s="12"/>
    </x:row>
    <x:row r="809">
      <x:c r="A809" s="12"/>
      <x:c r="B809" s="12"/>
      <x:c r="C809" s="12"/>
      <x:c r="D809" s="12"/>
      <x:c r="E809" s="12"/>
      <x:c r="F809" s="12"/>
      <x:c r="G809" s="17"/>
      <x:c r="H809" s="12"/>
      <x:c r="I809" s="12"/>
      <x:c r="J809" s="18"/>
      <x:c r="K809" s="12"/>
      <x:c r="L809" s="12"/>
      <x:c r="M809" s="12"/>
      <x:c r="N809" s="12"/>
      <x:c r="O809" s="12"/>
      <x:c r="P809" s="12"/>
      <x:c r="Q809" s="12"/>
      <x:c r="R809" s="12"/>
      <x:c r="S809" s="12"/>
      <x:c r="T809" s="12"/>
      <x:c r="U809" s="12"/>
      <x:c r="V809" s="12"/>
      <x:c r="W809" s="12"/>
      <x:c r="X809" s="12"/>
      <x:c r="Y809" s="12"/>
      <x:c r="Z809" s="12"/>
      <x:c r="AA809" s="12"/>
    </x:row>
    <x:row r="810">
      <x:c r="A810" s="12"/>
      <x:c r="B810" s="12"/>
      <x:c r="C810" s="12"/>
      <x:c r="D810" s="12"/>
      <x:c r="E810" s="12"/>
      <x:c r="F810" s="12"/>
      <x:c r="G810" s="17"/>
      <x:c r="H810" s="12"/>
      <x:c r="I810" s="12"/>
      <x:c r="J810" s="18"/>
      <x:c r="K810" s="12"/>
      <x:c r="L810" s="12"/>
      <x:c r="M810" s="12"/>
      <x:c r="N810" s="12"/>
      <x:c r="O810" s="12"/>
      <x:c r="P810" s="12"/>
      <x:c r="Q810" s="12"/>
      <x:c r="R810" s="12"/>
      <x:c r="S810" s="12"/>
      <x:c r="T810" s="12"/>
      <x:c r="U810" s="12"/>
      <x:c r="V810" s="12"/>
      <x:c r="W810" s="12"/>
      <x:c r="X810" s="12"/>
      <x:c r="Y810" s="12"/>
      <x:c r="Z810" s="12"/>
      <x:c r="AA810" s="12"/>
    </x:row>
    <x:row r="811">
      <x:c r="A811" s="12"/>
      <x:c r="B811" s="12"/>
      <x:c r="C811" s="12"/>
      <x:c r="D811" s="12"/>
      <x:c r="E811" s="12"/>
      <x:c r="F811" s="12"/>
      <x:c r="G811" s="17"/>
      <x:c r="H811" s="12"/>
      <x:c r="I811" s="12"/>
      <x:c r="J811" s="18"/>
      <x:c r="K811" s="12"/>
      <x:c r="L811" s="12"/>
      <x:c r="M811" s="12"/>
      <x:c r="N811" s="12"/>
      <x:c r="O811" s="12"/>
      <x:c r="P811" s="12"/>
      <x:c r="Q811" s="12"/>
      <x:c r="R811" s="12"/>
      <x:c r="S811" s="12"/>
      <x:c r="T811" s="12"/>
      <x:c r="U811" s="12"/>
      <x:c r="V811" s="12"/>
      <x:c r="W811" s="12"/>
      <x:c r="X811" s="12"/>
      <x:c r="Y811" s="12"/>
      <x:c r="Z811" s="12"/>
      <x:c r="AA811" s="12"/>
    </x:row>
    <x:row r="812">
      <x:c r="A812" s="12"/>
      <x:c r="B812" s="12"/>
      <x:c r="C812" s="12"/>
      <x:c r="D812" s="12"/>
      <x:c r="E812" s="12"/>
      <x:c r="F812" s="12"/>
      <x:c r="G812" s="17"/>
      <x:c r="H812" s="12"/>
      <x:c r="I812" s="12"/>
      <x:c r="J812" s="18"/>
      <x:c r="K812" s="12"/>
      <x:c r="L812" s="12"/>
      <x:c r="M812" s="12"/>
      <x:c r="N812" s="12"/>
      <x:c r="O812" s="12"/>
      <x:c r="P812" s="12"/>
      <x:c r="Q812" s="12"/>
      <x:c r="R812" s="12"/>
      <x:c r="S812" s="12"/>
      <x:c r="T812" s="12"/>
      <x:c r="U812" s="12"/>
      <x:c r="V812" s="12"/>
      <x:c r="W812" s="12"/>
      <x:c r="X812" s="12"/>
      <x:c r="Y812" s="12"/>
      <x:c r="Z812" s="12"/>
      <x:c r="AA812" s="12"/>
    </x:row>
    <x:row r="813">
      <x:c r="A813" s="12"/>
      <x:c r="B813" s="12"/>
      <x:c r="C813" s="12"/>
      <x:c r="D813" s="12"/>
      <x:c r="E813" s="12"/>
      <x:c r="F813" s="12"/>
      <x:c r="G813" s="17"/>
      <x:c r="H813" s="12"/>
      <x:c r="I813" s="12"/>
      <x:c r="J813" s="18"/>
      <x:c r="K813" s="12"/>
      <x:c r="L813" s="12"/>
      <x:c r="M813" s="12"/>
      <x:c r="N813" s="12"/>
      <x:c r="O813" s="12"/>
      <x:c r="P813" s="12"/>
      <x:c r="Q813" s="12"/>
      <x:c r="R813" s="12"/>
      <x:c r="S813" s="12"/>
      <x:c r="T813" s="12"/>
      <x:c r="U813" s="12"/>
      <x:c r="V813" s="12"/>
      <x:c r="W813" s="12"/>
      <x:c r="X813" s="12"/>
      <x:c r="Y813" s="12"/>
      <x:c r="Z813" s="12"/>
      <x:c r="AA813" s="12"/>
    </x:row>
    <x:row r="814">
      <x:c r="A814" s="12"/>
      <x:c r="B814" s="12"/>
      <x:c r="C814" s="12"/>
      <x:c r="D814" s="12"/>
      <x:c r="E814" s="12"/>
      <x:c r="F814" s="12"/>
      <x:c r="G814" s="17"/>
      <x:c r="H814" s="12"/>
      <x:c r="I814" s="12"/>
      <x:c r="J814" s="18"/>
      <x:c r="K814" s="12"/>
      <x:c r="L814" s="12"/>
      <x:c r="M814" s="12"/>
      <x:c r="N814" s="12"/>
      <x:c r="O814" s="12"/>
      <x:c r="P814" s="12"/>
      <x:c r="Q814" s="12"/>
      <x:c r="R814" s="12"/>
      <x:c r="S814" s="12"/>
      <x:c r="T814" s="12"/>
      <x:c r="U814" s="12"/>
      <x:c r="V814" s="12"/>
      <x:c r="W814" s="12"/>
      <x:c r="X814" s="12"/>
      <x:c r="Y814" s="12"/>
      <x:c r="Z814" s="12"/>
      <x:c r="AA814" s="12"/>
    </x:row>
    <x:row r="815">
      <x:c r="A815" s="12"/>
      <x:c r="B815" s="12"/>
      <x:c r="C815" s="12"/>
      <x:c r="D815" s="12"/>
      <x:c r="E815" s="12"/>
      <x:c r="F815" s="12"/>
      <x:c r="G815" s="17"/>
      <x:c r="H815" s="12"/>
      <x:c r="I815" s="12"/>
      <x:c r="J815" s="18"/>
      <x:c r="K815" s="12"/>
      <x:c r="L815" s="12"/>
      <x:c r="M815" s="12"/>
      <x:c r="N815" s="12"/>
      <x:c r="O815" s="12"/>
      <x:c r="P815" s="12"/>
      <x:c r="Q815" s="12"/>
      <x:c r="R815" s="12"/>
      <x:c r="S815" s="12"/>
      <x:c r="T815" s="12"/>
      <x:c r="U815" s="12"/>
      <x:c r="V815" s="12"/>
      <x:c r="W815" s="12"/>
      <x:c r="X815" s="12"/>
      <x:c r="Y815" s="12"/>
      <x:c r="Z815" s="12"/>
      <x:c r="AA815" s="12"/>
    </x:row>
    <x:row r="816">
      <x:c r="A816" s="12"/>
      <x:c r="B816" s="12"/>
      <x:c r="C816" s="12"/>
      <x:c r="D816" s="12"/>
      <x:c r="E816" s="12"/>
      <x:c r="F816" s="12"/>
      <x:c r="G816" s="17"/>
      <x:c r="H816" s="12"/>
      <x:c r="I816" s="12"/>
      <x:c r="J816" s="18"/>
      <x:c r="K816" s="12"/>
      <x:c r="L816" s="12"/>
      <x:c r="M816" s="12"/>
      <x:c r="N816" s="12"/>
      <x:c r="O816" s="12"/>
      <x:c r="P816" s="12"/>
      <x:c r="Q816" s="12"/>
      <x:c r="R816" s="12"/>
      <x:c r="S816" s="12"/>
      <x:c r="T816" s="12"/>
      <x:c r="U816" s="12"/>
      <x:c r="V816" s="12"/>
      <x:c r="W816" s="12"/>
      <x:c r="X816" s="12"/>
      <x:c r="Y816" s="12"/>
      <x:c r="Z816" s="12"/>
      <x:c r="AA816" s="12"/>
    </x:row>
    <x:row r="817">
      <x:c r="A817" s="12"/>
      <x:c r="B817" s="12"/>
      <x:c r="C817" s="12"/>
      <x:c r="D817" s="12"/>
      <x:c r="E817" s="12"/>
      <x:c r="F817" s="12"/>
      <x:c r="G817" s="17"/>
      <x:c r="H817" s="12"/>
      <x:c r="I817" s="12"/>
      <x:c r="J817" s="18"/>
      <x:c r="K817" s="12"/>
      <x:c r="L817" s="12"/>
      <x:c r="M817" s="12"/>
      <x:c r="N817" s="12"/>
      <x:c r="O817" s="12"/>
      <x:c r="P817" s="12"/>
      <x:c r="Q817" s="12"/>
      <x:c r="R817" s="12"/>
      <x:c r="S817" s="12"/>
      <x:c r="T817" s="12"/>
      <x:c r="U817" s="12"/>
      <x:c r="V817" s="12"/>
      <x:c r="W817" s="12"/>
      <x:c r="X817" s="12"/>
      <x:c r="Y817" s="12"/>
      <x:c r="Z817" s="12"/>
      <x:c r="AA817" s="12"/>
    </x:row>
    <x:row r="818">
      <x:c r="A818" s="12"/>
      <x:c r="B818" s="12"/>
      <x:c r="C818" s="12"/>
      <x:c r="D818" s="12"/>
      <x:c r="E818" s="12"/>
      <x:c r="F818" s="12"/>
      <x:c r="G818" s="17"/>
      <x:c r="H818" s="12"/>
      <x:c r="I818" s="12"/>
      <x:c r="J818" s="18"/>
      <x:c r="K818" s="12"/>
      <x:c r="L818" s="12"/>
      <x:c r="M818" s="12"/>
      <x:c r="N818" s="12"/>
      <x:c r="O818" s="12"/>
      <x:c r="P818" s="12"/>
      <x:c r="Q818" s="12"/>
      <x:c r="R818" s="12"/>
      <x:c r="S818" s="12"/>
      <x:c r="T818" s="12"/>
      <x:c r="U818" s="12"/>
      <x:c r="V818" s="12"/>
      <x:c r="W818" s="12"/>
      <x:c r="X818" s="12"/>
      <x:c r="Y818" s="12"/>
      <x:c r="Z818" s="12"/>
      <x:c r="AA818" s="12"/>
    </x:row>
    <x:row r="819">
      <x:c r="A819" s="12"/>
      <x:c r="B819" s="12"/>
      <x:c r="C819" s="12"/>
      <x:c r="D819" s="12"/>
      <x:c r="E819" s="12"/>
      <x:c r="F819" s="12"/>
      <x:c r="G819" s="17"/>
      <x:c r="H819" s="12"/>
      <x:c r="I819" s="12"/>
      <x:c r="J819" s="18"/>
      <x:c r="K819" s="12"/>
      <x:c r="L819" s="12"/>
      <x:c r="M819" s="12"/>
      <x:c r="N819" s="12"/>
      <x:c r="O819" s="12"/>
      <x:c r="P819" s="12"/>
      <x:c r="Q819" s="12"/>
      <x:c r="R819" s="12"/>
      <x:c r="S819" s="12"/>
      <x:c r="T819" s="12"/>
      <x:c r="U819" s="12"/>
      <x:c r="V819" s="12"/>
      <x:c r="W819" s="12"/>
      <x:c r="X819" s="12"/>
      <x:c r="Y819" s="12"/>
      <x:c r="Z819" s="12"/>
      <x:c r="AA819" s="12"/>
    </x:row>
    <x:row r="820">
      <x:c r="A820" s="12"/>
      <x:c r="B820" s="12"/>
      <x:c r="C820" s="12"/>
      <x:c r="D820" s="12"/>
      <x:c r="E820" s="12"/>
      <x:c r="F820" s="12"/>
      <x:c r="G820" s="17"/>
      <x:c r="H820" s="12"/>
      <x:c r="I820" s="12"/>
      <x:c r="J820" s="18"/>
      <x:c r="K820" s="12"/>
      <x:c r="L820" s="12"/>
      <x:c r="M820" s="12"/>
      <x:c r="N820" s="12"/>
      <x:c r="O820" s="12"/>
      <x:c r="P820" s="12"/>
      <x:c r="Q820" s="12"/>
      <x:c r="R820" s="12"/>
      <x:c r="S820" s="12"/>
      <x:c r="T820" s="12"/>
      <x:c r="U820" s="12"/>
      <x:c r="V820" s="12"/>
      <x:c r="W820" s="12"/>
      <x:c r="X820" s="12"/>
      <x:c r="Y820" s="12"/>
      <x:c r="Z820" s="12"/>
      <x:c r="AA820" s="12"/>
    </x:row>
    <x:row r="821">
      <x:c r="A821" s="12"/>
      <x:c r="B821" s="12"/>
      <x:c r="C821" s="12"/>
      <x:c r="D821" s="12"/>
      <x:c r="E821" s="12"/>
      <x:c r="F821" s="12"/>
      <x:c r="G821" s="17"/>
      <x:c r="H821" s="12"/>
      <x:c r="I821" s="12"/>
      <x:c r="J821" s="18"/>
      <x:c r="K821" s="12"/>
      <x:c r="L821" s="12"/>
      <x:c r="M821" s="12"/>
      <x:c r="N821" s="12"/>
      <x:c r="O821" s="12"/>
      <x:c r="P821" s="12"/>
      <x:c r="Q821" s="12"/>
      <x:c r="R821" s="12"/>
      <x:c r="S821" s="12"/>
      <x:c r="T821" s="12"/>
      <x:c r="U821" s="12"/>
      <x:c r="V821" s="12"/>
      <x:c r="W821" s="12"/>
      <x:c r="X821" s="12"/>
      <x:c r="Y821" s="12"/>
      <x:c r="Z821" s="12"/>
      <x:c r="AA821" s="12"/>
    </x:row>
    <x:row r="822">
      <x:c r="A822" s="12"/>
      <x:c r="B822" s="12"/>
      <x:c r="C822" s="12"/>
      <x:c r="D822" s="12"/>
      <x:c r="E822" s="12"/>
      <x:c r="F822" s="12"/>
      <x:c r="G822" s="17"/>
      <x:c r="H822" s="12"/>
      <x:c r="I822" s="12"/>
      <x:c r="J822" s="18"/>
      <x:c r="K822" s="12"/>
      <x:c r="L822" s="12"/>
      <x:c r="M822" s="12"/>
      <x:c r="N822" s="12"/>
      <x:c r="O822" s="12"/>
      <x:c r="P822" s="12"/>
      <x:c r="Q822" s="12"/>
      <x:c r="R822" s="12"/>
      <x:c r="S822" s="12"/>
      <x:c r="T822" s="12"/>
      <x:c r="U822" s="12"/>
      <x:c r="V822" s="12"/>
      <x:c r="W822" s="12"/>
      <x:c r="X822" s="12"/>
      <x:c r="Y822" s="12"/>
      <x:c r="Z822" s="12"/>
      <x:c r="AA822" s="12"/>
    </x:row>
    <x:row r="823">
      <x:c r="A823" s="12"/>
      <x:c r="B823" s="12"/>
      <x:c r="C823" s="12"/>
      <x:c r="D823" s="12"/>
      <x:c r="E823" s="12"/>
      <x:c r="F823" s="12"/>
      <x:c r="G823" s="17"/>
      <x:c r="H823" s="12"/>
      <x:c r="I823" s="12"/>
      <x:c r="J823" s="18"/>
      <x:c r="K823" s="12"/>
      <x:c r="L823" s="12"/>
      <x:c r="M823" s="12"/>
      <x:c r="N823" s="12"/>
      <x:c r="O823" s="12"/>
      <x:c r="P823" s="12"/>
      <x:c r="Q823" s="12"/>
      <x:c r="R823" s="12"/>
      <x:c r="S823" s="12"/>
      <x:c r="T823" s="12"/>
      <x:c r="U823" s="12"/>
      <x:c r="V823" s="12"/>
      <x:c r="W823" s="12"/>
      <x:c r="X823" s="12"/>
      <x:c r="Y823" s="12"/>
      <x:c r="Z823" s="12"/>
      <x:c r="AA823" s="12"/>
    </x:row>
    <x:row r="824">
      <x:c r="A824" s="12"/>
      <x:c r="B824" s="12"/>
      <x:c r="C824" s="12"/>
      <x:c r="D824" s="12"/>
      <x:c r="E824" s="12"/>
      <x:c r="F824" s="12"/>
      <x:c r="G824" s="17"/>
      <x:c r="H824" s="12"/>
      <x:c r="I824" s="12"/>
      <x:c r="J824" s="18"/>
      <x:c r="K824" s="12"/>
      <x:c r="L824" s="12"/>
      <x:c r="M824" s="12"/>
      <x:c r="N824" s="12"/>
      <x:c r="O824" s="12"/>
      <x:c r="P824" s="12"/>
      <x:c r="Q824" s="12"/>
      <x:c r="R824" s="12"/>
      <x:c r="S824" s="12"/>
      <x:c r="T824" s="12"/>
      <x:c r="U824" s="12"/>
      <x:c r="V824" s="12"/>
      <x:c r="W824" s="12"/>
      <x:c r="X824" s="12"/>
      <x:c r="Y824" s="12"/>
      <x:c r="Z824" s="12"/>
      <x:c r="AA824" s="12"/>
    </x:row>
    <x:row r="825">
      <x:c r="A825" s="12"/>
      <x:c r="B825" s="12"/>
      <x:c r="C825" s="12"/>
      <x:c r="D825" s="12"/>
      <x:c r="E825" s="12"/>
      <x:c r="F825" s="12"/>
      <x:c r="G825" s="17"/>
      <x:c r="H825" s="12"/>
      <x:c r="I825" s="12"/>
      <x:c r="J825" s="18"/>
      <x:c r="K825" s="12"/>
      <x:c r="L825" s="12"/>
      <x:c r="M825" s="12"/>
      <x:c r="N825" s="12"/>
      <x:c r="O825" s="12"/>
      <x:c r="P825" s="12"/>
      <x:c r="Q825" s="12"/>
      <x:c r="R825" s="12"/>
      <x:c r="S825" s="12"/>
      <x:c r="T825" s="12"/>
      <x:c r="U825" s="12"/>
      <x:c r="V825" s="12"/>
      <x:c r="W825" s="12"/>
      <x:c r="X825" s="12"/>
      <x:c r="Y825" s="12"/>
      <x:c r="Z825" s="12"/>
      <x:c r="AA825" s="12"/>
    </x:row>
    <x:row r="826">
      <x:c r="A826" s="12"/>
      <x:c r="B826" s="12"/>
      <x:c r="C826" s="12"/>
      <x:c r="D826" s="12"/>
      <x:c r="E826" s="12"/>
      <x:c r="F826" s="12"/>
      <x:c r="G826" s="17"/>
      <x:c r="H826" s="12"/>
      <x:c r="I826" s="12"/>
      <x:c r="J826" s="18"/>
      <x:c r="K826" s="12"/>
      <x:c r="L826" s="12"/>
      <x:c r="M826" s="12"/>
      <x:c r="N826" s="12"/>
      <x:c r="O826" s="12"/>
      <x:c r="P826" s="12"/>
      <x:c r="Q826" s="12"/>
      <x:c r="R826" s="12"/>
      <x:c r="S826" s="12"/>
      <x:c r="T826" s="12"/>
      <x:c r="U826" s="12"/>
      <x:c r="V826" s="12"/>
      <x:c r="W826" s="12"/>
      <x:c r="X826" s="12"/>
      <x:c r="Y826" s="12"/>
      <x:c r="Z826" s="12"/>
      <x:c r="AA826" s="12"/>
    </x:row>
    <x:row r="827">
      <x:c r="A827" s="12"/>
      <x:c r="B827" s="12"/>
      <x:c r="C827" s="12"/>
      <x:c r="D827" s="12"/>
      <x:c r="E827" s="12"/>
      <x:c r="F827" s="12"/>
      <x:c r="G827" s="17"/>
      <x:c r="H827" s="12"/>
      <x:c r="I827" s="12"/>
      <x:c r="J827" s="18"/>
      <x:c r="K827" s="12"/>
      <x:c r="L827" s="12"/>
      <x:c r="M827" s="12"/>
      <x:c r="N827" s="12"/>
      <x:c r="O827" s="12"/>
      <x:c r="P827" s="12"/>
      <x:c r="Q827" s="12"/>
      <x:c r="R827" s="12"/>
      <x:c r="S827" s="12"/>
      <x:c r="T827" s="12"/>
      <x:c r="U827" s="12"/>
      <x:c r="V827" s="12"/>
      <x:c r="W827" s="12"/>
      <x:c r="X827" s="12"/>
      <x:c r="Y827" s="12"/>
      <x:c r="Z827" s="12"/>
      <x:c r="AA827" s="12"/>
    </x:row>
    <x:row r="828">
      <x:c r="A828" s="12"/>
      <x:c r="B828" s="12"/>
      <x:c r="C828" s="12"/>
      <x:c r="D828" s="12"/>
      <x:c r="E828" s="12"/>
      <x:c r="F828" s="12"/>
      <x:c r="G828" s="17"/>
      <x:c r="H828" s="12"/>
      <x:c r="I828" s="12"/>
      <x:c r="J828" s="18"/>
      <x:c r="K828" s="12"/>
      <x:c r="L828" s="12"/>
      <x:c r="M828" s="12"/>
      <x:c r="N828" s="12"/>
      <x:c r="O828" s="12"/>
      <x:c r="P828" s="12"/>
      <x:c r="Q828" s="12"/>
      <x:c r="R828" s="12"/>
      <x:c r="S828" s="12"/>
      <x:c r="T828" s="12"/>
      <x:c r="U828" s="12"/>
      <x:c r="V828" s="12"/>
      <x:c r="W828" s="12"/>
      <x:c r="X828" s="12"/>
      <x:c r="Y828" s="12"/>
      <x:c r="Z828" s="12"/>
      <x:c r="AA828" s="12"/>
    </x:row>
    <x:row r="829">
      <x:c r="A829" s="12"/>
      <x:c r="B829" s="12"/>
      <x:c r="C829" s="12"/>
      <x:c r="D829" s="12"/>
      <x:c r="E829" s="12"/>
      <x:c r="F829" s="12"/>
      <x:c r="G829" s="17"/>
      <x:c r="H829" s="12"/>
      <x:c r="I829" s="12"/>
      <x:c r="J829" s="18"/>
      <x:c r="K829" s="12"/>
      <x:c r="L829" s="12"/>
      <x:c r="M829" s="12"/>
      <x:c r="N829" s="12"/>
      <x:c r="O829" s="12"/>
      <x:c r="P829" s="12"/>
      <x:c r="Q829" s="12"/>
      <x:c r="R829" s="12"/>
      <x:c r="S829" s="12"/>
      <x:c r="T829" s="12"/>
      <x:c r="U829" s="12"/>
      <x:c r="V829" s="12"/>
      <x:c r="W829" s="12"/>
      <x:c r="X829" s="12"/>
      <x:c r="Y829" s="12"/>
      <x:c r="Z829" s="12"/>
      <x:c r="AA829" s="12"/>
    </x:row>
    <x:row r="830">
      <x:c r="A830" s="12"/>
      <x:c r="B830" s="12"/>
      <x:c r="C830" s="12"/>
      <x:c r="D830" s="12"/>
      <x:c r="E830" s="12"/>
      <x:c r="F830" s="12"/>
      <x:c r="G830" s="17"/>
      <x:c r="H830" s="12"/>
      <x:c r="I830" s="12"/>
      <x:c r="J830" s="18"/>
      <x:c r="K830" s="12"/>
      <x:c r="L830" s="12"/>
      <x:c r="M830" s="12"/>
      <x:c r="N830" s="12"/>
      <x:c r="O830" s="12"/>
      <x:c r="P830" s="12"/>
      <x:c r="Q830" s="12"/>
      <x:c r="R830" s="12"/>
      <x:c r="S830" s="12"/>
      <x:c r="T830" s="12"/>
      <x:c r="U830" s="12"/>
      <x:c r="V830" s="12"/>
      <x:c r="W830" s="12"/>
      <x:c r="X830" s="12"/>
      <x:c r="Y830" s="12"/>
      <x:c r="Z830" s="12"/>
      <x:c r="AA830" s="12"/>
    </x:row>
    <x:row r="831">
      <x:c r="A831" s="12"/>
      <x:c r="B831" s="12"/>
      <x:c r="C831" s="12"/>
      <x:c r="D831" s="12"/>
      <x:c r="E831" s="12"/>
      <x:c r="F831" s="12"/>
      <x:c r="G831" s="17"/>
      <x:c r="H831" s="12"/>
      <x:c r="I831" s="12"/>
      <x:c r="J831" s="18"/>
      <x:c r="K831" s="12"/>
      <x:c r="L831" s="12"/>
      <x:c r="M831" s="12"/>
      <x:c r="N831" s="12"/>
      <x:c r="O831" s="12"/>
      <x:c r="P831" s="12"/>
      <x:c r="Q831" s="12"/>
      <x:c r="R831" s="12"/>
      <x:c r="S831" s="12"/>
      <x:c r="T831" s="12"/>
      <x:c r="U831" s="12"/>
      <x:c r="V831" s="12"/>
      <x:c r="W831" s="12"/>
      <x:c r="X831" s="12"/>
      <x:c r="Y831" s="12"/>
      <x:c r="Z831" s="12"/>
      <x:c r="AA831" s="12"/>
    </x:row>
    <x:row r="832">
      <x:c r="A832" s="12"/>
      <x:c r="B832" s="12"/>
      <x:c r="C832" s="12"/>
      <x:c r="D832" s="12"/>
      <x:c r="E832" s="12"/>
      <x:c r="F832" s="12"/>
      <x:c r="G832" s="17"/>
      <x:c r="H832" s="12"/>
      <x:c r="I832" s="12"/>
      <x:c r="J832" s="18"/>
      <x:c r="K832" s="12"/>
      <x:c r="L832" s="12"/>
      <x:c r="M832" s="12"/>
      <x:c r="N832" s="12"/>
      <x:c r="O832" s="12"/>
      <x:c r="P832" s="12"/>
      <x:c r="Q832" s="12"/>
      <x:c r="R832" s="12"/>
      <x:c r="S832" s="12"/>
      <x:c r="T832" s="12"/>
      <x:c r="U832" s="12"/>
      <x:c r="V832" s="12"/>
      <x:c r="W832" s="12"/>
      <x:c r="X832" s="12"/>
      <x:c r="Y832" s="12"/>
      <x:c r="Z832" s="12"/>
      <x:c r="AA832" s="12"/>
    </x:row>
    <x:row r="833">
      <x:c r="A833" s="12"/>
      <x:c r="B833" s="12"/>
      <x:c r="C833" s="12"/>
      <x:c r="D833" s="12"/>
      <x:c r="E833" s="12"/>
      <x:c r="F833" s="12"/>
      <x:c r="G833" s="17"/>
      <x:c r="H833" s="12"/>
      <x:c r="I833" s="12"/>
      <x:c r="J833" s="18"/>
      <x:c r="K833" s="12"/>
      <x:c r="L833" s="12"/>
      <x:c r="M833" s="12"/>
      <x:c r="N833" s="12"/>
      <x:c r="O833" s="12"/>
      <x:c r="P833" s="12"/>
      <x:c r="Q833" s="12"/>
      <x:c r="R833" s="12"/>
      <x:c r="S833" s="12"/>
      <x:c r="T833" s="12"/>
      <x:c r="U833" s="12"/>
      <x:c r="V833" s="12"/>
      <x:c r="W833" s="12"/>
      <x:c r="X833" s="12"/>
      <x:c r="Y833" s="12"/>
      <x:c r="Z833" s="12"/>
      <x:c r="AA833" s="12"/>
    </x:row>
    <x:row r="834">
      <x:c r="A834" s="12"/>
      <x:c r="B834" s="12"/>
      <x:c r="C834" s="12"/>
      <x:c r="D834" s="12"/>
      <x:c r="E834" s="12"/>
      <x:c r="F834" s="12"/>
      <x:c r="G834" s="17"/>
      <x:c r="H834" s="12"/>
      <x:c r="I834" s="12"/>
      <x:c r="J834" s="18"/>
      <x:c r="K834" s="12"/>
      <x:c r="L834" s="12"/>
      <x:c r="M834" s="12"/>
      <x:c r="N834" s="12"/>
      <x:c r="O834" s="12"/>
      <x:c r="P834" s="12"/>
      <x:c r="Q834" s="12"/>
      <x:c r="R834" s="12"/>
      <x:c r="S834" s="12"/>
      <x:c r="T834" s="12"/>
      <x:c r="U834" s="12"/>
      <x:c r="V834" s="12"/>
      <x:c r="W834" s="12"/>
      <x:c r="X834" s="12"/>
      <x:c r="Y834" s="12"/>
      <x:c r="Z834" s="12"/>
      <x:c r="AA834" s="12"/>
    </x:row>
    <x:row r="835">
      <x:c r="A835" s="12"/>
      <x:c r="B835" s="12"/>
      <x:c r="C835" s="12"/>
      <x:c r="D835" s="12"/>
      <x:c r="E835" s="12"/>
      <x:c r="F835" s="12"/>
      <x:c r="G835" s="17"/>
      <x:c r="H835" s="12"/>
      <x:c r="I835" s="12"/>
      <x:c r="J835" s="18"/>
      <x:c r="K835" s="12"/>
      <x:c r="L835" s="12"/>
      <x:c r="M835" s="12"/>
      <x:c r="N835" s="12"/>
      <x:c r="O835" s="12"/>
      <x:c r="P835" s="12"/>
      <x:c r="Q835" s="12"/>
      <x:c r="R835" s="12"/>
      <x:c r="S835" s="12"/>
      <x:c r="T835" s="12"/>
      <x:c r="U835" s="12"/>
      <x:c r="V835" s="12"/>
      <x:c r="W835" s="12"/>
      <x:c r="X835" s="12"/>
      <x:c r="Y835" s="12"/>
      <x:c r="Z835" s="12"/>
      <x:c r="AA835" s="12"/>
    </x:row>
    <x:row r="836">
      <x:c r="A836" s="12"/>
      <x:c r="B836" s="12"/>
      <x:c r="C836" s="12"/>
      <x:c r="D836" s="12"/>
      <x:c r="E836" s="12"/>
      <x:c r="F836" s="12"/>
      <x:c r="G836" s="17"/>
      <x:c r="H836" s="12"/>
      <x:c r="I836" s="12"/>
      <x:c r="J836" s="18"/>
      <x:c r="K836" s="12"/>
      <x:c r="L836" s="12"/>
      <x:c r="M836" s="12"/>
      <x:c r="N836" s="12"/>
      <x:c r="O836" s="12"/>
      <x:c r="P836" s="12"/>
      <x:c r="Q836" s="12"/>
      <x:c r="R836" s="12"/>
      <x:c r="S836" s="12"/>
      <x:c r="T836" s="12"/>
      <x:c r="U836" s="12"/>
      <x:c r="V836" s="12"/>
      <x:c r="W836" s="12"/>
      <x:c r="X836" s="12"/>
      <x:c r="Y836" s="12"/>
      <x:c r="Z836" s="12"/>
      <x:c r="AA836" s="12"/>
    </x:row>
    <x:row r="837">
      <x:c r="A837" s="12"/>
      <x:c r="B837" s="12"/>
      <x:c r="C837" s="12"/>
      <x:c r="D837" s="12"/>
      <x:c r="E837" s="12"/>
      <x:c r="F837" s="12"/>
      <x:c r="G837" s="17"/>
      <x:c r="H837" s="12"/>
      <x:c r="I837" s="12"/>
      <x:c r="J837" s="18"/>
      <x:c r="K837" s="12"/>
      <x:c r="L837" s="12"/>
      <x:c r="M837" s="12"/>
      <x:c r="N837" s="12"/>
      <x:c r="O837" s="12"/>
      <x:c r="P837" s="12"/>
      <x:c r="Q837" s="12"/>
      <x:c r="R837" s="12"/>
      <x:c r="S837" s="12"/>
      <x:c r="T837" s="12"/>
      <x:c r="U837" s="12"/>
      <x:c r="V837" s="12"/>
      <x:c r="W837" s="12"/>
      <x:c r="X837" s="12"/>
      <x:c r="Y837" s="12"/>
      <x:c r="Z837" s="12"/>
      <x:c r="AA837" s="12"/>
    </x:row>
    <x:row r="838">
      <x:c r="A838" s="12"/>
      <x:c r="B838" s="12"/>
      <x:c r="C838" s="12"/>
      <x:c r="D838" s="12"/>
      <x:c r="E838" s="12"/>
      <x:c r="F838" s="12"/>
      <x:c r="G838" s="17"/>
      <x:c r="H838" s="12"/>
      <x:c r="I838" s="12"/>
      <x:c r="J838" s="18"/>
      <x:c r="K838" s="12"/>
      <x:c r="L838" s="12"/>
      <x:c r="M838" s="12"/>
      <x:c r="N838" s="12"/>
      <x:c r="O838" s="12"/>
      <x:c r="P838" s="12"/>
      <x:c r="Q838" s="12"/>
      <x:c r="R838" s="12"/>
      <x:c r="S838" s="12"/>
      <x:c r="T838" s="12"/>
      <x:c r="U838" s="12"/>
      <x:c r="V838" s="12"/>
      <x:c r="W838" s="12"/>
      <x:c r="X838" s="12"/>
      <x:c r="Y838" s="12"/>
      <x:c r="Z838" s="12"/>
      <x:c r="AA838" s="12"/>
    </x:row>
    <x:row r="839">
      <x:c r="A839" s="12"/>
      <x:c r="B839" s="12"/>
      <x:c r="C839" s="12"/>
      <x:c r="D839" s="12"/>
      <x:c r="E839" s="12"/>
      <x:c r="F839" s="12"/>
      <x:c r="G839" s="17"/>
      <x:c r="H839" s="12"/>
      <x:c r="I839" s="12"/>
      <x:c r="J839" s="18"/>
      <x:c r="K839" s="12"/>
      <x:c r="L839" s="12"/>
      <x:c r="M839" s="12"/>
      <x:c r="N839" s="12"/>
      <x:c r="O839" s="12"/>
      <x:c r="P839" s="12"/>
      <x:c r="Q839" s="12"/>
      <x:c r="R839" s="12"/>
      <x:c r="S839" s="12"/>
      <x:c r="T839" s="12"/>
      <x:c r="U839" s="12"/>
      <x:c r="V839" s="12"/>
      <x:c r="W839" s="12"/>
      <x:c r="X839" s="12"/>
      <x:c r="Y839" s="12"/>
      <x:c r="Z839" s="12"/>
      <x:c r="AA839" s="12"/>
    </x:row>
    <x:row r="840">
      <x:c r="A840" s="12"/>
      <x:c r="B840" s="12"/>
      <x:c r="C840" s="12"/>
      <x:c r="D840" s="12"/>
      <x:c r="E840" s="12"/>
      <x:c r="F840" s="12"/>
      <x:c r="G840" s="17"/>
      <x:c r="H840" s="12"/>
      <x:c r="I840" s="12"/>
      <x:c r="J840" s="18"/>
      <x:c r="K840" s="12"/>
      <x:c r="L840" s="12"/>
      <x:c r="M840" s="12"/>
      <x:c r="N840" s="12"/>
      <x:c r="O840" s="12"/>
      <x:c r="P840" s="12"/>
      <x:c r="Q840" s="12"/>
      <x:c r="R840" s="12"/>
      <x:c r="S840" s="12"/>
      <x:c r="T840" s="12"/>
      <x:c r="U840" s="12"/>
      <x:c r="V840" s="12"/>
      <x:c r="W840" s="12"/>
      <x:c r="X840" s="12"/>
      <x:c r="Y840" s="12"/>
      <x:c r="Z840" s="12"/>
      <x:c r="AA840" s="12"/>
    </x:row>
    <x:row r="841">
      <x:c r="A841" s="12"/>
      <x:c r="B841" s="12"/>
      <x:c r="C841" s="12"/>
      <x:c r="D841" s="12"/>
      <x:c r="E841" s="12"/>
      <x:c r="F841" s="12"/>
      <x:c r="G841" s="17"/>
      <x:c r="H841" s="12"/>
      <x:c r="I841" s="12"/>
      <x:c r="J841" s="18"/>
      <x:c r="K841" s="12"/>
      <x:c r="L841" s="12"/>
      <x:c r="M841" s="12"/>
      <x:c r="N841" s="12"/>
      <x:c r="O841" s="12"/>
      <x:c r="P841" s="12"/>
      <x:c r="Q841" s="12"/>
      <x:c r="R841" s="12"/>
      <x:c r="S841" s="12"/>
      <x:c r="T841" s="12"/>
      <x:c r="U841" s="12"/>
      <x:c r="V841" s="12"/>
      <x:c r="W841" s="12"/>
      <x:c r="X841" s="12"/>
      <x:c r="Y841" s="12"/>
      <x:c r="Z841" s="12"/>
      <x:c r="AA841" s="12"/>
    </x:row>
    <x:row r="842">
      <x:c r="A842" s="12"/>
      <x:c r="B842" s="12"/>
      <x:c r="C842" s="12"/>
      <x:c r="D842" s="12"/>
      <x:c r="E842" s="12"/>
      <x:c r="F842" s="12"/>
      <x:c r="G842" s="17"/>
      <x:c r="H842" s="12"/>
      <x:c r="I842" s="12"/>
      <x:c r="J842" s="18"/>
      <x:c r="K842" s="12"/>
      <x:c r="L842" s="12"/>
      <x:c r="M842" s="12"/>
      <x:c r="N842" s="12"/>
      <x:c r="O842" s="12"/>
      <x:c r="P842" s="12"/>
      <x:c r="Q842" s="12"/>
      <x:c r="R842" s="12"/>
      <x:c r="S842" s="12"/>
      <x:c r="T842" s="12"/>
      <x:c r="U842" s="12"/>
      <x:c r="V842" s="12"/>
      <x:c r="W842" s="12"/>
      <x:c r="X842" s="12"/>
      <x:c r="Y842" s="12"/>
      <x:c r="Z842" s="12"/>
      <x:c r="AA842" s="12"/>
    </x:row>
    <x:row r="843">
      <x:c r="A843" s="12"/>
      <x:c r="B843" s="12"/>
      <x:c r="C843" s="12"/>
      <x:c r="D843" s="12"/>
      <x:c r="E843" s="12"/>
      <x:c r="F843" s="12"/>
      <x:c r="G843" s="17"/>
      <x:c r="H843" s="12"/>
      <x:c r="I843" s="12"/>
      <x:c r="J843" s="18"/>
      <x:c r="K843" s="12"/>
      <x:c r="L843" s="12"/>
      <x:c r="M843" s="12"/>
      <x:c r="N843" s="12"/>
      <x:c r="O843" s="12"/>
      <x:c r="P843" s="12"/>
      <x:c r="Q843" s="12"/>
      <x:c r="R843" s="12"/>
      <x:c r="S843" s="12"/>
      <x:c r="T843" s="12"/>
      <x:c r="U843" s="12"/>
      <x:c r="V843" s="12"/>
      <x:c r="W843" s="12"/>
      <x:c r="X843" s="12"/>
      <x:c r="Y843" s="12"/>
      <x:c r="Z843" s="12"/>
      <x:c r="AA843" s="12"/>
    </x:row>
    <x:row r="844">
      <x:c r="A844" s="12"/>
      <x:c r="B844" s="12"/>
      <x:c r="C844" s="12"/>
      <x:c r="D844" s="12"/>
      <x:c r="E844" s="12"/>
      <x:c r="F844" s="12"/>
      <x:c r="G844" s="17"/>
      <x:c r="H844" s="12"/>
      <x:c r="I844" s="12"/>
      <x:c r="J844" s="18"/>
      <x:c r="K844" s="12"/>
      <x:c r="L844" s="12"/>
      <x:c r="M844" s="12"/>
      <x:c r="N844" s="12"/>
      <x:c r="O844" s="12"/>
      <x:c r="P844" s="12"/>
      <x:c r="Q844" s="12"/>
      <x:c r="R844" s="12"/>
      <x:c r="S844" s="12"/>
      <x:c r="T844" s="12"/>
      <x:c r="U844" s="12"/>
      <x:c r="V844" s="12"/>
      <x:c r="W844" s="12"/>
      <x:c r="X844" s="12"/>
      <x:c r="Y844" s="12"/>
      <x:c r="Z844" s="12"/>
      <x:c r="AA844" s="12"/>
    </x:row>
    <x:row r="845">
      <x:c r="A845" s="12"/>
      <x:c r="B845" s="12"/>
      <x:c r="C845" s="12"/>
      <x:c r="D845" s="12"/>
      <x:c r="E845" s="12"/>
      <x:c r="F845" s="12"/>
      <x:c r="G845" s="17"/>
      <x:c r="H845" s="12"/>
      <x:c r="I845" s="12"/>
      <x:c r="J845" s="18"/>
      <x:c r="K845" s="12"/>
      <x:c r="L845" s="12"/>
      <x:c r="M845" s="12"/>
      <x:c r="N845" s="12"/>
      <x:c r="O845" s="12"/>
      <x:c r="P845" s="12"/>
      <x:c r="Q845" s="12"/>
      <x:c r="R845" s="12"/>
      <x:c r="S845" s="12"/>
      <x:c r="T845" s="12"/>
      <x:c r="U845" s="12"/>
      <x:c r="V845" s="12"/>
      <x:c r="W845" s="12"/>
      <x:c r="X845" s="12"/>
      <x:c r="Y845" s="12"/>
      <x:c r="Z845" s="12"/>
      <x:c r="AA845" s="12"/>
    </x:row>
    <x:row r="846">
      <x:c r="A846" s="12"/>
      <x:c r="B846" s="12"/>
      <x:c r="C846" s="12"/>
      <x:c r="D846" s="12"/>
      <x:c r="E846" s="12"/>
      <x:c r="F846" s="12"/>
      <x:c r="G846" s="17"/>
      <x:c r="H846" s="12"/>
      <x:c r="I846" s="12"/>
      <x:c r="J846" s="18"/>
      <x:c r="K846" s="12"/>
      <x:c r="L846" s="12"/>
      <x:c r="M846" s="12"/>
      <x:c r="N846" s="12"/>
      <x:c r="O846" s="12"/>
      <x:c r="P846" s="12"/>
      <x:c r="Q846" s="12"/>
      <x:c r="R846" s="12"/>
      <x:c r="S846" s="12"/>
      <x:c r="T846" s="12"/>
      <x:c r="U846" s="12"/>
      <x:c r="V846" s="12"/>
      <x:c r="W846" s="12"/>
      <x:c r="X846" s="12"/>
      <x:c r="Y846" s="12"/>
      <x:c r="Z846" s="12"/>
      <x:c r="AA846" s="12"/>
    </x:row>
    <x:row r="847">
      <x:c r="A847" s="12"/>
      <x:c r="B847" s="12"/>
      <x:c r="C847" s="12"/>
      <x:c r="D847" s="12"/>
      <x:c r="E847" s="12"/>
      <x:c r="F847" s="12"/>
      <x:c r="G847" s="17"/>
      <x:c r="H847" s="12"/>
      <x:c r="I847" s="12"/>
      <x:c r="J847" s="18"/>
      <x:c r="K847" s="12"/>
      <x:c r="L847" s="12"/>
      <x:c r="M847" s="12"/>
      <x:c r="N847" s="12"/>
      <x:c r="O847" s="12"/>
      <x:c r="P847" s="12"/>
      <x:c r="Q847" s="12"/>
      <x:c r="R847" s="12"/>
      <x:c r="S847" s="12"/>
      <x:c r="T847" s="12"/>
      <x:c r="U847" s="12"/>
      <x:c r="V847" s="12"/>
      <x:c r="W847" s="12"/>
      <x:c r="X847" s="12"/>
      <x:c r="Y847" s="12"/>
      <x:c r="Z847" s="12"/>
      <x:c r="AA847" s="12"/>
    </x:row>
    <x:row r="848">
      <x:c r="A848" s="12"/>
      <x:c r="B848" s="12"/>
      <x:c r="C848" s="12"/>
      <x:c r="D848" s="12"/>
      <x:c r="E848" s="12"/>
      <x:c r="F848" s="12"/>
      <x:c r="G848" s="17"/>
      <x:c r="H848" s="12"/>
      <x:c r="I848" s="12"/>
      <x:c r="J848" s="18"/>
      <x:c r="K848" s="12"/>
      <x:c r="L848" s="12"/>
      <x:c r="M848" s="12"/>
      <x:c r="N848" s="12"/>
      <x:c r="O848" s="12"/>
      <x:c r="P848" s="12"/>
      <x:c r="Q848" s="12"/>
      <x:c r="R848" s="12"/>
      <x:c r="S848" s="12"/>
      <x:c r="T848" s="12"/>
      <x:c r="U848" s="12"/>
      <x:c r="V848" s="12"/>
      <x:c r="W848" s="12"/>
      <x:c r="X848" s="12"/>
      <x:c r="Y848" s="12"/>
      <x:c r="Z848" s="12"/>
      <x:c r="AA848" s="12"/>
    </x:row>
    <x:row r="849">
      <x:c r="A849" s="12"/>
      <x:c r="B849" s="12"/>
      <x:c r="C849" s="12"/>
      <x:c r="D849" s="12"/>
      <x:c r="E849" s="12"/>
      <x:c r="F849" s="12"/>
      <x:c r="G849" s="17"/>
      <x:c r="H849" s="12"/>
      <x:c r="I849" s="12"/>
      <x:c r="J849" s="18"/>
      <x:c r="K849" s="12"/>
      <x:c r="L849" s="12"/>
      <x:c r="M849" s="12"/>
      <x:c r="N849" s="12"/>
      <x:c r="O849" s="12"/>
      <x:c r="P849" s="12"/>
      <x:c r="Q849" s="12"/>
      <x:c r="R849" s="12"/>
      <x:c r="S849" s="12"/>
      <x:c r="T849" s="12"/>
      <x:c r="U849" s="12"/>
      <x:c r="V849" s="12"/>
      <x:c r="W849" s="12"/>
      <x:c r="X849" s="12"/>
      <x:c r="Y849" s="12"/>
      <x:c r="Z849" s="12"/>
      <x:c r="AA849" s="12"/>
    </x:row>
    <x:row r="850">
      <x:c r="A850" s="12"/>
      <x:c r="B850" s="12"/>
      <x:c r="C850" s="12"/>
      <x:c r="D850" s="12"/>
      <x:c r="E850" s="12"/>
      <x:c r="F850" s="12"/>
      <x:c r="G850" s="17"/>
      <x:c r="H850" s="12"/>
      <x:c r="I850" s="12"/>
      <x:c r="J850" s="18"/>
      <x:c r="K850" s="12"/>
      <x:c r="L850" s="12"/>
      <x:c r="M850" s="12"/>
      <x:c r="N850" s="12"/>
      <x:c r="O850" s="12"/>
      <x:c r="P850" s="12"/>
      <x:c r="Q850" s="12"/>
      <x:c r="R850" s="12"/>
      <x:c r="S850" s="12"/>
      <x:c r="T850" s="12"/>
      <x:c r="U850" s="12"/>
      <x:c r="V850" s="12"/>
      <x:c r="W850" s="12"/>
      <x:c r="X850" s="12"/>
      <x:c r="Y850" s="12"/>
      <x:c r="Z850" s="12"/>
      <x:c r="AA850" s="12"/>
    </x:row>
    <x:row r="851">
      <x:c r="A851" s="12"/>
      <x:c r="B851" s="12"/>
      <x:c r="C851" s="12"/>
      <x:c r="D851" s="12"/>
      <x:c r="E851" s="12"/>
      <x:c r="F851" s="12"/>
      <x:c r="G851" s="17"/>
      <x:c r="H851" s="12"/>
      <x:c r="I851" s="12"/>
      <x:c r="J851" s="18"/>
      <x:c r="K851" s="12"/>
      <x:c r="L851" s="12"/>
      <x:c r="M851" s="12"/>
      <x:c r="N851" s="12"/>
      <x:c r="O851" s="12"/>
      <x:c r="P851" s="12"/>
      <x:c r="Q851" s="12"/>
      <x:c r="R851" s="12"/>
      <x:c r="S851" s="12"/>
      <x:c r="T851" s="12"/>
      <x:c r="U851" s="12"/>
      <x:c r="V851" s="12"/>
      <x:c r="W851" s="12"/>
      <x:c r="X851" s="12"/>
      <x:c r="Y851" s="12"/>
      <x:c r="Z851" s="12"/>
      <x:c r="AA851" s="12"/>
    </x:row>
    <x:row r="852">
      <x:c r="A852" s="12"/>
      <x:c r="B852" s="12"/>
      <x:c r="C852" s="12"/>
      <x:c r="D852" s="12"/>
      <x:c r="E852" s="12"/>
      <x:c r="F852" s="12"/>
      <x:c r="G852" s="17"/>
      <x:c r="H852" s="12"/>
      <x:c r="I852" s="12"/>
      <x:c r="J852" s="18"/>
      <x:c r="K852" s="12"/>
      <x:c r="L852" s="12"/>
      <x:c r="M852" s="12"/>
      <x:c r="N852" s="12"/>
      <x:c r="O852" s="12"/>
      <x:c r="P852" s="12"/>
      <x:c r="Q852" s="12"/>
      <x:c r="R852" s="12"/>
      <x:c r="S852" s="12"/>
      <x:c r="T852" s="12"/>
      <x:c r="U852" s="12"/>
      <x:c r="V852" s="12"/>
      <x:c r="W852" s="12"/>
      <x:c r="X852" s="12"/>
      <x:c r="Y852" s="12"/>
      <x:c r="Z852" s="12"/>
      <x:c r="AA852" s="12"/>
    </x:row>
    <x:row r="853">
      <x:c r="A853" s="12"/>
      <x:c r="B853" s="12"/>
      <x:c r="C853" s="12"/>
      <x:c r="D853" s="12"/>
      <x:c r="E853" s="12"/>
      <x:c r="F853" s="12"/>
      <x:c r="G853" s="17"/>
      <x:c r="H853" s="12"/>
      <x:c r="I853" s="12"/>
      <x:c r="J853" s="18"/>
      <x:c r="K853" s="12"/>
      <x:c r="L853" s="12"/>
      <x:c r="M853" s="12"/>
      <x:c r="N853" s="12"/>
      <x:c r="O853" s="12"/>
      <x:c r="P853" s="12"/>
      <x:c r="Q853" s="12"/>
      <x:c r="R853" s="12"/>
      <x:c r="S853" s="12"/>
      <x:c r="T853" s="12"/>
      <x:c r="U853" s="12"/>
      <x:c r="V853" s="12"/>
      <x:c r="W853" s="12"/>
      <x:c r="X853" s="12"/>
      <x:c r="Y853" s="12"/>
      <x:c r="Z853" s="12"/>
      <x:c r="AA853" s="12"/>
    </x:row>
    <x:row r="854">
      <x:c r="A854" s="12"/>
      <x:c r="B854" s="12"/>
      <x:c r="C854" s="12"/>
      <x:c r="D854" s="12"/>
      <x:c r="E854" s="12"/>
      <x:c r="F854" s="12"/>
      <x:c r="G854" s="17"/>
      <x:c r="H854" s="12"/>
      <x:c r="I854" s="12"/>
      <x:c r="J854" s="18"/>
      <x:c r="K854" s="12"/>
      <x:c r="L854" s="12"/>
      <x:c r="M854" s="12"/>
      <x:c r="N854" s="12"/>
      <x:c r="O854" s="12"/>
      <x:c r="P854" s="12"/>
      <x:c r="Q854" s="12"/>
      <x:c r="R854" s="12"/>
      <x:c r="S854" s="12"/>
      <x:c r="T854" s="12"/>
      <x:c r="U854" s="12"/>
      <x:c r="V854" s="12"/>
      <x:c r="W854" s="12"/>
      <x:c r="X854" s="12"/>
      <x:c r="Y854" s="12"/>
      <x:c r="Z854" s="12"/>
      <x:c r="AA854" s="12"/>
    </x:row>
    <x:row r="855">
      <x:c r="A855" s="12"/>
      <x:c r="B855" s="12"/>
      <x:c r="C855" s="12"/>
      <x:c r="D855" s="12"/>
      <x:c r="E855" s="12"/>
      <x:c r="F855" s="12"/>
      <x:c r="G855" s="17"/>
      <x:c r="H855" s="12"/>
      <x:c r="I855" s="12"/>
      <x:c r="J855" s="18"/>
      <x:c r="K855" s="12"/>
      <x:c r="L855" s="12"/>
      <x:c r="M855" s="12"/>
      <x:c r="N855" s="12"/>
      <x:c r="O855" s="12"/>
      <x:c r="P855" s="12"/>
      <x:c r="Q855" s="12"/>
      <x:c r="R855" s="12"/>
      <x:c r="S855" s="12"/>
      <x:c r="T855" s="12"/>
      <x:c r="U855" s="12"/>
      <x:c r="V855" s="12"/>
      <x:c r="W855" s="12"/>
      <x:c r="X855" s="12"/>
      <x:c r="Y855" s="12"/>
      <x:c r="Z855" s="12"/>
      <x:c r="AA855" s="12"/>
    </x:row>
    <x:row r="856">
      <x:c r="A856" s="12"/>
      <x:c r="B856" s="12"/>
      <x:c r="C856" s="12"/>
      <x:c r="D856" s="12"/>
      <x:c r="E856" s="12"/>
      <x:c r="F856" s="12"/>
      <x:c r="G856" s="17"/>
      <x:c r="H856" s="12"/>
      <x:c r="I856" s="12"/>
      <x:c r="J856" s="18"/>
      <x:c r="K856" s="12"/>
      <x:c r="L856" s="12"/>
      <x:c r="M856" s="12"/>
      <x:c r="N856" s="12"/>
      <x:c r="O856" s="12"/>
      <x:c r="P856" s="12"/>
      <x:c r="Q856" s="12"/>
      <x:c r="R856" s="12"/>
      <x:c r="S856" s="12"/>
      <x:c r="T856" s="12"/>
      <x:c r="U856" s="12"/>
      <x:c r="V856" s="12"/>
      <x:c r="W856" s="12"/>
      <x:c r="X856" s="12"/>
      <x:c r="Y856" s="12"/>
      <x:c r="Z856" s="12"/>
      <x:c r="AA856" s="12"/>
    </x:row>
    <x:row r="857">
      <x:c r="A857" s="12"/>
      <x:c r="B857" s="12"/>
      <x:c r="C857" s="12"/>
      <x:c r="D857" s="12"/>
      <x:c r="E857" s="12"/>
      <x:c r="F857" s="12"/>
      <x:c r="G857" s="17"/>
      <x:c r="H857" s="12"/>
      <x:c r="I857" s="12"/>
      <x:c r="J857" s="18"/>
      <x:c r="K857" s="12"/>
      <x:c r="L857" s="12"/>
      <x:c r="M857" s="12"/>
      <x:c r="N857" s="12"/>
      <x:c r="O857" s="12"/>
      <x:c r="P857" s="12"/>
      <x:c r="Q857" s="12"/>
      <x:c r="R857" s="12"/>
      <x:c r="S857" s="12"/>
      <x:c r="T857" s="12"/>
      <x:c r="U857" s="12"/>
      <x:c r="V857" s="12"/>
      <x:c r="W857" s="12"/>
      <x:c r="X857" s="12"/>
      <x:c r="Y857" s="12"/>
      <x:c r="Z857" s="12"/>
      <x:c r="AA857" s="12"/>
    </x:row>
    <x:row r="858">
      <x:c r="A858" s="12"/>
      <x:c r="B858" s="12"/>
      <x:c r="C858" s="12"/>
      <x:c r="D858" s="12"/>
      <x:c r="E858" s="12"/>
      <x:c r="F858" s="12"/>
      <x:c r="G858" s="17"/>
      <x:c r="H858" s="12"/>
      <x:c r="I858" s="12"/>
      <x:c r="J858" s="18"/>
      <x:c r="K858" s="12"/>
      <x:c r="L858" s="12"/>
      <x:c r="M858" s="12"/>
      <x:c r="N858" s="12"/>
      <x:c r="O858" s="12"/>
      <x:c r="P858" s="12"/>
      <x:c r="Q858" s="12"/>
      <x:c r="R858" s="12"/>
      <x:c r="S858" s="12"/>
      <x:c r="T858" s="12"/>
      <x:c r="U858" s="12"/>
      <x:c r="V858" s="12"/>
      <x:c r="W858" s="12"/>
      <x:c r="X858" s="12"/>
      <x:c r="Y858" s="12"/>
      <x:c r="Z858" s="12"/>
      <x:c r="AA858" s="12"/>
    </x:row>
    <x:row r="859">
      <x:c r="A859" s="12"/>
      <x:c r="B859" s="12"/>
      <x:c r="C859" s="12"/>
      <x:c r="D859" s="12"/>
      <x:c r="E859" s="12"/>
      <x:c r="F859" s="12"/>
      <x:c r="G859" s="17"/>
      <x:c r="H859" s="12"/>
      <x:c r="I859" s="12"/>
      <x:c r="J859" s="18"/>
      <x:c r="K859" s="12"/>
      <x:c r="L859" s="12"/>
      <x:c r="M859" s="12"/>
      <x:c r="N859" s="12"/>
      <x:c r="O859" s="12"/>
      <x:c r="P859" s="12"/>
      <x:c r="Q859" s="12"/>
      <x:c r="R859" s="12"/>
      <x:c r="S859" s="12"/>
      <x:c r="T859" s="12"/>
      <x:c r="U859" s="12"/>
      <x:c r="V859" s="12"/>
      <x:c r="W859" s="12"/>
      <x:c r="X859" s="12"/>
      <x:c r="Y859" s="12"/>
      <x:c r="Z859" s="12"/>
      <x:c r="AA859" s="12"/>
    </x:row>
    <x:row r="860">
      <x:c r="A860" s="12"/>
      <x:c r="B860" s="12"/>
      <x:c r="C860" s="12"/>
      <x:c r="D860" s="12"/>
      <x:c r="E860" s="12"/>
      <x:c r="F860" s="12"/>
      <x:c r="G860" s="17"/>
      <x:c r="H860" s="12"/>
      <x:c r="I860" s="12"/>
      <x:c r="J860" s="18"/>
      <x:c r="K860" s="12"/>
      <x:c r="L860" s="12"/>
      <x:c r="M860" s="12"/>
      <x:c r="N860" s="12"/>
      <x:c r="O860" s="12"/>
      <x:c r="P860" s="12"/>
      <x:c r="Q860" s="12"/>
      <x:c r="R860" s="12"/>
      <x:c r="S860" s="12"/>
      <x:c r="T860" s="12"/>
      <x:c r="U860" s="12"/>
      <x:c r="V860" s="12"/>
      <x:c r="W860" s="12"/>
      <x:c r="X860" s="12"/>
      <x:c r="Y860" s="12"/>
      <x:c r="Z860" s="12"/>
      <x:c r="AA860" s="12"/>
    </x:row>
    <x:row r="861">
      <x:c r="A861" s="12"/>
      <x:c r="B861" s="12"/>
      <x:c r="C861" s="12"/>
      <x:c r="D861" s="12"/>
      <x:c r="E861" s="12"/>
      <x:c r="F861" s="12"/>
      <x:c r="G861" s="17"/>
      <x:c r="H861" s="12"/>
      <x:c r="I861" s="12"/>
      <x:c r="J861" s="18"/>
      <x:c r="K861" s="12"/>
      <x:c r="L861" s="12"/>
      <x:c r="M861" s="12"/>
      <x:c r="N861" s="12"/>
      <x:c r="O861" s="12"/>
      <x:c r="P861" s="12"/>
      <x:c r="Q861" s="12"/>
      <x:c r="R861" s="12"/>
      <x:c r="S861" s="12"/>
      <x:c r="T861" s="12"/>
      <x:c r="U861" s="12"/>
      <x:c r="V861" s="12"/>
      <x:c r="W861" s="12"/>
      <x:c r="X861" s="12"/>
      <x:c r="Y861" s="12"/>
      <x:c r="Z861" s="12"/>
      <x:c r="AA861" s="12"/>
    </x:row>
    <x:row r="862">
      <x:c r="A862" s="12"/>
      <x:c r="B862" s="12"/>
      <x:c r="C862" s="12"/>
      <x:c r="D862" s="12"/>
      <x:c r="E862" s="12"/>
      <x:c r="F862" s="12"/>
      <x:c r="G862" s="17"/>
      <x:c r="H862" s="12"/>
      <x:c r="I862" s="12"/>
      <x:c r="J862" s="18"/>
      <x:c r="K862" s="12"/>
      <x:c r="L862" s="12"/>
      <x:c r="M862" s="12"/>
      <x:c r="N862" s="12"/>
      <x:c r="O862" s="12"/>
      <x:c r="P862" s="12"/>
      <x:c r="Q862" s="12"/>
      <x:c r="R862" s="12"/>
      <x:c r="S862" s="12"/>
      <x:c r="T862" s="12"/>
      <x:c r="U862" s="12"/>
      <x:c r="V862" s="12"/>
      <x:c r="W862" s="12"/>
      <x:c r="X862" s="12"/>
      <x:c r="Y862" s="12"/>
      <x:c r="Z862" s="12"/>
      <x:c r="AA862" s="12"/>
    </x:row>
    <x:row r="863">
      <x:c r="A863" s="12"/>
      <x:c r="B863" s="12"/>
      <x:c r="C863" s="12"/>
      <x:c r="D863" s="12"/>
      <x:c r="E863" s="12"/>
      <x:c r="F863" s="12"/>
      <x:c r="G863" s="17"/>
      <x:c r="H863" s="12"/>
      <x:c r="I863" s="12"/>
      <x:c r="J863" s="18"/>
      <x:c r="K863" s="12"/>
      <x:c r="L863" s="12"/>
      <x:c r="M863" s="12"/>
      <x:c r="N863" s="12"/>
      <x:c r="O863" s="12"/>
      <x:c r="P863" s="12"/>
      <x:c r="Q863" s="12"/>
      <x:c r="R863" s="12"/>
      <x:c r="S863" s="12"/>
      <x:c r="T863" s="12"/>
      <x:c r="U863" s="12"/>
      <x:c r="V863" s="12"/>
      <x:c r="W863" s="12"/>
      <x:c r="X863" s="12"/>
      <x:c r="Y863" s="12"/>
      <x:c r="Z863" s="12"/>
      <x:c r="AA863" s="12"/>
    </x:row>
    <x:row r="864">
      <x:c r="A864" s="12"/>
      <x:c r="B864" s="12"/>
      <x:c r="C864" s="12"/>
      <x:c r="D864" s="12"/>
      <x:c r="E864" s="12"/>
      <x:c r="F864" s="12"/>
      <x:c r="G864" s="17"/>
      <x:c r="H864" s="12"/>
      <x:c r="I864" s="12"/>
      <x:c r="J864" s="18"/>
      <x:c r="K864" s="12"/>
      <x:c r="L864" s="12"/>
      <x:c r="M864" s="12"/>
      <x:c r="N864" s="12"/>
      <x:c r="O864" s="12"/>
      <x:c r="P864" s="12"/>
      <x:c r="Q864" s="12"/>
      <x:c r="R864" s="12"/>
      <x:c r="S864" s="12"/>
      <x:c r="T864" s="12"/>
      <x:c r="U864" s="12"/>
      <x:c r="V864" s="12"/>
      <x:c r="W864" s="12"/>
      <x:c r="X864" s="12"/>
      <x:c r="Y864" s="12"/>
      <x:c r="Z864" s="12"/>
      <x:c r="AA864" s="12"/>
    </x:row>
    <x:row r="865">
      <x:c r="A865" s="12"/>
      <x:c r="B865" s="12"/>
      <x:c r="C865" s="12"/>
      <x:c r="D865" s="12"/>
      <x:c r="E865" s="12"/>
      <x:c r="F865" s="12"/>
      <x:c r="G865" s="17"/>
      <x:c r="H865" s="12"/>
      <x:c r="I865" s="12"/>
      <x:c r="J865" s="18"/>
      <x:c r="K865" s="12"/>
      <x:c r="L865" s="12"/>
      <x:c r="M865" s="12"/>
      <x:c r="N865" s="12"/>
      <x:c r="O865" s="12"/>
      <x:c r="P865" s="12"/>
      <x:c r="Q865" s="12"/>
      <x:c r="R865" s="12"/>
      <x:c r="S865" s="12"/>
      <x:c r="T865" s="12"/>
      <x:c r="U865" s="12"/>
      <x:c r="V865" s="12"/>
      <x:c r="W865" s="12"/>
      <x:c r="X865" s="12"/>
      <x:c r="Y865" s="12"/>
      <x:c r="Z865" s="12"/>
      <x:c r="AA865" s="12"/>
    </x:row>
    <x:row r="866">
      <x:c r="A866" s="12"/>
      <x:c r="B866" s="12"/>
      <x:c r="C866" s="12"/>
      <x:c r="D866" s="12"/>
      <x:c r="E866" s="12"/>
      <x:c r="F866" s="12"/>
      <x:c r="G866" s="17"/>
      <x:c r="H866" s="12"/>
      <x:c r="I866" s="12"/>
      <x:c r="J866" s="18"/>
      <x:c r="K866" s="12"/>
      <x:c r="L866" s="12"/>
      <x:c r="M866" s="12"/>
      <x:c r="N866" s="12"/>
      <x:c r="O866" s="12"/>
      <x:c r="P866" s="12"/>
      <x:c r="Q866" s="12"/>
      <x:c r="R866" s="12"/>
      <x:c r="S866" s="12"/>
      <x:c r="T866" s="12"/>
      <x:c r="U866" s="12"/>
      <x:c r="V866" s="12"/>
      <x:c r="W866" s="12"/>
      <x:c r="X866" s="12"/>
      <x:c r="Y866" s="12"/>
      <x:c r="Z866" s="12"/>
      <x:c r="AA866" s="12"/>
    </x:row>
    <x:row r="867">
      <x:c r="A867" s="12"/>
      <x:c r="B867" s="12"/>
      <x:c r="C867" s="12"/>
      <x:c r="D867" s="12"/>
      <x:c r="E867" s="12"/>
      <x:c r="F867" s="12"/>
      <x:c r="G867" s="17"/>
      <x:c r="H867" s="12"/>
      <x:c r="I867" s="12"/>
      <x:c r="J867" s="18"/>
      <x:c r="K867" s="12"/>
      <x:c r="L867" s="12"/>
      <x:c r="M867" s="12"/>
      <x:c r="N867" s="12"/>
      <x:c r="O867" s="12"/>
      <x:c r="P867" s="12"/>
      <x:c r="Q867" s="12"/>
      <x:c r="R867" s="12"/>
      <x:c r="S867" s="12"/>
      <x:c r="T867" s="12"/>
      <x:c r="U867" s="12"/>
      <x:c r="V867" s="12"/>
      <x:c r="W867" s="12"/>
      <x:c r="X867" s="12"/>
      <x:c r="Y867" s="12"/>
      <x:c r="Z867" s="12"/>
      <x:c r="AA867" s="12"/>
    </x:row>
    <x:row r="868">
      <x:c r="A868" s="12"/>
      <x:c r="B868" s="12"/>
      <x:c r="C868" s="12"/>
      <x:c r="D868" s="12"/>
      <x:c r="E868" s="12"/>
      <x:c r="F868" s="12"/>
      <x:c r="G868" s="17"/>
      <x:c r="H868" s="12"/>
      <x:c r="I868" s="12"/>
      <x:c r="J868" s="18"/>
      <x:c r="K868" s="12"/>
      <x:c r="L868" s="12"/>
      <x:c r="M868" s="12"/>
      <x:c r="N868" s="12"/>
      <x:c r="O868" s="12"/>
      <x:c r="P868" s="12"/>
      <x:c r="Q868" s="12"/>
      <x:c r="R868" s="12"/>
      <x:c r="S868" s="12"/>
      <x:c r="T868" s="12"/>
      <x:c r="U868" s="12"/>
      <x:c r="V868" s="12"/>
      <x:c r="W868" s="12"/>
      <x:c r="X868" s="12"/>
      <x:c r="Y868" s="12"/>
      <x:c r="Z868" s="12"/>
      <x:c r="AA868" s="12"/>
    </x:row>
    <x:row r="869">
      <x:c r="A869" s="12"/>
      <x:c r="B869" s="12"/>
      <x:c r="C869" s="12"/>
      <x:c r="D869" s="12"/>
      <x:c r="E869" s="12"/>
      <x:c r="F869" s="12"/>
      <x:c r="G869" s="17"/>
      <x:c r="H869" s="12"/>
      <x:c r="I869" s="12"/>
      <x:c r="J869" s="18"/>
      <x:c r="K869" s="12"/>
      <x:c r="L869" s="12"/>
      <x:c r="M869" s="12"/>
      <x:c r="N869" s="12"/>
      <x:c r="O869" s="12"/>
      <x:c r="P869" s="12"/>
      <x:c r="Q869" s="12"/>
      <x:c r="R869" s="12"/>
      <x:c r="S869" s="12"/>
      <x:c r="T869" s="12"/>
      <x:c r="U869" s="12"/>
      <x:c r="V869" s="12"/>
      <x:c r="W869" s="12"/>
      <x:c r="X869" s="12"/>
      <x:c r="Y869" s="12"/>
      <x:c r="Z869" s="12"/>
      <x:c r="AA869" s="12"/>
    </x:row>
    <x:row r="870">
      <x:c r="A870" s="12"/>
      <x:c r="B870" s="12"/>
      <x:c r="C870" s="12"/>
      <x:c r="D870" s="12"/>
      <x:c r="E870" s="12"/>
      <x:c r="F870" s="12"/>
      <x:c r="G870" s="17"/>
      <x:c r="H870" s="12"/>
      <x:c r="I870" s="12"/>
      <x:c r="J870" s="18"/>
      <x:c r="K870" s="12"/>
      <x:c r="L870" s="12"/>
      <x:c r="M870" s="12"/>
      <x:c r="N870" s="12"/>
      <x:c r="O870" s="12"/>
      <x:c r="P870" s="12"/>
      <x:c r="Q870" s="12"/>
      <x:c r="R870" s="12"/>
      <x:c r="S870" s="12"/>
      <x:c r="T870" s="12"/>
      <x:c r="U870" s="12"/>
      <x:c r="V870" s="12"/>
      <x:c r="W870" s="12"/>
      <x:c r="X870" s="12"/>
      <x:c r="Y870" s="12"/>
      <x:c r="Z870" s="12"/>
      <x:c r="AA870" s="12"/>
    </x:row>
    <x:row r="871">
      <x:c r="A871" s="12"/>
      <x:c r="B871" s="12"/>
      <x:c r="C871" s="12"/>
      <x:c r="D871" s="12"/>
      <x:c r="E871" s="12"/>
      <x:c r="F871" s="12"/>
      <x:c r="G871" s="17"/>
      <x:c r="H871" s="12"/>
      <x:c r="I871" s="12"/>
      <x:c r="J871" s="18"/>
      <x:c r="K871" s="12"/>
      <x:c r="L871" s="12"/>
      <x:c r="M871" s="12"/>
      <x:c r="N871" s="12"/>
      <x:c r="O871" s="12"/>
      <x:c r="P871" s="12"/>
      <x:c r="Q871" s="12"/>
      <x:c r="R871" s="12"/>
      <x:c r="S871" s="12"/>
      <x:c r="T871" s="12"/>
      <x:c r="U871" s="12"/>
      <x:c r="V871" s="12"/>
      <x:c r="W871" s="12"/>
      <x:c r="X871" s="12"/>
      <x:c r="Y871" s="12"/>
      <x:c r="Z871" s="12"/>
      <x:c r="AA871" s="12"/>
    </x:row>
    <x:row r="872">
      <x:c r="A872" s="12"/>
      <x:c r="B872" s="12"/>
      <x:c r="C872" s="12"/>
      <x:c r="D872" s="12"/>
      <x:c r="E872" s="12"/>
      <x:c r="F872" s="12"/>
      <x:c r="G872" s="17"/>
      <x:c r="H872" s="12"/>
      <x:c r="I872" s="12"/>
      <x:c r="J872" s="18"/>
      <x:c r="K872" s="12"/>
      <x:c r="L872" s="12"/>
      <x:c r="M872" s="12"/>
      <x:c r="N872" s="12"/>
      <x:c r="O872" s="12"/>
      <x:c r="P872" s="12"/>
      <x:c r="Q872" s="12"/>
      <x:c r="R872" s="12"/>
      <x:c r="S872" s="12"/>
      <x:c r="T872" s="12"/>
      <x:c r="U872" s="12"/>
      <x:c r="V872" s="12"/>
      <x:c r="W872" s="12"/>
      <x:c r="X872" s="12"/>
      <x:c r="Y872" s="12"/>
      <x:c r="Z872" s="12"/>
      <x:c r="AA872" s="12"/>
    </x:row>
    <x:row r="873">
      <x:c r="A873" s="12"/>
      <x:c r="B873" s="12"/>
      <x:c r="C873" s="12"/>
      <x:c r="D873" s="12"/>
      <x:c r="E873" s="12"/>
      <x:c r="F873" s="12"/>
      <x:c r="G873" s="17"/>
      <x:c r="H873" s="12"/>
      <x:c r="I873" s="12"/>
      <x:c r="J873" s="18"/>
      <x:c r="K873" s="12"/>
      <x:c r="L873" s="12"/>
      <x:c r="M873" s="12"/>
      <x:c r="N873" s="12"/>
      <x:c r="O873" s="12"/>
      <x:c r="P873" s="12"/>
      <x:c r="Q873" s="12"/>
      <x:c r="R873" s="12"/>
      <x:c r="S873" s="12"/>
      <x:c r="T873" s="12"/>
      <x:c r="U873" s="12"/>
      <x:c r="V873" s="12"/>
      <x:c r="W873" s="12"/>
      <x:c r="X873" s="12"/>
      <x:c r="Y873" s="12"/>
      <x:c r="Z873" s="12"/>
      <x:c r="AA873" s="12"/>
    </x:row>
    <x:row r="874">
      <x:c r="A874" s="12"/>
      <x:c r="B874" s="12"/>
      <x:c r="C874" s="12"/>
      <x:c r="D874" s="12"/>
      <x:c r="E874" s="12"/>
      <x:c r="F874" s="12"/>
      <x:c r="G874" s="17"/>
      <x:c r="H874" s="12"/>
      <x:c r="I874" s="12"/>
      <x:c r="J874" s="18"/>
      <x:c r="K874" s="12"/>
      <x:c r="L874" s="12"/>
      <x:c r="M874" s="12"/>
      <x:c r="N874" s="12"/>
      <x:c r="O874" s="12"/>
      <x:c r="P874" s="12"/>
      <x:c r="Q874" s="12"/>
      <x:c r="R874" s="12"/>
      <x:c r="S874" s="12"/>
      <x:c r="T874" s="12"/>
      <x:c r="U874" s="12"/>
      <x:c r="V874" s="12"/>
      <x:c r="W874" s="12"/>
      <x:c r="X874" s="12"/>
      <x:c r="Y874" s="12"/>
      <x:c r="Z874" s="12"/>
      <x:c r="AA874" s="12"/>
    </x:row>
    <x:row r="875">
      <x:c r="A875" s="12"/>
      <x:c r="B875" s="12"/>
      <x:c r="C875" s="12"/>
      <x:c r="D875" s="12"/>
      <x:c r="E875" s="12"/>
      <x:c r="F875" s="12"/>
      <x:c r="G875" s="17"/>
      <x:c r="H875" s="12"/>
      <x:c r="I875" s="12"/>
      <x:c r="J875" s="18"/>
      <x:c r="K875" s="12"/>
      <x:c r="L875" s="12"/>
      <x:c r="M875" s="12"/>
      <x:c r="N875" s="12"/>
      <x:c r="O875" s="12"/>
      <x:c r="P875" s="12"/>
      <x:c r="Q875" s="12"/>
      <x:c r="R875" s="12"/>
      <x:c r="S875" s="12"/>
      <x:c r="T875" s="12"/>
      <x:c r="U875" s="12"/>
      <x:c r="V875" s="12"/>
      <x:c r="W875" s="12"/>
      <x:c r="X875" s="12"/>
      <x:c r="Y875" s="12"/>
      <x:c r="Z875" s="12"/>
      <x:c r="AA875" s="12"/>
    </x:row>
    <x:row r="876">
      <x:c r="A876" s="12"/>
      <x:c r="B876" s="12"/>
      <x:c r="C876" s="12"/>
      <x:c r="D876" s="12"/>
      <x:c r="E876" s="12"/>
      <x:c r="F876" s="12"/>
      <x:c r="G876" s="17"/>
      <x:c r="H876" s="12"/>
      <x:c r="I876" s="12"/>
      <x:c r="J876" s="18"/>
      <x:c r="K876" s="12"/>
      <x:c r="L876" s="12"/>
      <x:c r="M876" s="12"/>
      <x:c r="N876" s="12"/>
      <x:c r="O876" s="12"/>
      <x:c r="P876" s="12"/>
      <x:c r="Q876" s="12"/>
      <x:c r="R876" s="12"/>
      <x:c r="S876" s="12"/>
      <x:c r="T876" s="12"/>
      <x:c r="U876" s="12"/>
      <x:c r="V876" s="12"/>
      <x:c r="W876" s="12"/>
      <x:c r="X876" s="12"/>
      <x:c r="Y876" s="12"/>
      <x:c r="Z876" s="12"/>
      <x:c r="AA876" s="12"/>
    </x:row>
    <x:row r="877">
      <x:c r="A877" s="12"/>
      <x:c r="B877" s="12"/>
      <x:c r="C877" s="12"/>
      <x:c r="D877" s="12"/>
      <x:c r="E877" s="12"/>
      <x:c r="F877" s="12"/>
      <x:c r="G877" s="17"/>
      <x:c r="H877" s="12"/>
      <x:c r="I877" s="12"/>
      <x:c r="J877" s="18"/>
      <x:c r="K877" s="12"/>
      <x:c r="L877" s="12"/>
      <x:c r="M877" s="12"/>
      <x:c r="N877" s="12"/>
      <x:c r="O877" s="12"/>
      <x:c r="P877" s="12"/>
      <x:c r="Q877" s="12"/>
      <x:c r="R877" s="12"/>
      <x:c r="S877" s="12"/>
      <x:c r="T877" s="12"/>
      <x:c r="U877" s="12"/>
      <x:c r="V877" s="12"/>
      <x:c r="W877" s="12"/>
      <x:c r="X877" s="12"/>
      <x:c r="Y877" s="12"/>
      <x:c r="Z877" s="12"/>
      <x:c r="AA877" s="12"/>
    </x:row>
    <x:row r="878">
      <x:c r="A878" s="12"/>
      <x:c r="B878" s="12"/>
      <x:c r="C878" s="12"/>
      <x:c r="D878" s="12"/>
      <x:c r="E878" s="12"/>
      <x:c r="F878" s="12"/>
      <x:c r="G878" s="17"/>
      <x:c r="H878" s="12"/>
      <x:c r="I878" s="12"/>
      <x:c r="J878" s="18"/>
      <x:c r="K878" s="12"/>
      <x:c r="L878" s="12"/>
      <x:c r="M878" s="12"/>
      <x:c r="N878" s="12"/>
      <x:c r="O878" s="12"/>
      <x:c r="P878" s="12"/>
      <x:c r="Q878" s="12"/>
      <x:c r="R878" s="12"/>
      <x:c r="S878" s="12"/>
      <x:c r="T878" s="12"/>
      <x:c r="U878" s="12"/>
      <x:c r="V878" s="12"/>
      <x:c r="W878" s="12"/>
      <x:c r="X878" s="12"/>
      <x:c r="Y878" s="12"/>
      <x:c r="Z878" s="12"/>
      <x:c r="AA878" s="12"/>
    </x:row>
    <x:row r="879">
      <x:c r="A879" s="12"/>
      <x:c r="B879" s="12"/>
      <x:c r="C879" s="12"/>
      <x:c r="D879" s="12"/>
      <x:c r="E879" s="12"/>
      <x:c r="F879" s="12"/>
      <x:c r="G879" s="17"/>
      <x:c r="H879" s="12"/>
      <x:c r="I879" s="12"/>
      <x:c r="J879" s="18"/>
      <x:c r="K879" s="12"/>
      <x:c r="L879" s="12"/>
      <x:c r="M879" s="12"/>
      <x:c r="N879" s="12"/>
      <x:c r="O879" s="12"/>
      <x:c r="P879" s="12"/>
      <x:c r="Q879" s="12"/>
      <x:c r="R879" s="12"/>
      <x:c r="S879" s="12"/>
      <x:c r="T879" s="12"/>
      <x:c r="U879" s="12"/>
      <x:c r="V879" s="12"/>
      <x:c r="W879" s="12"/>
      <x:c r="X879" s="12"/>
      <x:c r="Y879" s="12"/>
      <x:c r="Z879" s="12"/>
      <x:c r="AA879" s="12"/>
    </x:row>
    <x:row r="880">
      <x:c r="A880" s="12"/>
      <x:c r="B880" s="12"/>
      <x:c r="C880" s="12"/>
      <x:c r="D880" s="12"/>
      <x:c r="E880" s="12"/>
      <x:c r="F880" s="12"/>
      <x:c r="G880" s="17"/>
      <x:c r="H880" s="12"/>
      <x:c r="I880" s="12"/>
      <x:c r="J880" s="18"/>
      <x:c r="K880" s="12"/>
      <x:c r="L880" s="12"/>
      <x:c r="M880" s="12"/>
      <x:c r="N880" s="12"/>
      <x:c r="O880" s="12"/>
      <x:c r="P880" s="12"/>
      <x:c r="Q880" s="12"/>
      <x:c r="R880" s="12"/>
      <x:c r="S880" s="12"/>
      <x:c r="T880" s="12"/>
      <x:c r="U880" s="12"/>
      <x:c r="V880" s="12"/>
      <x:c r="W880" s="12"/>
      <x:c r="X880" s="12"/>
      <x:c r="Y880" s="12"/>
      <x:c r="Z880" s="12"/>
      <x:c r="AA880" s="12"/>
    </x:row>
    <x:row r="881">
      <x:c r="A881" s="12"/>
      <x:c r="B881" s="12"/>
      <x:c r="C881" s="12"/>
      <x:c r="D881" s="12"/>
      <x:c r="E881" s="12"/>
      <x:c r="F881" s="12"/>
      <x:c r="G881" s="17"/>
      <x:c r="H881" s="12"/>
      <x:c r="I881" s="12"/>
      <x:c r="J881" s="18"/>
      <x:c r="K881" s="12"/>
      <x:c r="L881" s="12"/>
      <x:c r="M881" s="12"/>
      <x:c r="N881" s="12"/>
      <x:c r="O881" s="12"/>
      <x:c r="P881" s="12"/>
      <x:c r="Q881" s="12"/>
      <x:c r="R881" s="12"/>
      <x:c r="S881" s="12"/>
      <x:c r="T881" s="12"/>
      <x:c r="U881" s="12"/>
      <x:c r="V881" s="12"/>
      <x:c r="W881" s="12"/>
      <x:c r="X881" s="12"/>
      <x:c r="Y881" s="12"/>
      <x:c r="Z881" s="12"/>
      <x:c r="AA881" s="12"/>
    </x:row>
    <x:row r="882">
      <x:c r="A882" s="12"/>
      <x:c r="B882" s="12"/>
      <x:c r="C882" s="12"/>
      <x:c r="D882" s="12"/>
      <x:c r="E882" s="12"/>
      <x:c r="F882" s="12"/>
      <x:c r="G882" s="17"/>
      <x:c r="H882" s="12"/>
      <x:c r="I882" s="12"/>
      <x:c r="J882" s="18"/>
      <x:c r="K882" s="12"/>
      <x:c r="L882" s="12"/>
      <x:c r="M882" s="12"/>
      <x:c r="N882" s="12"/>
      <x:c r="O882" s="12"/>
      <x:c r="P882" s="12"/>
      <x:c r="Q882" s="12"/>
      <x:c r="R882" s="12"/>
      <x:c r="S882" s="12"/>
      <x:c r="T882" s="12"/>
      <x:c r="U882" s="12"/>
      <x:c r="V882" s="12"/>
      <x:c r="W882" s="12"/>
      <x:c r="X882" s="12"/>
      <x:c r="Y882" s="12"/>
      <x:c r="Z882" s="12"/>
      <x:c r="AA882" s="12"/>
    </x:row>
    <x:row r="883">
      <x:c r="A883" s="12"/>
      <x:c r="B883" s="12"/>
      <x:c r="C883" s="12"/>
      <x:c r="D883" s="12"/>
      <x:c r="E883" s="12"/>
      <x:c r="F883" s="12"/>
      <x:c r="G883" s="17"/>
      <x:c r="H883" s="12"/>
      <x:c r="I883" s="12"/>
      <x:c r="J883" s="18"/>
      <x:c r="K883" s="12"/>
      <x:c r="L883" s="12"/>
      <x:c r="M883" s="12"/>
      <x:c r="N883" s="12"/>
      <x:c r="O883" s="12"/>
      <x:c r="P883" s="12"/>
      <x:c r="Q883" s="12"/>
      <x:c r="R883" s="12"/>
      <x:c r="S883" s="12"/>
      <x:c r="T883" s="12"/>
      <x:c r="U883" s="12"/>
      <x:c r="V883" s="12"/>
      <x:c r="W883" s="12"/>
      <x:c r="X883" s="12"/>
      <x:c r="Y883" s="12"/>
      <x:c r="Z883" s="12"/>
      <x:c r="AA883" s="12"/>
    </x:row>
    <x:row r="884">
      <x:c r="A884" s="12"/>
      <x:c r="B884" s="12"/>
      <x:c r="C884" s="12"/>
      <x:c r="D884" s="12"/>
      <x:c r="E884" s="12"/>
      <x:c r="F884" s="12"/>
      <x:c r="G884" s="17"/>
      <x:c r="H884" s="12"/>
      <x:c r="I884" s="12"/>
      <x:c r="J884" s="18"/>
      <x:c r="K884" s="12"/>
      <x:c r="L884" s="12"/>
      <x:c r="M884" s="12"/>
      <x:c r="N884" s="12"/>
      <x:c r="O884" s="12"/>
      <x:c r="P884" s="12"/>
      <x:c r="Q884" s="12"/>
      <x:c r="R884" s="12"/>
      <x:c r="S884" s="12"/>
      <x:c r="T884" s="12"/>
      <x:c r="U884" s="12"/>
      <x:c r="V884" s="12"/>
      <x:c r="W884" s="12"/>
      <x:c r="X884" s="12"/>
      <x:c r="Y884" s="12"/>
      <x:c r="Z884" s="12"/>
      <x:c r="AA884" s="12"/>
    </x:row>
    <x:row r="885">
      <x:c r="A885" s="12"/>
      <x:c r="B885" s="12"/>
      <x:c r="C885" s="12"/>
      <x:c r="D885" s="12"/>
      <x:c r="E885" s="12"/>
      <x:c r="F885" s="12"/>
      <x:c r="G885" s="17"/>
      <x:c r="H885" s="12"/>
      <x:c r="I885" s="12"/>
      <x:c r="J885" s="18"/>
      <x:c r="K885" s="12"/>
      <x:c r="L885" s="12"/>
      <x:c r="M885" s="12"/>
      <x:c r="N885" s="12"/>
      <x:c r="O885" s="12"/>
      <x:c r="P885" s="12"/>
      <x:c r="Q885" s="12"/>
      <x:c r="R885" s="12"/>
      <x:c r="S885" s="12"/>
      <x:c r="T885" s="12"/>
      <x:c r="U885" s="12"/>
      <x:c r="V885" s="12"/>
      <x:c r="W885" s="12"/>
      <x:c r="X885" s="12"/>
      <x:c r="Y885" s="12"/>
      <x:c r="Z885" s="12"/>
      <x:c r="AA885" s="12"/>
    </x:row>
    <x:row r="886">
      <x:c r="A886" s="12"/>
      <x:c r="B886" s="12"/>
      <x:c r="C886" s="12"/>
      <x:c r="D886" s="12"/>
      <x:c r="E886" s="12"/>
      <x:c r="F886" s="12"/>
      <x:c r="G886" s="17"/>
      <x:c r="H886" s="12"/>
      <x:c r="I886" s="12"/>
      <x:c r="J886" s="18"/>
      <x:c r="K886" s="12"/>
      <x:c r="L886" s="12"/>
      <x:c r="M886" s="12"/>
      <x:c r="N886" s="12"/>
      <x:c r="O886" s="12"/>
      <x:c r="P886" s="12"/>
      <x:c r="Q886" s="12"/>
      <x:c r="R886" s="12"/>
      <x:c r="S886" s="12"/>
      <x:c r="T886" s="12"/>
      <x:c r="U886" s="12"/>
      <x:c r="V886" s="12"/>
      <x:c r="W886" s="12"/>
      <x:c r="X886" s="12"/>
      <x:c r="Y886" s="12"/>
      <x:c r="Z886" s="12"/>
      <x:c r="AA886" s="12"/>
    </x:row>
    <x:row r="887">
      <x:c r="A887" s="12"/>
      <x:c r="B887" s="12"/>
      <x:c r="C887" s="12"/>
      <x:c r="D887" s="12"/>
      <x:c r="E887" s="12"/>
      <x:c r="F887" s="12"/>
      <x:c r="G887" s="17"/>
      <x:c r="H887" s="12"/>
      <x:c r="I887" s="12"/>
      <x:c r="J887" s="18"/>
      <x:c r="K887" s="12"/>
      <x:c r="L887" s="12"/>
      <x:c r="M887" s="12"/>
      <x:c r="N887" s="12"/>
      <x:c r="O887" s="12"/>
      <x:c r="P887" s="12"/>
      <x:c r="Q887" s="12"/>
      <x:c r="R887" s="12"/>
      <x:c r="S887" s="12"/>
      <x:c r="T887" s="12"/>
      <x:c r="U887" s="12"/>
      <x:c r="V887" s="12"/>
      <x:c r="W887" s="12"/>
      <x:c r="X887" s="12"/>
      <x:c r="Y887" s="12"/>
      <x:c r="Z887" s="12"/>
      <x:c r="AA887" s="12"/>
    </x:row>
    <x:row r="888">
      <x:c r="A888" s="12"/>
      <x:c r="B888" s="12"/>
      <x:c r="C888" s="12"/>
      <x:c r="D888" s="12"/>
      <x:c r="E888" s="12"/>
      <x:c r="F888" s="12"/>
      <x:c r="G888" s="17"/>
      <x:c r="H888" s="12"/>
      <x:c r="I888" s="12"/>
      <x:c r="J888" s="18"/>
      <x:c r="K888" s="12"/>
      <x:c r="L888" s="12"/>
      <x:c r="M888" s="12"/>
      <x:c r="N888" s="12"/>
      <x:c r="O888" s="12"/>
      <x:c r="P888" s="12"/>
      <x:c r="Q888" s="12"/>
      <x:c r="R888" s="12"/>
      <x:c r="S888" s="12"/>
      <x:c r="T888" s="12"/>
      <x:c r="U888" s="12"/>
      <x:c r="V888" s="12"/>
      <x:c r="W888" s="12"/>
      <x:c r="X888" s="12"/>
      <x:c r="Y888" s="12"/>
      <x:c r="Z888" s="12"/>
      <x:c r="AA888" s="12"/>
    </x:row>
    <x:row r="889">
      <x:c r="A889" s="12"/>
      <x:c r="B889" s="12"/>
      <x:c r="C889" s="12"/>
      <x:c r="D889" s="12"/>
      <x:c r="E889" s="12"/>
      <x:c r="F889" s="12"/>
      <x:c r="G889" s="17"/>
      <x:c r="H889" s="12"/>
      <x:c r="I889" s="12"/>
      <x:c r="J889" s="18"/>
      <x:c r="K889" s="12"/>
      <x:c r="L889" s="12"/>
      <x:c r="M889" s="12"/>
      <x:c r="N889" s="12"/>
      <x:c r="O889" s="12"/>
      <x:c r="P889" s="12"/>
      <x:c r="Q889" s="12"/>
      <x:c r="R889" s="12"/>
      <x:c r="S889" s="12"/>
      <x:c r="T889" s="12"/>
      <x:c r="U889" s="12"/>
      <x:c r="V889" s="12"/>
      <x:c r="W889" s="12"/>
      <x:c r="X889" s="12"/>
      <x:c r="Y889" s="12"/>
      <x:c r="Z889" s="12"/>
      <x:c r="AA889" s="12"/>
    </x:row>
    <x:row r="890">
      <x:c r="A890" s="12"/>
      <x:c r="B890" s="12"/>
      <x:c r="C890" s="12"/>
      <x:c r="D890" s="12"/>
      <x:c r="E890" s="12"/>
      <x:c r="F890" s="12"/>
      <x:c r="G890" s="17"/>
      <x:c r="H890" s="12"/>
      <x:c r="I890" s="12"/>
      <x:c r="J890" s="18"/>
      <x:c r="K890" s="12"/>
      <x:c r="L890" s="12"/>
      <x:c r="M890" s="12"/>
      <x:c r="N890" s="12"/>
      <x:c r="O890" s="12"/>
      <x:c r="P890" s="12"/>
      <x:c r="Q890" s="12"/>
      <x:c r="R890" s="12"/>
      <x:c r="S890" s="12"/>
      <x:c r="T890" s="12"/>
      <x:c r="U890" s="12"/>
      <x:c r="V890" s="12"/>
      <x:c r="W890" s="12"/>
      <x:c r="X890" s="12"/>
      <x:c r="Y890" s="12"/>
      <x:c r="Z890" s="12"/>
      <x:c r="AA890" s="12"/>
    </x:row>
    <x:row r="891">
      <x:c r="A891" s="12"/>
      <x:c r="B891" s="12"/>
      <x:c r="C891" s="12"/>
      <x:c r="D891" s="12"/>
      <x:c r="E891" s="12"/>
      <x:c r="F891" s="12"/>
      <x:c r="G891" s="17"/>
      <x:c r="H891" s="12"/>
      <x:c r="I891" s="12"/>
      <x:c r="J891" s="18"/>
      <x:c r="K891" s="12"/>
      <x:c r="L891" s="12"/>
      <x:c r="M891" s="12"/>
      <x:c r="N891" s="12"/>
      <x:c r="O891" s="12"/>
      <x:c r="P891" s="12"/>
      <x:c r="Q891" s="12"/>
      <x:c r="R891" s="12"/>
      <x:c r="S891" s="12"/>
      <x:c r="T891" s="12"/>
      <x:c r="U891" s="12"/>
      <x:c r="V891" s="12"/>
      <x:c r="W891" s="12"/>
      <x:c r="X891" s="12"/>
      <x:c r="Y891" s="12"/>
      <x:c r="Z891" s="12"/>
      <x:c r="AA891" s="12"/>
    </x:row>
    <x:row r="892">
      <x:c r="A892" s="12"/>
      <x:c r="B892" s="12"/>
      <x:c r="C892" s="12"/>
      <x:c r="D892" s="12"/>
      <x:c r="E892" s="12"/>
      <x:c r="F892" s="12"/>
      <x:c r="G892" s="17"/>
      <x:c r="H892" s="12"/>
      <x:c r="I892" s="12"/>
      <x:c r="J892" s="18"/>
      <x:c r="K892" s="12"/>
      <x:c r="L892" s="12"/>
      <x:c r="M892" s="12"/>
      <x:c r="N892" s="12"/>
      <x:c r="O892" s="12"/>
      <x:c r="P892" s="12"/>
      <x:c r="Q892" s="12"/>
      <x:c r="R892" s="12"/>
      <x:c r="S892" s="12"/>
      <x:c r="T892" s="12"/>
      <x:c r="U892" s="12"/>
      <x:c r="V892" s="12"/>
      <x:c r="W892" s="12"/>
      <x:c r="X892" s="12"/>
      <x:c r="Y892" s="12"/>
      <x:c r="Z892" s="12"/>
      <x:c r="AA892" s="12"/>
    </x:row>
    <x:row r="893">
      <x:c r="A893" s="12"/>
      <x:c r="B893" s="12"/>
      <x:c r="C893" s="12"/>
      <x:c r="D893" s="12"/>
      <x:c r="E893" s="12"/>
      <x:c r="F893" s="12"/>
      <x:c r="G893" s="17"/>
      <x:c r="H893" s="12"/>
      <x:c r="I893" s="12"/>
      <x:c r="J893" s="18"/>
      <x:c r="K893" s="12"/>
      <x:c r="L893" s="12"/>
      <x:c r="M893" s="12"/>
      <x:c r="N893" s="12"/>
      <x:c r="O893" s="12"/>
      <x:c r="P893" s="12"/>
      <x:c r="Q893" s="12"/>
      <x:c r="R893" s="12"/>
      <x:c r="S893" s="12"/>
      <x:c r="T893" s="12"/>
      <x:c r="U893" s="12"/>
      <x:c r="V893" s="12"/>
      <x:c r="W893" s="12"/>
      <x:c r="X893" s="12"/>
      <x:c r="Y893" s="12"/>
      <x:c r="Z893" s="12"/>
      <x:c r="AA893" s="12"/>
    </x:row>
    <x:row r="894">
      <x:c r="A894" s="12"/>
      <x:c r="B894" s="12"/>
      <x:c r="C894" s="12"/>
      <x:c r="D894" s="12"/>
      <x:c r="E894" s="12"/>
      <x:c r="F894" s="12"/>
      <x:c r="G894" s="17"/>
      <x:c r="H894" s="12"/>
      <x:c r="I894" s="12"/>
      <x:c r="J894" s="18"/>
      <x:c r="K894" s="12"/>
      <x:c r="L894" s="12"/>
      <x:c r="M894" s="12"/>
      <x:c r="N894" s="12"/>
      <x:c r="O894" s="12"/>
      <x:c r="P894" s="12"/>
      <x:c r="Q894" s="12"/>
      <x:c r="R894" s="12"/>
      <x:c r="S894" s="12"/>
      <x:c r="T894" s="12"/>
      <x:c r="U894" s="12"/>
      <x:c r="V894" s="12"/>
      <x:c r="W894" s="12"/>
      <x:c r="X894" s="12"/>
      <x:c r="Y894" s="12"/>
      <x:c r="Z894" s="12"/>
      <x:c r="AA894" s="12"/>
    </x:row>
    <x:row r="895">
      <x:c r="A895" s="12"/>
      <x:c r="B895" s="12"/>
      <x:c r="C895" s="12"/>
      <x:c r="D895" s="12"/>
      <x:c r="E895" s="12"/>
      <x:c r="F895" s="12"/>
      <x:c r="G895" s="17"/>
      <x:c r="H895" s="12"/>
      <x:c r="I895" s="12"/>
      <x:c r="J895" s="18"/>
      <x:c r="K895" s="12"/>
      <x:c r="L895" s="12"/>
      <x:c r="M895" s="12"/>
      <x:c r="N895" s="12"/>
      <x:c r="O895" s="12"/>
      <x:c r="P895" s="12"/>
      <x:c r="Q895" s="12"/>
      <x:c r="R895" s="12"/>
      <x:c r="S895" s="12"/>
      <x:c r="T895" s="12"/>
      <x:c r="U895" s="12"/>
      <x:c r="V895" s="12"/>
      <x:c r="W895" s="12"/>
      <x:c r="X895" s="12"/>
      <x:c r="Y895" s="12"/>
      <x:c r="Z895" s="12"/>
      <x:c r="AA895" s="12"/>
    </x:row>
    <x:row r="896">
      <x:c r="A896" s="12"/>
      <x:c r="B896" s="12"/>
      <x:c r="C896" s="12"/>
      <x:c r="D896" s="12"/>
      <x:c r="E896" s="12"/>
      <x:c r="F896" s="12"/>
      <x:c r="G896" s="17"/>
      <x:c r="H896" s="12"/>
      <x:c r="I896" s="12"/>
      <x:c r="J896" s="18"/>
      <x:c r="K896" s="12"/>
      <x:c r="L896" s="12"/>
      <x:c r="M896" s="12"/>
      <x:c r="N896" s="12"/>
      <x:c r="O896" s="12"/>
      <x:c r="P896" s="12"/>
      <x:c r="Q896" s="12"/>
      <x:c r="R896" s="12"/>
      <x:c r="S896" s="12"/>
      <x:c r="T896" s="12"/>
      <x:c r="U896" s="12"/>
      <x:c r="V896" s="12"/>
      <x:c r="W896" s="12"/>
      <x:c r="X896" s="12"/>
      <x:c r="Y896" s="12"/>
      <x:c r="Z896" s="12"/>
      <x:c r="AA896" s="12"/>
    </x:row>
    <x:row r="897">
      <x:c r="A897" s="12"/>
      <x:c r="B897" s="12"/>
      <x:c r="C897" s="12"/>
      <x:c r="D897" s="12"/>
      <x:c r="E897" s="12"/>
      <x:c r="F897" s="12"/>
      <x:c r="G897" s="17"/>
      <x:c r="H897" s="12"/>
      <x:c r="I897" s="12"/>
      <x:c r="J897" s="18"/>
      <x:c r="K897" s="12"/>
      <x:c r="L897" s="12"/>
      <x:c r="M897" s="12"/>
      <x:c r="N897" s="12"/>
      <x:c r="O897" s="12"/>
      <x:c r="P897" s="12"/>
      <x:c r="Q897" s="12"/>
      <x:c r="R897" s="12"/>
      <x:c r="S897" s="12"/>
      <x:c r="T897" s="12"/>
      <x:c r="U897" s="12"/>
      <x:c r="V897" s="12"/>
      <x:c r="W897" s="12"/>
      <x:c r="X897" s="12"/>
      <x:c r="Y897" s="12"/>
      <x:c r="Z897" s="12"/>
      <x:c r="AA897" s="12"/>
    </x:row>
    <x:row r="898">
      <x:c r="A898" s="12"/>
      <x:c r="B898" s="12"/>
      <x:c r="C898" s="12"/>
      <x:c r="D898" s="12"/>
      <x:c r="E898" s="12"/>
      <x:c r="F898" s="12"/>
      <x:c r="G898" s="17"/>
      <x:c r="H898" s="12"/>
      <x:c r="I898" s="12"/>
      <x:c r="J898" s="18"/>
      <x:c r="K898" s="12"/>
      <x:c r="L898" s="12"/>
      <x:c r="M898" s="12"/>
      <x:c r="N898" s="12"/>
      <x:c r="O898" s="12"/>
      <x:c r="P898" s="12"/>
      <x:c r="Q898" s="12"/>
      <x:c r="R898" s="12"/>
      <x:c r="S898" s="12"/>
      <x:c r="T898" s="12"/>
      <x:c r="U898" s="12"/>
      <x:c r="V898" s="12"/>
      <x:c r="W898" s="12"/>
      <x:c r="X898" s="12"/>
      <x:c r="Y898" s="12"/>
      <x:c r="Z898" s="12"/>
      <x:c r="AA898" s="12"/>
    </x:row>
    <x:row r="899">
      <x:c r="A899" s="12"/>
      <x:c r="B899" s="12"/>
      <x:c r="C899" s="12"/>
      <x:c r="D899" s="12"/>
      <x:c r="E899" s="12"/>
      <x:c r="F899" s="12"/>
      <x:c r="G899" s="17"/>
      <x:c r="H899" s="12"/>
      <x:c r="I899" s="12"/>
      <x:c r="J899" s="18"/>
      <x:c r="K899" s="12"/>
      <x:c r="L899" s="12"/>
      <x:c r="M899" s="12"/>
      <x:c r="N899" s="12"/>
      <x:c r="O899" s="12"/>
      <x:c r="P899" s="12"/>
      <x:c r="Q899" s="12"/>
      <x:c r="R899" s="12"/>
      <x:c r="S899" s="12"/>
      <x:c r="T899" s="12"/>
      <x:c r="U899" s="12"/>
      <x:c r="V899" s="12"/>
      <x:c r="W899" s="12"/>
      <x:c r="X899" s="12"/>
      <x:c r="Y899" s="12"/>
      <x:c r="Z899" s="12"/>
      <x:c r="AA899" s="12"/>
    </x:row>
    <x:row r="900">
      <x:c r="A900" s="12"/>
      <x:c r="B900" s="12"/>
      <x:c r="C900" s="12"/>
      <x:c r="D900" s="12"/>
      <x:c r="E900" s="12"/>
      <x:c r="F900" s="12"/>
      <x:c r="G900" s="17"/>
      <x:c r="H900" s="12"/>
      <x:c r="I900" s="12"/>
      <x:c r="J900" s="18"/>
      <x:c r="K900" s="12"/>
      <x:c r="L900" s="12"/>
      <x:c r="M900" s="12"/>
      <x:c r="N900" s="12"/>
      <x:c r="O900" s="12"/>
      <x:c r="P900" s="12"/>
      <x:c r="Q900" s="12"/>
      <x:c r="R900" s="12"/>
      <x:c r="S900" s="12"/>
      <x:c r="T900" s="12"/>
      <x:c r="U900" s="12"/>
      <x:c r="V900" s="12"/>
      <x:c r="W900" s="12"/>
      <x:c r="X900" s="12"/>
      <x:c r="Y900" s="12"/>
      <x:c r="Z900" s="12"/>
      <x:c r="AA900" s="12"/>
    </x:row>
    <x:row r="901">
      <x:c r="A901" s="12"/>
      <x:c r="B901" s="12"/>
      <x:c r="C901" s="12"/>
      <x:c r="D901" s="12"/>
      <x:c r="E901" s="12"/>
      <x:c r="F901" s="12"/>
      <x:c r="G901" s="17"/>
      <x:c r="H901" s="12"/>
      <x:c r="I901" s="12"/>
      <x:c r="J901" s="18"/>
      <x:c r="K901" s="12"/>
      <x:c r="L901" s="12"/>
      <x:c r="M901" s="12"/>
      <x:c r="N901" s="12"/>
      <x:c r="O901" s="12"/>
      <x:c r="P901" s="12"/>
      <x:c r="Q901" s="12"/>
      <x:c r="R901" s="12"/>
      <x:c r="S901" s="12"/>
      <x:c r="T901" s="12"/>
      <x:c r="U901" s="12"/>
      <x:c r="V901" s="12"/>
      <x:c r="W901" s="12"/>
      <x:c r="X901" s="12"/>
      <x:c r="Y901" s="12"/>
      <x:c r="Z901" s="12"/>
      <x:c r="AA901" s="12"/>
    </x:row>
    <x:row r="902">
      <x:c r="A902" s="12"/>
      <x:c r="B902" s="12"/>
      <x:c r="C902" s="12"/>
      <x:c r="D902" s="12"/>
      <x:c r="E902" s="12"/>
      <x:c r="F902" s="12"/>
      <x:c r="G902" s="17"/>
      <x:c r="H902" s="12"/>
      <x:c r="I902" s="12"/>
      <x:c r="J902" s="18"/>
      <x:c r="K902" s="12"/>
      <x:c r="L902" s="12"/>
      <x:c r="M902" s="12"/>
      <x:c r="N902" s="12"/>
      <x:c r="O902" s="12"/>
      <x:c r="P902" s="12"/>
      <x:c r="Q902" s="12"/>
      <x:c r="R902" s="12"/>
      <x:c r="S902" s="12"/>
      <x:c r="T902" s="12"/>
      <x:c r="U902" s="12"/>
      <x:c r="V902" s="12"/>
      <x:c r="W902" s="12"/>
      <x:c r="X902" s="12"/>
      <x:c r="Y902" s="12"/>
      <x:c r="Z902" s="12"/>
      <x:c r="AA902" s="12"/>
    </x:row>
    <x:row r="903">
      <x:c r="A903" s="12"/>
      <x:c r="B903" s="12"/>
      <x:c r="C903" s="12"/>
      <x:c r="D903" s="12"/>
      <x:c r="E903" s="12"/>
      <x:c r="F903" s="12"/>
      <x:c r="G903" s="17"/>
      <x:c r="H903" s="12"/>
      <x:c r="I903" s="12"/>
      <x:c r="J903" s="18"/>
      <x:c r="K903" s="12"/>
      <x:c r="L903" s="12"/>
      <x:c r="M903" s="12"/>
      <x:c r="N903" s="12"/>
      <x:c r="O903" s="12"/>
      <x:c r="P903" s="12"/>
      <x:c r="Q903" s="12"/>
      <x:c r="R903" s="12"/>
      <x:c r="S903" s="12"/>
      <x:c r="T903" s="12"/>
      <x:c r="U903" s="12"/>
      <x:c r="V903" s="12"/>
      <x:c r="W903" s="12"/>
      <x:c r="X903" s="12"/>
      <x:c r="Y903" s="12"/>
      <x:c r="Z903" s="12"/>
      <x:c r="AA903" s="12"/>
    </x:row>
    <x:row r="904">
      <x:c r="A904" s="12"/>
      <x:c r="B904" s="12"/>
      <x:c r="C904" s="12"/>
      <x:c r="D904" s="12"/>
      <x:c r="E904" s="12"/>
      <x:c r="F904" s="12"/>
      <x:c r="G904" s="17"/>
      <x:c r="H904" s="12"/>
      <x:c r="I904" s="12"/>
      <x:c r="J904" s="18"/>
      <x:c r="K904" s="12"/>
      <x:c r="L904" s="12"/>
      <x:c r="M904" s="12"/>
      <x:c r="N904" s="12"/>
      <x:c r="O904" s="12"/>
      <x:c r="P904" s="12"/>
      <x:c r="Q904" s="12"/>
      <x:c r="R904" s="12"/>
      <x:c r="S904" s="12"/>
      <x:c r="T904" s="12"/>
      <x:c r="U904" s="12"/>
      <x:c r="V904" s="12"/>
      <x:c r="W904" s="12"/>
      <x:c r="X904" s="12"/>
      <x:c r="Y904" s="12"/>
      <x:c r="Z904" s="12"/>
      <x:c r="AA904" s="12"/>
    </x:row>
    <x:row r="905">
      <x:c r="A905" s="12"/>
      <x:c r="B905" s="12"/>
      <x:c r="C905" s="12"/>
      <x:c r="D905" s="12"/>
      <x:c r="E905" s="12"/>
      <x:c r="F905" s="12"/>
      <x:c r="G905" s="17"/>
      <x:c r="H905" s="12"/>
      <x:c r="I905" s="12"/>
      <x:c r="J905" s="18"/>
      <x:c r="K905" s="12"/>
      <x:c r="L905" s="12"/>
      <x:c r="M905" s="12"/>
      <x:c r="N905" s="12"/>
      <x:c r="O905" s="12"/>
      <x:c r="P905" s="12"/>
      <x:c r="Q905" s="12"/>
      <x:c r="R905" s="12"/>
      <x:c r="S905" s="12"/>
      <x:c r="T905" s="12"/>
      <x:c r="U905" s="12"/>
      <x:c r="V905" s="12"/>
      <x:c r="W905" s="12"/>
      <x:c r="X905" s="12"/>
      <x:c r="Y905" s="12"/>
      <x:c r="Z905" s="12"/>
      <x:c r="AA905" s="12"/>
    </x:row>
    <x:row r="906">
      <x:c r="A906" s="12"/>
      <x:c r="B906" s="12"/>
      <x:c r="C906" s="12"/>
      <x:c r="D906" s="12"/>
      <x:c r="E906" s="12"/>
      <x:c r="F906" s="12"/>
      <x:c r="G906" s="17"/>
      <x:c r="H906" s="12"/>
      <x:c r="I906" s="12"/>
      <x:c r="J906" s="18"/>
      <x:c r="K906" s="12"/>
      <x:c r="L906" s="12"/>
      <x:c r="M906" s="12"/>
      <x:c r="N906" s="12"/>
      <x:c r="O906" s="12"/>
      <x:c r="P906" s="12"/>
      <x:c r="Q906" s="12"/>
      <x:c r="R906" s="12"/>
      <x:c r="S906" s="12"/>
      <x:c r="T906" s="12"/>
      <x:c r="U906" s="12"/>
      <x:c r="V906" s="12"/>
      <x:c r="W906" s="12"/>
      <x:c r="X906" s="12"/>
      <x:c r="Y906" s="12"/>
      <x:c r="Z906" s="12"/>
      <x:c r="AA906" s="12"/>
    </x:row>
    <x:row r="907">
      <x:c r="A907" s="12"/>
      <x:c r="B907" s="12"/>
      <x:c r="C907" s="12"/>
      <x:c r="D907" s="12"/>
      <x:c r="E907" s="12"/>
      <x:c r="F907" s="12"/>
      <x:c r="G907" s="17"/>
      <x:c r="H907" s="12"/>
      <x:c r="I907" s="12"/>
      <x:c r="J907" s="18"/>
      <x:c r="K907" s="12"/>
      <x:c r="L907" s="12"/>
      <x:c r="M907" s="12"/>
      <x:c r="N907" s="12"/>
      <x:c r="O907" s="12"/>
      <x:c r="P907" s="12"/>
      <x:c r="Q907" s="12"/>
      <x:c r="R907" s="12"/>
      <x:c r="S907" s="12"/>
      <x:c r="T907" s="12"/>
      <x:c r="U907" s="12"/>
      <x:c r="V907" s="12"/>
      <x:c r="W907" s="12"/>
      <x:c r="X907" s="12"/>
      <x:c r="Y907" s="12"/>
      <x:c r="Z907" s="12"/>
      <x:c r="AA907" s="12"/>
    </x:row>
    <x:row r="908">
      <x:c r="A908" s="12"/>
      <x:c r="B908" s="12"/>
      <x:c r="C908" s="12"/>
      <x:c r="D908" s="12"/>
      <x:c r="E908" s="12"/>
      <x:c r="F908" s="12"/>
      <x:c r="G908" s="17"/>
      <x:c r="H908" s="12"/>
      <x:c r="I908" s="12"/>
      <x:c r="J908" s="18"/>
      <x:c r="K908" s="12"/>
      <x:c r="L908" s="12"/>
      <x:c r="M908" s="12"/>
      <x:c r="N908" s="12"/>
      <x:c r="O908" s="12"/>
      <x:c r="P908" s="12"/>
      <x:c r="Q908" s="12"/>
      <x:c r="R908" s="12"/>
      <x:c r="S908" s="12"/>
      <x:c r="T908" s="12"/>
      <x:c r="U908" s="12"/>
      <x:c r="V908" s="12"/>
      <x:c r="W908" s="12"/>
      <x:c r="X908" s="12"/>
      <x:c r="Y908" s="12"/>
      <x:c r="Z908" s="12"/>
      <x:c r="AA908" s="12"/>
    </x:row>
    <x:row r="909">
      <x:c r="A909" s="12"/>
      <x:c r="B909" s="12"/>
      <x:c r="C909" s="12"/>
      <x:c r="D909" s="12"/>
      <x:c r="E909" s="12"/>
      <x:c r="F909" s="12"/>
      <x:c r="G909" s="17"/>
      <x:c r="H909" s="12"/>
      <x:c r="I909" s="12"/>
      <x:c r="J909" s="18"/>
      <x:c r="K909" s="12"/>
      <x:c r="L909" s="12"/>
      <x:c r="M909" s="12"/>
      <x:c r="N909" s="12"/>
      <x:c r="O909" s="12"/>
      <x:c r="P909" s="12"/>
      <x:c r="Q909" s="12"/>
      <x:c r="R909" s="12"/>
      <x:c r="S909" s="12"/>
      <x:c r="T909" s="12"/>
      <x:c r="U909" s="12"/>
      <x:c r="V909" s="12"/>
      <x:c r="W909" s="12"/>
      <x:c r="X909" s="12"/>
      <x:c r="Y909" s="12"/>
      <x:c r="Z909" s="12"/>
      <x:c r="AA909" s="12"/>
    </x:row>
    <x:row r="910">
      <x:c r="A910" s="12"/>
      <x:c r="B910" s="12"/>
      <x:c r="C910" s="12"/>
      <x:c r="D910" s="12"/>
      <x:c r="E910" s="12"/>
      <x:c r="F910" s="12"/>
      <x:c r="G910" s="17"/>
      <x:c r="H910" s="12"/>
      <x:c r="I910" s="12"/>
      <x:c r="J910" s="18"/>
      <x:c r="K910" s="12"/>
      <x:c r="L910" s="12"/>
      <x:c r="M910" s="12"/>
      <x:c r="N910" s="12"/>
      <x:c r="O910" s="12"/>
      <x:c r="P910" s="12"/>
      <x:c r="Q910" s="12"/>
      <x:c r="R910" s="12"/>
      <x:c r="S910" s="12"/>
      <x:c r="T910" s="12"/>
      <x:c r="U910" s="12"/>
      <x:c r="V910" s="12"/>
      <x:c r="W910" s="12"/>
      <x:c r="X910" s="12"/>
      <x:c r="Y910" s="12"/>
      <x:c r="Z910" s="12"/>
      <x:c r="AA910" s="12"/>
    </x:row>
    <x:row r="911">
      <x:c r="A911" s="12"/>
      <x:c r="B911" s="12"/>
      <x:c r="C911" s="12"/>
      <x:c r="D911" s="12"/>
      <x:c r="E911" s="12"/>
      <x:c r="F911" s="12"/>
      <x:c r="G911" s="17"/>
      <x:c r="H911" s="12"/>
      <x:c r="I911" s="12"/>
      <x:c r="J911" s="18"/>
      <x:c r="K911" s="12"/>
      <x:c r="L911" s="12"/>
      <x:c r="M911" s="12"/>
      <x:c r="N911" s="12"/>
      <x:c r="O911" s="12"/>
      <x:c r="P911" s="12"/>
      <x:c r="Q911" s="12"/>
      <x:c r="R911" s="12"/>
      <x:c r="S911" s="12"/>
      <x:c r="T911" s="12"/>
      <x:c r="U911" s="12"/>
      <x:c r="V911" s="12"/>
      <x:c r="W911" s="12"/>
      <x:c r="X911" s="12"/>
      <x:c r="Y911" s="12"/>
      <x:c r="Z911" s="12"/>
      <x:c r="AA911" s="12"/>
    </x:row>
    <x:row r="912">
      <x:c r="A912" s="12"/>
      <x:c r="B912" s="12"/>
      <x:c r="C912" s="12"/>
      <x:c r="D912" s="12"/>
      <x:c r="E912" s="12"/>
      <x:c r="F912" s="12"/>
      <x:c r="G912" s="17"/>
      <x:c r="H912" s="12"/>
      <x:c r="I912" s="12"/>
      <x:c r="J912" s="18"/>
      <x:c r="K912" s="12"/>
      <x:c r="L912" s="12"/>
      <x:c r="M912" s="12"/>
      <x:c r="N912" s="12"/>
      <x:c r="O912" s="12"/>
      <x:c r="P912" s="12"/>
      <x:c r="Q912" s="12"/>
      <x:c r="R912" s="12"/>
      <x:c r="S912" s="12"/>
      <x:c r="T912" s="12"/>
      <x:c r="U912" s="12"/>
      <x:c r="V912" s="12"/>
      <x:c r="W912" s="12"/>
      <x:c r="X912" s="12"/>
      <x:c r="Y912" s="12"/>
      <x:c r="Z912" s="12"/>
      <x:c r="AA912" s="12"/>
    </x:row>
    <x:row r="913">
      <x:c r="A913" s="12"/>
      <x:c r="B913" s="12"/>
      <x:c r="C913" s="12"/>
      <x:c r="D913" s="12"/>
      <x:c r="E913" s="12"/>
      <x:c r="F913" s="12"/>
      <x:c r="G913" s="17"/>
      <x:c r="H913" s="12"/>
      <x:c r="I913" s="12"/>
      <x:c r="J913" s="18"/>
      <x:c r="K913" s="12"/>
      <x:c r="L913" s="12"/>
      <x:c r="M913" s="12"/>
      <x:c r="N913" s="12"/>
      <x:c r="O913" s="12"/>
      <x:c r="P913" s="12"/>
      <x:c r="Q913" s="12"/>
      <x:c r="R913" s="12"/>
      <x:c r="S913" s="12"/>
      <x:c r="T913" s="12"/>
      <x:c r="U913" s="12"/>
      <x:c r="V913" s="12"/>
      <x:c r="W913" s="12"/>
      <x:c r="X913" s="12"/>
      <x:c r="Y913" s="12"/>
      <x:c r="Z913" s="12"/>
      <x:c r="AA913" s="12"/>
    </x:row>
    <x:row r="914">
      <x:c r="A914" s="12"/>
      <x:c r="B914" s="12"/>
      <x:c r="C914" s="12"/>
      <x:c r="D914" s="12"/>
      <x:c r="E914" s="12"/>
      <x:c r="F914" s="12"/>
      <x:c r="G914" s="17"/>
      <x:c r="H914" s="12"/>
      <x:c r="I914" s="12"/>
      <x:c r="J914" s="18"/>
      <x:c r="K914" s="12"/>
      <x:c r="L914" s="12"/>
      <x:c r="M914" s="12"/>
      <x:c r="N914" s="12"/>
      <x:c r="O914" s="12"/>
      <x:c r="P914" s="12"/>
      <x:c r="Q914" s="12"/>
      <x:c r="R914" s="12"/>
      <x:c r="S914" s="12"/>
      <x:c r="T914" s="12"/>
      <x:c r="U914" s="12"/>
      <x:c r="V914" s="12"/>
      <x:c r="W914" s="12"/>
      <x:c r="X914" s="12"/>
      <x:c r="Y914" s="12"/>
      <x:c r="Z914" s="12"/>
      <x:c r="AA914" s="12"/>
    </x:row>
    <x:row r="915">
      <x:c r="A915" s="12"/>
      <x:c r="B915" s="12"/>
      <x:c r="C915" s="12"/>
      <x:c r="D915" s="12"/>
      <x:c r="E915" s="12"/>
      <x:c r="F915" s="12"/>
      <x:c r="G915" s="17"/>
      <x:c r="H915" s="12"/>
      <x:c r="I915" s="12"/>
      <x:c r="J915" s="18"/>
      <x:c r="K915" s="12"/>
      <x:c r="L915" s="12"/>
      <x:c r="M915" s="12"/>
      <x:c r="N915" s="12"/>
      <x:c r="O915" s="12"/>
      <x:c r="P915" s="12"/>
      <x:c r="Q915" s="12"/>
      <x:c r="R915" s="12"/>
      <x:c r="S915" s="12"/>
      <x:c r="T915" s="12"/>
      <x:c r="U915" s="12"/>
      <x:c r="V915" s="12"/>
      <x:c r="W915" s="12"/>
      <x:c r="X915" s="12"/>
      <x:c r="Y915" s="12"/>
      <x:c r="Z915" s="12"/>
      <x:c r="AA915" s="12"/>
    </x:row>
    <x:row r="916">
      <x:c r="A916" s="12"/>
      <x:c r="B916" s="12"/>
      <x:c r="C916" s="12"/>
      <x:c r="D916" s="12"/>
      <x:c r="E916" s="12"/>
      <x:c r="F916" s="12"/>
      <x:c r="G916" s="17"/>
      <x:c r="H916" s="12"/>
      <x:c r="I916" s="12"/>
      <x:c r="J916" s="18"/>
      <x:c r="K916" s="12"/>
      <x:c r="L916" s="12"/>
      <x:c r="M916" s="12"/>
      <x:c r="N916" s="12"/>
      <x:c r="O916" s="12"/>
      <x:c r="P916" s="12"/>
      <x:c r="Q916" s="12"/>
      <x:c r="R916" s="12"/>
      <x:c r="S916" s="12"/>
      <x:c r="T916" s="12"/>
      <x:c r="U916" s="12"/>
      <x:c r="V916" s="12"/>
      <x:c r="W916" s="12"/>
      <x:c r="X916" s="12"/>
      <x:c r="Y916" s="12"/>
      <x:c r="Z916" s="12"/>
      <x:c r="AA916" s="12"/>
    </x:row>
    <x:row r="917">
      <x:c r="A917" s="12"/>
      <x:c r="B917" s="12"/>
      <x:c r="C917" s="12"/>
      <x:c r="D917" s="12"/>
      <x:c r="E917" s="12"/>
      <x:c r="F917" s="12"/>
      <x:c r="G917" s="17"/>
      <x:c r="H917" s="12"/>
      <x:c r="I917" s="12"/>
      <x:c r="J917" s="18"/>
      <x:c r="K917" s="12"/>
      <x:c r="L917" s="12"/>
      <x:c r="M917" s="12"/>
      <x:c r="N917" s="12"/>
      <x:c r="O917" s="12"/>
      <x:c r="P917" s="12"/>
      <x:c r="Q917" s="12"/>
      <x:c r="R917" s="12"/>
      <x:c r="S917" s="12"/>
      <x:c r="T917" s="12"/>
      <x:c r="U917" s="12"/>
      <x:c r="V917" s="12"/>
      <x:c r="W917" s="12"/>
      <x:c r="X917" s="12"/>
      <x:c r="Y917" s="12"/>
      <x:c r="Z917" s="12"/>
      <x:c r="AA917" s="12"/>
    </x:row>
    <x:row r="918">
      <x:c r="A918" s="12"/>
      <x:c r="B918" s="12"/>
      <x:c r="C918" s="12"/>
      <x:c r="D918" s="12"/>
      <x:c r="E918" s="12"/>
      <x:c r="F918" s="12"/>
      <x:c r="G918" s="17"/>
      <x:c r="H918" s="12"/>
      <x:c r="I918" s="12"/>
      <x:c r="J918" s="18"/>
      <x:c r="K918" s="12"/>
      <x:c r="L918" s="12"/>
      <x:c r="M918" s="12"/>
      <x:c r="N918" s="12"/>
      <x:c r="O918" s="12"/>
      <x:c r="P918" s="12"/>
      <x:c r="Q918" s="12"/>
      <x:c r="R918" s="12"/>
      <x:c r="S918" s="12"/>
      <x:c r="T918" s="12"/>
      <x:c r="U918" s="12"/>
      <x:c r="V918" s="12"/>
      <x:c r="W918" s="12"/>
      <x:c r="X918" s="12"/>
      <x:c r="Y918" s="12"/>
      <x:c r="Z918" s="12"/>
      <x:c r="AA918" s="12"/>
    </x:row>
    <x:row r="919">
      <x:c r="A919" s="12"/>
      <x:c r="B919" s="12"/>
      <x:c r="C919" s="12"/>
      <x:c r="D919" s="12"/>
      <x:c r="E919" s="12"/>
      <x:c r="F919" s="12"/>
      <x:c r="G919" s="17"/>
      <x:c r="H919" s="12"/>
      <x:c r="I919" s="12"/>
      <x:c r="J919" s="18"/>
      <x:c r="K919" s="12"/>
      <x:c r="L919" s="12"/>
      <x:c r="M919" s="12"/>
      <x:c r="N919" s="12"/>
      <x:c r="O919" s="12"/>
      <x:c r="P919" s="12"/>
      <x:c r="Q919" s="12"/>
      <x:c r="R919" s="12"/>
      <x:c r="S919" s="12"/>
      <x:c r="T919" s="12"/>
      <x:c r="U919" s="12"/>
      <x:c r="V919" s="12"/>
      <x:c r="W919" s="12"/>
      <x:c r="X919" s="12"/>
      <x:c r="Y919" s="12"/>
      <x:c r="Z919" s="12"/>
      <x:c r="AA919" s="12"/>
    </x:row>
    <x:row r="920">
      <x:c r="A920" s="12"/>
      <x:c r="B920" s="12"/>
      <x:c r="C920" s="12"/>
      <x:c r="D920" s="12"/>
      <x:c r="E920" s="12"/>
      <x:c r="F920" s="12"/>
      <x:c r="G920" s="17"/>
      <x:c r="H920" s="12"/>
      <x:c r="I920" s="12"/>
      <x:c r="J920" s="18"/>
      <x:c r="K920" s="12"/>
      <x:c r="L920" s="12"/>
      <x:c r="M920" s="12"/>
      <x:c r="N920" s="12"/>
      <x:c r="O920" s="12"/>
      <x:c r="P920" s="12"/>
      <x:c r="Q920" s="12"/>
      <x:c r="R920" s="12"/>
      <x:c r="S920" s="12"/>
      <x:c r="T920" s="12"/>
      <x:c r="U920" s="12"/>
      <x:c r="V920" s="12"/>
      <x:c r="W920" s="12"/>
      <x:c r="X920" s="12"/>
      <x:c r="Y920" s="12"/>
      <x:c r="Z920" s="12"/>
      <x:c r="AA920" s="12"/>
    </x:row>
    <x:row r="921">
      <x:c r="A921" s="12"/>
      <x:c r="B921" s="12"/>
      <x:c r="C921" s="12"/>
      <x:c r="D921" s="12"/>
      <x:c r="E921" s="12"/>
      <x:c r="F921" s="12"/>
      <x:c r="G921" s="17"/>
      <x:c r="H921" s="12"/>
      <x:c r="I921" s="12"/>
      <x:c r="J921" s="18"/>
      <x:c r="K921" s="12"/>
      <x:c r="L921" s="12"/>
      <x:c r="M921" s="12"/>
      <x:c r="N921" s="12"/>
      <x:c r="O921" s="12"/>
      <x:c r="P921" s="12"/>
      <x:c r="Q921" s="12"/>
      <x:c r="R921" s="12"/>
      <x:c r="S921" s="12"/>
      <x:c r="T921" s="12"/>
      <x:c r="U921" s="12"/>
      <x:c r="V921" s="12"/>
      <x:c r="W921" s="12"/>
      <x:c r="X921" s="12"/>
      <x:c r="Y921" s="12"/>
      <x:c r="Z921" s="12"/>
      <x:c r="AA921" s="12"/>
    </x:row>
    <x:row r="922">
      <x:c r="A922" s="12"/>
      <x:c r="B922" s="12"/>
      <x:c r="C922" s="12"/>
      <x:c r="D922" s="12"/>
      <x:c r="E922" s="12"/>
      <x:c r="F922" s="12"/>
      <x:c r="G922" s="17"/>
      <x:c r="H922" s="12"/>
      <x:c r="I922" s="12"/>
      <x:c r="J922" s="18"/>
      <x:c r="K922" s="12"/>
      <x:c r="L922" s="12"/>
      <x:c r="M922" s="12"/>
      <x:c r="N922" s="12"/>
      <x:c r="O922" s="12"/>
      <x:c r="P922" s="12"/>
      <x:c r="Q922" s="12"/>
      <x:c r="R922" s="12"/>
      <x:c r="S922" s="12"/>
      <x:c r="T922" s="12"/>
      <x:c r="U922" s="12"/>
      <x:c r="V922" s="12"/>
      <x:c r="W922" s="12"/>
      <x:c r="X922" s="12"/>
      <x:c r="Y922" s="12"/>
      <x:c r="Z922" s="12"/>
      <x:c r="AA922" s="12"/>
    </x:row>
    <x:row r="923">
      <x:c r="A923" s="12"/>
      <x:c r="B923" s="12"/>
      <x:c r="C923" s="12"/>
      <x:c r="D923" s="12"/>
      <x:c r="E923" s="12"/>
      <x:c r="F923" s="12"/>
      <x:c r="G923" s="17"/>
      <x:c r="H923" s="12"/>
      <x:c r="I923" s="12"/>
      <x:c r="J923" s="18"/>
      <x:c r="K923" s="12"/>
      <x:c r="L923" s="12"/>
      <x:c r="M923" s="12"/>
      <x:c r="N923" s="12"/>
      <x:c r="O923" s="12"/>
      <x:c r="P923" s="12"/>
      <x:c r="Q923" s="12"/>
      <x:c r="R923" s="12"/>
      <x:c r="S923" s="12"/>
      <x:c r="T923" s="12"/>
      <x:c r="U923" s="12"/>
      <x:c r="V923" s="12"/>
      <x:c r="W923" s="12"/>
      <x:c r="X923" s="12"/>
      <x:c r="Y923" s="12"/>
      <x:c r="Z923" s="12"/>
      <x:c r="AA923" s="12"/>
    </x:row>
    <x:row r="924">
      <x:c r="A924" s="12"/>
      <x:c r="B924" s="12"/>
      <x:c r="C924" s="12"/>
      <x:c r="D924" s="12"/>
      <x:c r="E924" s="12"/>
      <x:c r="F924" s="12"/>
      <x:c r="G924" s="17"/>
      <x:c r="H924" s="12"/>
      <x:c r="I924" s="12"/>
      <x:c r="J924" s="18"/>
      <x:c r="K924" s="12"/>
      <x:c r="L924" s="12"/>
      <x:c r="M924" s="12"/>
      <x:c r="N924" s="12"/>
      <x:c r="O924" s="12"/>
      <x:c r="P924" s="12"/>
      <x:c r="Q924" s="12"/>
      <x:c r="R924" s="12"/>
      <x:c r="S924" s="12"/>
      <x:c r="T924" s="12"/>
      <x:c r="U924" s="12"/>
      <x:c r="V924" s="12"/>
      <x:c r="W924" s="12"/>
      <x:c r="X924" s="12"/>
      <x:c r="Y924" s="12"/>
      <x:c r="Z924" s="12"/>
      <x:c r="AA924" s="12"/>
    </x:row>
    <x:row r="925">
      <x:c r="A925" s="12"/>
      <x:c r="B925" s="12"/>
      <x:c r="C925" s="12"/>
      <x:c r="D925" s="12"/>
      <x:c r="E925" s="12"/>
      <x:c r="F925" s="12"/>
      <x:c r="G925" s="17"/>
      <x:c r="H925" s="12"/>
      <x:c r="I925" s="12"/>
      <x:c r="J925" s="18"/>
      <x:c r="K925" s="12"/>
      <x:c r="L925" s="12"/>
      <x:c r="M925" s="12"/>
      <x:c r="N925" s="12"/>
      <x:c r="O925" s="12"/>
      <x:c r="P925" s="12"/>
      <x:c r="Q925" s="12"/>
      <x:c r="R925" s="12"/>
      <x:c r="S925" s="12"/>
      <x:c r="T925" s="12"/>
      <x:c r="U925" s="12"/>
      <x:c r="V925" s="12"/>
      <x:c r="W925" s="12"/>
      <x:c r="X925" s="12"/>
      <x:c r="Y925" s="12"/>
      <x:c r="Z925" s="12"/>
      <x:c r="AA925" s="12"/>
    </x:row>
    <x:row r="926">
      <x:c r="A926" s="12"/>
      <x:c r="B926" s="12"/>
      <x:c r="C926" s="12"/>
      <x:c r="D926" s="12"/>
      <x:c r="E926" s="12"/>
      <x:c r="F926" s="12"/>
      <x:c r="G926" s="17"/>
      <x:c r="H926" s="12"/>
      <x:c r="I926" s="12"/>
      <x:c r="J926" s="18"/>
      <x:c r="K926" s="12"/>
      <x:c r="L926" s="12"/>
      <x:c r="M926" s="12"/>
      <x:c r="N926" s="12"/>
      <x:c r="O926" s="12"/>
      <x:c r="P926" s="12"/>
      <x:c r="Q926" s="12"/>
      <x:c r="R926" s="12"/>
      <x:c r="S926" s="12"/>
      <x:c r="T926" s="12"/>
      <x:c r="U926" s="12"/>
      <x:c r="V926" s="12"/>
      <x:c r="W926" s="12"/>
      <x:c r="X926" s="12"/>
      <x:c r="Y926" s="12"/>
      <x:c r="Z926" s="12"/>
      <x:c r="AA926" s="12"/>
    </x:row>
    <x:row r="927">
      <x:c r="A927" s="12"/>
      <x:c r="B927" s="12"/>
      <x:c r="C927" s="12"/>
      <x:c r="D927" s="12"/>
      <x:c r="E927" s="12"/>
      <x:c r="F927" s="12"/>
      <x:c r="G927" s="17"/>
      <x:c r="H927" s="12"/>
      <x:c r="I927" s="12"/>
      <x:c r="J927" s="18"/>
      <x:c r="K927" s="12"/>
      <x:c r="L927" s="12"/>
      <x:c r="M927" s="12"/>
      <x:c r="N927" s="12"/>
      <x:c r="O927" s="12"/>
      <x:c r="P927" s="12"/>
      <x:c r="Q927" s="12"/>
      <x:c r="R927" s="12"/>
      <x:c r="S927" s="12"/>
      <x:c r="T927" s="12"/>
      <x:c r="U927" s="12"/>
      <x:c r="V927" s="12"/>
      <x:c r="W927" s="12"/>
      <x:c r="X927" s="12"/>
      <x:c r="Y927" s="12"/>
      <x:c r="Z927" s="12"/>
      <x:c r="AA927" s="12"/>
    </x:row>
    <x:row r="928">
      <x:c r="A928" s="12"/>
      <x:c r="B928" s="12"/>
      <x:c r="C928" s="12"/>
      <x:c r="D928" s="12"/>
      <x:c r="E928" s="12"/>
      <x:c r="F928" s="12"/>
      <x:c r="G928" s="17"/>
      <x:c r="H928" s="12"/>
      <x:c r="I928" s="12"/>
      <x:c r="J928" s="18"/>
      <x:c r="K928" s="12"/>
      <x:c r="L928" s="12"/>
      <x:c r="M928" s="12"/>
      <x:c r="N928" s="12"/>
      <x:c r="O928" s="12"/>
      <x:c r="P928" s="12"/>
      <x:c r="Q928" s="12"/>
      <x:c r="R928" s="12"/>
      <x:c r="S928" s="12"/>
      <x:c r="T928" s="12"/>
      <x:c r="U928" s="12"/>
      <x:c r="V928" s="12"/>
      <x:c r="W928" s="12"/>
      <x:c r="X928" s="12"/>
      <x:c r="Y928" s="12"/>
      <x:c r="Z928" s="12"/>
      <x:c r="AA928" s="12"/>
    </x:row>
    <x:row r="929">
      <x:c r="A929" s="12"/>
      <x:c r="B929" s="12"/>
      <x:c r="C929" s="12"/>
      <x:c r="D929" s="12"/>
      <x:c r="E929" s="12"/>
      <x:c r="F929" s="12"/>
      <x:c r="G929" s="17"/>
      <x:c r="H929" s="12"/>
      <x:c r="I929" s="12"/>
      <x:c r="J929" s="18"/>
      <x:c r="K929" s="12"/>
      <x:c r="L929" s="12"/>
      <x:c r="M929" s="12"/>
      <x:c r="N929" s="12"/>
      <x:c r="O929" s="12"/>
      <x:c r="P929" s="12"/>
      <x:c r="Q929" s="12"/>
      <x:c r="R929" s="12"/>
      <x:c r="S929" s="12"/>
      <x:c r="T929" s="12"/>
      <x:c r="U929" s="12"/>
      <x:c r="V929" s="12"/>
      <x:c r="W929" s="12"/>
      <x:c r="X929" s="12"/>
      <x:c r="Y929" s="12"/>
      <x:c r="Z929" s="12"/>
      <x:c r="AA929" s="12"/>
    </x:row>
    <x:row r="930">
      <x:c r="A930" s="12"/>
      <x:c r="B930" s="12"/>
      <x:c r="C930" s="12"/>
      <x:c r="D930" s="12"/>
      <x:c r="E930" s="12"/>
      <x:c r="F930" s="12"/>
      <x:c r="G930" s="17"/>
      <x:c r="H930" s="12"/>
      <x:c r="I930" s="12"/>
      <x:c r="J930" s="18"/>
      <x:c r="K930" s="12"/>
      <x:c r="L930" s="12"/>
      <x:c r="M930" s="12"/>
      <x:c r="N930" s="12"/>
      <x:c r="O930" s="12"/>
      <x:c r="P930" s="12"/>
      <x:c r="Q930" s="12"/>
      <x:c r="R930" s="12"/>
      <x:c r="S930" s="12"/>
      <x:c r="T930" s="12"/>
      <x:c r="U930" s="12"/>
      <x:c r="V930" s="12"/>
      <x:c r="W930" s="12"/>
      <x:c r="X930" s="12"/>
      <x:c r="Y930" s="12"/>
      <x:c r="Z930" s="12"/>
      <x:c r="AA930" s="12"/>
    </x:row>
    <x:row r="931">
      <x:c r="A931" s="12"/>
      <x:c r="B931" s="12"/>
      <x:c r="C931" s="12"/>
      <x:c r="D931" s="12"/>
      <x:c r="E931" s="12"/>
      <x:c r="F931" s="12"/>
      <x:c r="G931" s="17"/>
      <x:c r="H931" s="12"/>
      <x:c r="I931" s="12"/>
      <x:c r="J931" s="18"/>
      <x:c r="K931" s="12"/>
      <x:c r="L931" s="12"/>
      <x:c r="M931" s="12"/>
      <x:c r="N931" s="12"/>
      <x:c r="O931" s="12"/>
      <x:c r="P931" s="12"/>
      <x:c r="Q931" s="12"/>
      <x:c r="R931" s="12"/>
      <x:c r="S931" s="12"/>
      <x:c r="T931" s="12"/>
      <x:c r="U931" s="12"/>
      <x:c r="V931" s="12"/>
      <x:c r="W931" s="12"/>
      <x:c r="X931" s="12"/>
      <x:c r="Y931" s="12"/>
      <x:c r="Z931" s="12"/>
      <x:c r="AA931" s="12"/>
    </x:row>
    <x:row r="932">
      <x:c r="A932" s="12"/>
      <x:c r="B932" s="12"/>
      <x:c r="C932" s="12"/>
      <x:c r="D932" s="12"/>
      <x:c r="E932" s="12"/>
      <x:c r="F932" s="12"/>
      <x:c r="G932" s="17"/>
      <x:c r="H932" s="12"/>
      <x:c r="I932" s="12"/>
      <x:c r="J932" s="18"/>
      <x:c r="K932" s="12"/>
      <x:c r="L932" s="12"/>
      <x:c r="M932" s="12"/>
      <x:c r="N932" s="12"/>
      <x:c r="O932" s="12"/>
      <x:c r="P932" s="12"/>
      <x:c r="Q932" s="12"/>
      <x:c r="R932" s="12"/>
      <x:c r="S932" s="12"/>
      <x:c r="T932" s="12"/>
      <x:c r="U932" s="12"/>
      <x:c r="V932" s="12"/>
      <x:c r="W932" s="12"/>
      <x:c r="X932" s="12"/>
      <x:c r="Y932" s="12"/>
      <x:c r="Z932" s="12"/>
      <x:c r="AA932" s="12"/>
    </x:row>
    <x:row r="933">
      <x:c r="A933" s="12"/>
      <x:c r="B933" s="12"/>
      <x:c r="C933" s="12"/>
      <x:c r="D933" s="12"/>
      <x:c r="E933" s="12"/>
      <x:c r="F933" s="12"/>
      <x:c r="G933" s="17"/>
      <x:c r="H933" s="12"/>
      <x:c r="I933" s="12"/>
      <x:c r="J933" s="18"/>
      <x:c r="K933" s="12"/>
      <x:c r="L933" s="12"/>
      <x:c r="M933" s="12"/>
      <x:c r="N933" s="12"/>
      <x:c r="O933" s="12"/>
      <x:c r="P933" s="12"/>
      <x:c r="Q933" s="12"/>
      <x:c r="R933" s="12"/>
      <x:c r="S933" s="12"/>
      <x:c r="T933" s="12"/>
      <x:c r="U933" s="12"/>
      <x:c r="V933" s="12"/>
      <x:c r="W933" s="12"/>
      <x:c r="X933" s="12"/>
      <x:c r="Y933" s="12"/>
      <x:c r="Z933" s="12"/>
      <x:c r="AA933" s="12"/>
    </x:row>
    <x:row r="934">
      <x:c r="A934" s="12"/>
      <x:c r="B934" s="12"/>
      <x:c r="C934" s="12"/>
      <x:c r="D934" s="12"/>
      <x:c r="E934" s="12"/>
      <x:c r="F934" s="12"/>
      <x:c r="G934" s="17"/>
      <x:c r="H934" s="12"/>
      <x:c r="I934" s="12"/>
      <x:c r="J934" s="18"/>
      <x:c r="K934" s="12"/>
      <x:c r="L934" s="12"/>
      <x:c r="M934" s="12"/>
      <x:c r="N934" s="12"/>
      <x:c r="O934" s="12"/>
      <x:c r="P934" s="12"/>
      <x:c r="Q934" s="12"/>
      <x:c r="R934" s="12"/>
      <x:c r="S934" s="12"/>
      <x:c r="T934" s="12"/>
      <x:c r="U934" s="12"/>
      <x:c r="V934" s="12"/>
      <x:c r="W934" s="12"/>
      <x:c r="X934" s="12"/>
      <x:c r="Y934" s="12"/>
      <x:c r="Z934" s="12"/>
      <x:c r="AA934" s="12"/>
    </x:row>
    <x:row r="935">
      <x:c r="A935" s="12"/>
      <x:c r="B935" s="12"/>
      <x:c r="C935" s="12"/>
      <x:c r="D935" s="12"/>
      <x:c r="E935" s="12"/>
      <x:c r="F935" s="12"/>
      <x:c r="G935" s="17"/>
      <x:c r="H935" s="12"/>
      <x:c r="I935" s="12"/>
      <x:c r="J935" s="18"/>
      <x:c r="K935" s="12"/>
      <x:c r="L935" s="12"/>
      <x:c r="M935" s="12"/>
      <x:c r="N935" s="12"/>
      <x:c r="O935" s="12"/>
      <x:c r="P935" s="12"/>
      <x:c r="Q935" s="12"/>
      <x:c r="R935" s="12"/>
      <x:c r="S935" s="12"/>
      <x:c r="T935" s="12"/>
      <x:c r="U935" s="12"/>
      <x:c r="V935" s="12"/>
      <x:c r="W935" s="12"/>
      <x:c r="X935" s="12"/>
      <x:c r="Y935" s="12"/>
      <x:c r="Z935" s="12"/>
      <x:c r="AA935" s="12"/>
    </x:row>
    <x:row r="936">
      <x:c r="A936" s="12"/>
      <x:c r="B936" s="12"/>
      <x:c r="C936" s="12"/>
      <x:c r="D936" s="12"/>
      <x:c r="E936" s="12"/>
      <x:c r="F936" s="12"/>
      <x:c r="G936" s="17"/>
      <x:c r="H936" s="12"/>
      <x:c r="I936" s="12"/>
      <x:c r="J936" s="18"/>
      <x:c r="K936" s="12"/>
      <x:c r="L936" s="12"/>
      <x:c r="M936" s="12"/>
      <x:c r="N936" s="12"/>
      <x:c r="O936" s="12"/>
      <x:c r="P936" s="12"/>
      <x:c r="Q936" s="12"/>
      <x:c r="R936" s="12"/>
      <x:c r="S936" s="12"/>
      <x:c r="T936" s="12"/>
      <x:c r="U936" s="12"/>
      <x:c r="V936" s="12"/>
      <x:c r="W936" s="12"/>
      <x:c r="X936" s="12"/>
      <x:c r="Y936" s="12"/>
      <x:c r="Z936" s="12"/>
      <x:c r="AA936" s="12"/>
    </x:row>
    <x:row r="937">
      <x:c r="A937" s="12"/>
      <x:c r="B937" s="12"/>
      <x:c r="C937" s="12"/>
      <x:c r="D937" s="12"/>
      <x:c r="E937" s="12"/>
      <x:c r="F937" s="12"/>
      <x:c r="G937" s="17"/>
      <x:c r="H937" s="12"/>
      <x:c r="I937" s="12"/>
      <x:c r="J937" s="18"/>
      <x:c r="K937" s="12"/>
      <x:c r="L937" s="12"/>
      <x:c r="M937" s="12"/>
      <x:c r="N937" s="12"/>
      <x:c r="O937" s="12"/>
      <x:c r="P937" s="12"/>
      <x:c r="Q937" s="12"/>
      <x:c r="R937" s="12"/>
      <x:c r="S937" s="12"/>
      <x:c r="T937" s="12"/>
      <x:c r="U937" s="12"/>
      <x:c r="V937" s="12"/>
      <x:c r="W937" s="12"/>
      <x:c r="X937" s="12"/>
      <x:c r="Y937" s="12"/>
      <x:c r="Z937" s="12"/>
      <x:c r="AA937" s="12"/>
    </x:row>
    <x:row r="938">
      <x:c r="A938" s="12"/>
      <x:c r="B938" s="12"/>
      <x:c r="C938" s="12"/>
      <x:c r="D938" s="12"/>
      <x:c r="E938" s="12"/>
      <x:c r="F938" s="12"/>
      <x:c r="G938" s="17"/>
      <x:c r="H938" s="12"/>
      <x:c r="I938" s="12"/>
      <x:c r="J938" s="18"/>
      <x:c r="K938" s="12"/>
      <x:c r="L938" s="12"/>
      <x:c r="M938" s="12"/>
      <x:c r="N938" s="12"/>
      <x:c r="O938" s="12"/>
      <x:c r="P938" s="12"/>
      <x:c r="Q938" s="12"/>
      <x:c r="R938" s="12"/>
      <x:c r="S938" s="12"/>
      <x:c r="T938" s="12"/>
      <x:c r="U938" s="12"/>
      <x:c r="V938" s="12"/>
      <x:c r="W938" s="12"/>
      <x:c r="X938" s="12"/>
      <x:c r="Y938" s="12"/>
      <x:c r="Z938" s="12"/>
      <x:c r="AA938" s="12"/>
    </x:row>
    <x:row r="939">
      <x:c r="A939" s="12"/>
      <x:c r="B939" s="12"/>
      <x:c r="C939" s="12"/>
      <x:c r="D939" s="12"/>
      <x:c r="E939" s="12"/>
      <x:c r="F939" s="12"/>
      <x:c r="G939" s="17"/>
      <x:c r="H939" s="12"/>
      <x:c r="I939" s="12"/>
      <x:c r="J939" s="18"/>
      <x:c r="K939" s="12"/>
      <x:c r="L939" s="12"/>
      <x:c r="M939" s="12"/>
      <x:c r="N939" s="12"/>
      <x:c r="O939" s="12"/>
      <x:c r="P939" s="12"/>
      <x:c r="Q939" s="12"/>
      <x:c r="R939" s="12"/>
      <x:c r="S939" s="12"/>
      <x:c r="T939" s="12"/>
      <x:c r="U939" s="12"/>
      <x:c r="V939" s="12"/>
      <x:c r="W939" s="12"/>
      <x:c r="X939" s="12"/>
      <x:c r="Y939" s="12"/>
      <x:c r="Z939" s="12"/>
      <x:c r="AA939" s="12"/>
    </x:row>
    <x:row r="940">
      <x:c r="A940" s="12"/>
      <x:c r="B940" s="12"/>
      <x:c r="C940" s="12"/>
      <x:c r="D940" s="12"/>
      <x:c r="E940" s="12"/>
      <x:c r="F940" s="12"/>
      <x:c r="G940" s="17"/>
      <x:c r="H940" s="12"/>
      <x:c r="I940" s="12"/>
      <x:c r="J940" s="18"/>
      <x:c r="K940" s="12"/>
      <x:c r="L940" s="12"/>
      <x:c r="M940" s="12"/>
      <x:c r="N940" s="12"/>
      <x:c r="O940" s="12"/>
      <x:c r="P940" s="12"/>
      <x:c r="Q940" s="12"/>
      <x:c r="R940" s="12"/>
      <x:c r="S940" s="12"/>
      <x:c r="T940" s="12"/>
      <x:c r="U940" s="12"/>
      <x:c r="V940" s="12"/>
      <x:c r="W940" s="12"/>
      <x:c r="X940" s="12"/>
      <x:c r="Y940" s="12"/>
      <x:c r="Z940" s="12"/>
      <x:c r="AA940" s="12"/>
    </x:row>
    <x:row r="941">
      <x:c r="A941" s="12"/>
      <x:c r="B941" s="12"/>
      <x:c r="C941" s="12"/>
      <x:c r="D941" s="12"/>
      <x:c r="E941" s="12"/>
      <x:c r="F941" s="12"/>
      <x:c r="G941" s="17"/>
      <x:c r="H941" s="12"/>
      <x:c r="I941" s="12"/>
      <x:c r="J941" s="18"/>
      <x:c r="K941" s="12"/>
      <x:c r="L941" s="12"/>
      <x:c r="M941" s="12"/>
      <x:c r="N941" s="12"/>
      <x:c r="O941" s="12"/>
      <x:c r="P941" s="12"/>
      <x:c r="Q941" s="12"/>
      <x:c r="R941" s="12"/>
      <x:c r="S941" s="12"/>
      <x:c r="T941" s="12"/>
      <x:c r="U941" s="12"/>
      <x:c r="V941" s="12"/>
      <x:c r="W941" s="12"/>
      <x:c r="X941" s="12"/>
      <x:c r="Y941" s="12"/>
      <x:c r="Z941" s="12"/>
      <x:c r="AA941" s="12"/>
    </x:row>
    <x:row r="942">
      <x:c r="A942" s="12"/>
      <x:c r="B942" s="12"/>
      <x:c r="C942" s="12"/>
      <x:c r="D942" s="12"/>
      <x:c r="E942" s="12"/>
      <x:c r="F942" s="12"/>
      <x:c r="G942" s="17"/>
      <x:c r="H942" s="12"/>
      <x:c r="I942" s="12"/>
      <x:c r="J942" s="18"/>
      <x:c r="K942" s="12"/>
      <x:c r="L942" s="12"/>
      <x:c r="M942" s="12"/>
      <x:c r="N942" s="12"/>
      <x:c r="O942" s="12"/>
      <x:c r="P942" s="12"/>
      <x:c r="Q942" s="12"/>
      <x:c r="R942" s="12"/>
      <x:c r="S942" s="12"/>
      <x:c r="T942" s="12"/>
      <x:c r="U942" s="12"/>
      <x:c r="V942" s="12"/>
      <x:c r="W942" s="12"/>
      <x:c r="X942" s="12"/>
      <x:c r="Y942" s="12"/>
      <x:c r="Z942" s="12"/>
      <x:c r="AA942" s="12"/>
    </x:row>
    <x:row r="943">
      <x:c r="A943" s="12"/>
      <x:c r="B943" s="12"/>
      <x:c r="C943" s="12"/>
      <x:c r="D943" s="12"/>
      <x:c r="E943" s="12"/>
      <x:c r="F943" s="12"/>
      <x:c r="G943" s="17"/>
      <x:c r="H943" s="12"/>
      <x:c r="I943" s="12"/>
      <x:c r="J943" s="18"/>
      <x:c r="K943" s="12"/>
      <x:c r="L943" s="12"/>
      <x:c r="M943" s="12"/>
      <x:c r="N943" s="12"/>
      <x:c r="O943" s="12"/>
      <x:c r="P943" s="12"/>
      <x:c r="Q943" s="12"/>
      <x:c r="R943" s="12"/>
      <x:c r="S943" s="12"/>
      <x:c r="T943" s="12"/>
      <x:c r="U943" s="12"/>
      <x:c r="V943" s="12"/>
      <x:c r="W943" s="12"/>
      <x:c r="X943" s="12"/>
      <x:c r="Y943" s="12"/>
      <x:c r="Z943" s="12"/>
      <x:c r="AA943" s="12"/>
    </x:row>
    <x:row r="944">
      <x:c r="A944" s="12"/>
      <x:c r="B944" s="12"/>
      <x:c r="C944" s="12"/>
      <x:c r="D944" s="12"/>
      <x:c r="E944" s="12"/>
      <x:c r="F944" s="12"/>
      <x:c r="G944" s="17"/>
      <x:c r="H944" s="12"/>
      <x:c r="I944" s="12"/>
      <x:c r="J944" s="18"/>
      <x:c r="K944" s="12"/>
      <x:c r="L944" s="12"/>
      <x:c r="M944" s="12"/>
      <x:c r="N944" s="12"/>
      <x:c r="O944" s="12"/>
      <x:c r="P944" s="12"/>
      <x:c r="Q944" s="12"/>
      <x:c r="R944" s="12"/>
      <x:c r="S944" s="12"/>
      <x:c r="T944" s="12"/>
      <x:c r="U944" s="12"/>
      <x:c r="V944" s="12"/>
      <x:c r="W944" s="12"/>
      <x:c r="X944" s="12"/>
      <x:c r="Y944" s="12"/>
      <x:c r="Z944" s="12"/>
      <x:c r="AA944" s="12"/>
    </x:row>
    <x:row r="945">
      <x:c r="A945" s="12"/>
      <x:c r="B945" s="12"/>
      <x:c r="C945" s="12"/>
      <x:c r="D945" s="12"/>
      <x:c r="E945" s="12"/>
      <x:c r="F945" s="12"/>
      <x:c r="G945" s="17"/>
      <x:c r="H945" s="12"/>
      <x:c r="I945" s="12"/>
      <x:c r="J945" s="18"/>
      <x:c r="K945" s="12"/>
      <x:c r="L945" s="12"/>
      <x:c r="M945" s="12"/>
      <x:c r="N945" s="12"/>
      <x:c r="O945" s="12"/>
      <x:c r="P945" s="12"/>
      <x:c r="Q945" s="12"/>
      <x:c r="R945" s="12"/>
      <x:c r="S945" s="12"/>
      <x:c r="T945" s="12"/>
      <x:c r="U945" s="12"/>
      <x:c r="V945" s="12"/>
      <x:c r="W945" s="12"/>
      <x:c r="X945" s="12"/>
      <x:c r="Y945" s="12"/>
      <x:c r="Z945" s="12"/>
      <x:c r="AA945" s="12"/>
    </x:row>
    <x:row r="946">
      <x:c r="A946" s="12"/>
      <x:c r="B946" s="12"/>
      <x:c r="C946" s="12"/>
      <x:c r="D946" s="12"/>
      <x:c r="E946" s="12"/>
      <x:c r="F946" s="12"/>
      <x:c r="G946" s="17"/>
      <x:c r="H946" s="12"/>
      <x:c r="I946" s="12"/>
      <x:c r="J946" s="18"/>
      <x:c r="K946" s="12"/>
      <x:c r="L946" s="12"/>
      <x:c r="M946" s="12"/>
      <x:c r="N946" s="12"/>
      <x:c r="O946" s="12"/>
      <x:c r="P946" s="12"/>
      <x:c r="Q946" s="12"/>
      <x:c r="R946" s="12"/>
      <x:c r="S946" s="12"/>
      <x:c r="T946" s="12"/>
      <x:c r="U946" s="12"/>
      <x:c r="V946" s="12"/>
      <x:c r="W946" s="12"/>
      <x:c r="X946" s="12"/>
      <x:c r="Y946" s="12"/>
      <x:c r="Z946" s="12"/>
      <x:c r="AA946" s="12"/>
    </x:row>
    <x:row r="947">
      <x:c r="A947" s="12"/>
      <x:c r="B947" s="12"/>
      <x:c r="C947" s="12"/>
      <x:c r="D947" s="12"/>
      <x:c r="E947" s="12"/>
      <x:c r="F947" s="12"/>
      <x:c r="G947" s="17"/>
      <x:c r="H947" s="12"/>
      <x:c r="I947" s="12"/>
      <x:c r="J947" s="18"/>
      <x:c r="K947" s="12"/>
      <x:c r="L947" s="12"/>
      <x:c r="M947" s="12"/>
      <x:c r="N947" s="12"/>
      <x:c r="O947" s="12"/>
      <x:c r="P947" s="12"/>
      <x:c r="Q947" s="12"/>
      <x:c r="R947" s="12"/>
      <x:c r="S947" s="12"/>
      <x:c r="T947" s="12"/>
      <x:c r="U947" s="12"/>
      <x:c r="V947" s="12"/>
      <x:c r="W947" s="12"/>
      <x:c r="X947" s="12"/>
      <x:c r="Y947" s="12"/>
      <x:c r="Z947" s="12"/>
      <x:c r="AA947" s="12"/>
    </x:row>
    <x:row r="948">
      <x:c r="A948" s="12"/>
      <x:c r="B948" s="12"/>
      <x:c r="C948" s="12"/>
      <x:c r="D948" s="12"/>
      <x:c r="E948" s="12"/>
      <x:c r="F948" s="12"/>
      <x:c r="G948" s="17"/>
      <x:c r="H948" s="12"/>
      <x:c r="I948" s="12"/>
      <x:c r="J948" s="18"/>
      <x:c r="K948" s="12"/>
      <x:c r="L948" s="12"/>
      <x:c r="M948" s="12"/>
      <x:c r="N948" s="12"/>
      <x:c r="O948" s="12"/>
      <x:c r="P948" s="12"/>
      <x:c r="Q948" s="12"/>
      <x:c r="R948" s="12"/>
      <x:c r="S948" s="12"/>
      <x:c r="T948" s="12"/>
      <x:c r="U948" s="12"/>
      <x:c r="V948" s="12"/>
      <x:c r="W948" s="12"/>
      <x:c r="X948" s="12"/>
      <x:c r="Y948" s="12"/>
      <x:c r="Z948" s="12"/>
      <x:c r="AA948" s="12"/>
    </x:row>
    <x:row r="949">
      <x:c r="A949" s="12"/>
      <x:c r="B949" s="12"/>
      <x:c r="C949" s="12"/>
      <x:c r="D949" s="12"/>
      <x:c r="E949" s="12"/>
      <x:c r="F949" s="12"/>
      <x:c r="G949" s="17"/>
      <x:c r="H949" s="12"/>
      <x:c r="I949" s="12"/>
      <x:c r="J949" s="18"/>
      <x:c r="K949" s="12"/>
      <x:c r="L949" s="12"/>
      <x:c r="M949" s="12"/>
      <x:c r="N949" s="12"/>
      <x:c r="O949" s="12"/>
      <x:c r="P949" s="12"/>
      <x:c r="Q949" s="12"/>
      <x:c r="R949" s="12"/>
      <x:c r="S949" s="12"/>
      <x:c r="T949" s="12"/>
      <x:c r="U949" s="12"/>
      <x:c r="V949" s="12"/>
      <x:c r="W949" s="12"/>
      <x:c r="X949" s="12"/>
      <x:c r="Y949" s="12"/>
      <x:c r="Z949" s="12"/>
      <x:c r="AA949" s="12"/>
    </x:row>
    <x:row r="950">
      <x:c r="A950" s="12"/>
      <x:c r="B950" s="12"/>
      <x:c r="C950" s="12"/>
      <x:c r="D950" s="12"/>
      <x:c r="E950" s="12"/>
      <x:c r="F950" s="12"/>
      <x:c r="G950" s="17"/>
      <x:c r="H950" s="12"/>
      <x:c r="I950" s="12"/>
      <x:c r="J950" s="18"/>
      <x:c r="K950" s="12"/>
      <x:c r="L950" s="12"/>
      <x:c r="M950" s="12"/>
      <x:c r="N950" s="12"/>
      <x:c r="O950" s="12"/>
      <x:c r="P950" s="12"/>
      <x:c r="Q950" s="12"/>
      <x:c r="R950" s="12"/>
      <x:c r="S950" s="12"/>
      <x:c r="T950" s="12"/>
      <x:c r="U950" s="12"/>
      <x:c r="V950" s="12"/>
      <x:c r="W950" s="12"/>
      <x:c r="X950" s="12"/>
      <x:c r="Y950" s="12"/>
      <x:c r="Z950" s="12"/>
      <x:c r="AA950" s="12"/>
    </x:row>
    <x:row r="951">
      <x:c r="A951" s="12"/>
      <x:c r="B951" s="12"/>
      <x:c r="C951" s="12"/>
      <x:c r="D951" s="12"/>
      <x:c r="E951" s="12"/>
      <x:c r="F951" s="12"/>
      <x:c r="G951" s="17"/>
      <x:c r="H951" s="12"/>
      <x:c r="I951" s="12"/>
      <x:c r="J951" s="18"/>
      <x:c r="K951" s="12"/>
      <x:c r="L951" s="12"/>
      <x:c r="M951" s="12"/>
      <x:c r="N951" s="12"/>
      <x:c r="O951" s="12"/>
      <x:c r="P951" s="12"/>
      <x:c r="Q951" s="12"/>
      <x:c r="R951" s="12"/>
      <x:c r="S951" s="12"/>
      <x:c r="T951" s="12"/>
      <x:c r="U951" s="12"/>
      <x:c r="V951" s="12"/>
      <x:c r="W951" s="12"/>
      <x:c r="X951" s="12"/>
      <x:c r="Y951" s="12"/>
      <x:c r="Z951" s="12"/>
      <x:c r="AA951" s="12"/>
    </x:row>
    <x:row r="952">
      <x:c r="A952" s="12"/>
      <x:c r="B952" s="12"/>
      <x:c r="C952" s="12"/>
      <x:c r="D952" s="12"/>
      <x:c r="E952" s="12"/>
      <x:c r="F952" s="12"/>
      <x:c r="G952" s="17"/>
      <x:c r="H952" s="12"/>
      <x:c r="I952" s="12"/>
      <x:c r="J952" s="18"/>
      <x:c r="K952" s="12"/>
      <x:c r="L952" s="12"/>
      <x:c r="M952" s="12"/>
      <x:c r="N952" s="12"/>
      <x:c r="O952" s="12"/>
      <x:c r="P952" s="12"/>
      <x:c r="Q952" s="12"/>
      <x:c r="R952" s="12"/>
      <x:c r="S952" s="12"/>
      <x:c r="T952" s="12"/>
      <x:c r="U952" s="12"/>
      <x:c r="V952" s="12"/>
      <x:c r="W952" s="12"/>
      <x:c r="X952" s="12"/>
      <x:c r="Y952" s="12"/>
      <x:c r="Z952" s="12"/>
      <x:c r="AA952" s="12"/>
    </x:row>
    <x:row r="953">
      <x:c r="A953" s="12"/>
      <x:c r="B953" s="12"/>
      <x:c r="C953" s="12"/>
      <x:c r="D953" s="12"/>
      <x:c r="E953" s="12"/>
      <x:c r="F953" s="12"/>
      <x:c r="G953" s="17"/>
      <x:c r="H953" s="12"/>
      <x:c r="I953" s="12"/>
      <x:c r="J953" s="18"/>
      <x:c r="K953" s="12"/>
      <x:c r="L953" s="12"/>
      <x:c r="M953" s="12"/>
      <x:c r="N953" s="12"/>
      <x:c r="O953" s="12"/>
      <x:c r="P953" s="12"/>
      <x:c r="Q953" s="12"/>
      <x:c r="R953" s="12"/>
      <x:c r="S953" s="12"/>
      <x:c r="T953" s="12"/>
      <x:c r="U953" s="12"/>
      <x:c r="V953" s="12"/>
      <x:c r="W953" s="12"/>
      <x:c r="X953" s="12"/>
      <x:c r="Y953" s="12"/>
      <x:c r="Z953" s="12"/>
      <x:c r="AA953" s="12"/>
    </x:row>
    <x:row r="954">
      <x:c r="A954" s="12"/>
      <x:c r="B954" s="12"/>
      <x:c r="C954" s="12"/>
      <x:c r="D954" s="12"/>
      <x:c r="E954" s="12"/>
      <x:c r="F954" s="12"/>
      <x:c r="G954" s="17"/>
      <x:c r="H954" s="12"/>
      <x:c r="I954" s="12"/>
      <x:c r="J954" s="18"/>
      <x:c r="K954" s="12"/>
      <x:c r="L954" s="12"/>
      <x:c r="M954" s="12"/>
      <x:c r="N954" s="12"/>
      <x:c r="O954" s="12"/>
      <x:c r="P954" s="12"/>
      <x:c r="Q954" s="12"/>
      <x:c r="R954" s="12"/>
      <x:c r="S954" s="12"/>
      <x:c r="T954" s="12"/>
      <x:c r="U954" s="12"/>
      <x:c r="V954" s="12"/>
      <x:c r="W954" s="12"/>
      <x:c r="X954" s="12"/>
      <x:c r="Y954" s="12"/>
      <x:c r="Z954" s="12"/>
      <x:c r="AA954" s="12"/>
    </x:row>
    <x:row r="955">
      <x:c r="A955" s="12"/>
      <x:c r="B955" s="12"/>
      <x:c r="C955" s="12"/>
      <x:c r="D955" s="12"/>
      <x:c r="E955" s="12"/>
      <x:c r="F955" s="12"/>
      <x:c r="G955" s="17"/>
      <x:c r="H955" s="12"/>
      <x:c r="I955" s="12"/>
      <x:c r="J955" s="18"/>
      <x:c r="K955" s="12"/>
      <x:c r="L955" s="12"/>
      <x:c r="M955" s="12"/>
      <x:c r="N955" s="12"/>
      <x:c r="O955" s="12"/>
      <x:c r="P955" s="12"/>
      <x:c r="Q955" s="12"/>
      <x:c r="R955" s="12"/>
      <x:c r="S955" s="12"/>
      <x:c r="T955" s="12"/>
      <x:c r="U955" s="12"/>
      <x:c r="V955" s="12"/>
      <x:c r="W955" s="12"/>
      <x:c r="X955" s="12"/>
      <x:c r="Y955" s="12"/>
      <x:c r="Z955" s="12"/>
      <x:c r="AA955" s="12"/>
    </x:row>
    <x:row r="956">
      <x:c r="A956" s="12"/>
      <x:c r="B956" s="12"/>
      <x:c r="C956" s="12"/>
      <x:c r="D956" s="12"/>
      <x:c r="E956" s="12"/>
      <x:c r="F956" s="12"/>
      <x:c r="G956" s="17"/>
      <x:c r="H956" s="12"/>
      <x:c r="I956" s="12"/>
      <x:c r="J956" s="18"/>
      <x:c r="K956" s="12"/>
      <x:c r="L956" s="12"/>
      <x:c r="M956" s="12"/>
      <x:c r="N956" s="12"/>
      <x:c r="O956" s="12"/>
      <x:c r="P956" s="12"/>
      <x:c r="Q956" s="12"/>
      <x:c r="R956" s="12"/>
      <x:c r="S956" s="12"/>
      <x:c r="T956" s="12"/>
      <x:c r="U956" s="12"/>
      <x:c r="V956" s="12"/>
      <x:c r="W956" s="12"/>
      <x:c r="X956" s="12"/>
      <x:c r="Y956" s="12"/>
      <x:c r="Z956" s="12"/>
      <x:c r="AA956" s="12"/>
    </x:row>
    <x:row r="957">
      <x:c r="A957" s="12"/>
      <x:c r="B957" s="12"/>
      <x:c r="C957" s="12"/>
      <x:c r="D957" s="12"/>
      <x:c r="E957" s="12"/>
      <x:c r="F957" s="12"/>
      <x:c r="G957" s="17"/>
      <x:c r="H957" s="12"/>
      <x:c r="I957" s="12"/>
      <x:c r="J957" s="18"/>
      <x:c r="K957" s="12"/>
      <x:c r="L957" s="12"/>
      <x:c r="M957" s="12"/>
      <x:c r="N957" s="12"/>
      <x:c r="O957" s="12"/>
      <x:c r="P957" s="12"/>
      <x:c r="Q957" s="12"/>
      <x:c r="R957" s="12"/>
      <x:c r="S957" s="12"/>
      <x:c r="T957" s="12"/>
      <x:c r="U957" s="12"/>
      <x:c r="V957" s="12"/>
      <x:c r="W957" s="12"/>
      <x:c r="X957" s="12"/>
      <x:c r="Y957" s="12"/>
      <x:c r="Z957" s="12"/>
      <x:c r="AA957" s="12"/>
    </x:row>
    <x:row r="958">
      <x:c r="A958" s="12"/>
      <x:c r="B958" s="12"/>
      <x:c r="C958" s="12"/>
      <x:c r="D958" s="12"/>
      <x:c r="E958" s="12"/>
      <x:c r="F958" s="12"/>
      <x:c r="G958" s="17"/>
      <x:c r="H958" s="12"/>
      <x:c r="I958" s="12"/>
      <x:c r="J958" s="18"/>
      <x:c r="K958" s="12"/>
      <x:c r="L958" s="12"/>
      <x:c r="M958" s="12"/>
      <x:c r="N958" s="12"/>
      <x:c r="O958" s="12"/>
      <x:c r="P958" s="12"/>
      <x:c r="Q958" s="12"/>
      <x:c r="R958" s="12"/>
      <x:c r="S958" s="12"/>
      <x:c r="T958" s="12"/>
      <x:c r="U958" s="12"/>
      <x:c r="V958" s="12"/>
      <x:c r="W958" s="12"/>
      <x:c r="X958" s="12"/>
      <x:c r="Y958" s="12"/>
      <x:c r="Z958" s="12"/>
      <x:c r="AA958" s="12"/>
    </x:row>
    <x:row r="959">
      <x:c r="A959" s="12"/>
      <x:c r="B959" s="12"/>
      <x:c r="C959" s="12"/>
      <x:c r="D959" s="12"/>
      <x:c r="E959" s="12"/>
      <x:c r="F959" s="12"/>
      <x:c r="G959" s="17"/>
      <x:c r="H959" s="12"/>
      <x:c r="I959" s="12"/>
      <x:c r="J959" s="18"/>
      <x:c r="K959" s="12"/>
      <x:c r="L959" s="12"/>
      <x:c r="M959" s="12"/>
      <x:c r="N959" s="12"/>
      <x:c r="O959" s="12"/>
      <x:c r="P959" s="12"/>
      <x:c r="Q959" s="12"/>
      <x:c r="R959" s="12"/>
      <x:c r="S959" s="12"/>
      <x:c r="T959" s="12"/>
      <x:c r="U959" s="12"/>
      <x:c r="V959" s="12"/>
      <x:c r="W959" s="12"/>
      <x:c r="X959" s="12"/>
      <x:c r="Y959" s="12"/>
      <x:c r="Z959" s="12"/>
      <x:c r="AA959" s="12"/>
    </x:row>
    <x:row r="960">
      <x:c r="A960" s="12"/>
      <x:c r="B960" s="12"/>
      <x:c r="C960" s="12"/>
      <x:c r="D960" s="12"/>
      <x:c r="E960" s="12"/>
      <x:c r="F960" s="12"/>
      <x:c r="G960" s="17"/>
      <x:c r="H960" s="12"/>
      <x:c r="I960" s="12"/>
      <x:c r="J960" s="18"/>
      <x:c r="K960" s="12"/>
      <x:c r="L960" s="12"/>
      <x:c r="M960" s="12"/>
      <x:c r="N960" s="12"/>
      <x:c r="O960" s="12"/>
      <x:c r="P960" s="12"/>
      <x:c r="Q960" s="12"/>
      <x:c r="R960" s="12"/>
      <x:c r="S960" s="12"/>
      <x:c r="T960" s="12"/>
      <x:c r="U960" s="12"/>
      <x:c r="V960" s="12"/>
      <x:c r="W960" s="12"/>
      <x:c r="X960" s="12"/>
      <x:c r="Y960" s="12"/>
      <x:c r="Z960" s="12"/>
      <x:c r="AA960" s="12"/>
    </x:row>
    <x:row r="961">
      <x:c r="A961" s="12"/>
      <x:c r="B961" s="12"/>
      <x:c r="C961" s="12"/>
      <x:c r="D961" s="12"/>
      <x:c r="E961" s="12"/>
      <x:c r="F961" s="12"/>
      <x:c r="G961" s="17"/>
      <x:c r="H961" s="12"/>
      <x:c r="I961" s="12"/>
      <x:c r="J961" s="18"/>
      <x:c r="K961" s="12"/>
      <x:c r="L961" s="12"/>
      <x:c r="M961" s="12"/>
      <x:c r="N961" s="12"/>
      <x:c r="O961" s="12"/>
      <x:c r="P961" s="12"/>
      <x:c r="Q961" s="12"/>
      <x:c r="R961" s="12"/>
      <x:c r="S961" s="12"/>
      <x:c r="T961" s="12"/>
      <x:c r="U961" s="12"/>
      <x:c r="V961" s="12"/>
      <x:c r="W961" s="12"/>
      <x:c r="X961" s="12"/>
      <x:c r="Y961" s="12"/>
      <x:c r="Z961" s="12"/>
      <x:c r="AA961" s="12"/>
    </x:row>
    <x:row r="962">
      <x:c r="A962" s="12"/>
      <x:c r="B962" s="12"/>
      <x:c r="C962" s="12"/>
      <x:c r="D962" s="12"/>
      <x:c r="E962" s="12"/>
      <x:c r="F962" s="12"/>
      <x:c r="G962" s="17"/>
      <x:c r="H962" s="12"/>
      <x:c r="I962" s="12"/>
      <x:c r="J962" s="18"/>
      <x:c r="K962" s="12"/>
      <x:c r="L962" s="12"/>
      <x:c r="M962" s="12"/>
      <x:c r="N962" s="12"/>
      <x:c r="O962" s="12"/>
      <x:c r="P962" s="12"/>
      <x:c r="Q962" s="12"/>
      <x:c r="R962" s="12"/>
      <x:c r="S962" s="12"/>
      <x:c r="T962" s="12"/>
      <x:c r="U962" s="12"/>
      <x:c r="V962" s="12"/>
      <x:c r="W962" s="12"/>
      <x:c r="X962" s="12"/>
      <x:c r="Y962" s="12"/>
      <x:c r="Z962" s="12"/>
      <x:c r="AA962" s="12"/>
    </x:row>
    <x:row r="963">
      <x:c r="A963" s="12"/>
      <x:c r="B963" s="12"/>
      <x:c r="C963" s="12"/>
      <x:c r="D963" s="12"/>
      <x:c r="E963" s="12"/>
      <x:c r="F963" s="12"/>
      <x:c r="G963" s="17"/>
      <x:c r="H963" s="12"/>
      <x:c r="I963" s="12"/>
      <x:c r="J963" s="18"/>
      <x:c r="K963" s="12"/>
      <x:c r="L963" s="12"/>
      <x:c r="M963" s="12"/>
      <x:c r="N963" s="12"/>
      <x:c r="O963" s="12"/>
      <x:c r="P963" s="12"/>
      <x:c r="Q963" s="12"/>
      <x:c r="R963" s="12"/>
      <x:c r="S963" s="12"/>
      <x:c r="T963" s="12"/>
      <x:c r="U963" s="12"/>
      <x:c r="V963" s="12"/>
      <x:c r="W963" s="12"/>
      <x:c r="X963" s="12"/>
      <x:c r="Y963" s="12"/>
      <x:c r="Z963" s="12"/>
      <x:c r="AA963" s="12"/>
    </x:row>
    <x:row r="964">
      <x:c r="A964" s="12"/>
      <x:c r="B964" s="12"/>
      <x:c r="C964" s="12"/>
      <x:c r="D964" s="12"/>
      <x:c r="E964" s="12"/>
      <x:c r="F964" s="12"/>
      <x:c r="G964" s="17"/>
      <x:c r="H964" s="12"/>
      <x:c r="I964" s="12"/>
      <x:c r="J964" s="18"/>
      <x:c r="K964" s="12"/>
      <x:c r="L964" s="12"/>
      <x:c r="M964" s="12"/>
      <x:c r="N964" s="12"/>
      <x:c r="O964" s="12"/>
      <x:c r="P964" s="12"/>
      <x:c r="Q964" s="12"/>
      <x:c r="R964" s="12"/>
      <x:c r="S964" s="12"/>
      <x:c r="T964" s="12"/>
      <x:c r="U964" s="12"/>
      <x:c r="V964" s="12"/>
      <x:c r="W964" s="12"/>
      <x:c r="X964" s="12"/>
      <x:c r="Y964" s="12"/>
      <x:c r="Z964" s="12"/>
      <x:c r="AA964" s="12"/>
    </x:row>
    <x:row r="965">
      <x:c r="A965" s="12"/>
      <x:c r="B965" s="12"/>
      <x:c r="C965" s="12"/>
      <x:c r="D965" s="12"/>
      <x:c r="E965" s="12"/>
      <x:c r="F965" s="12"/>
      <x:c r="G965" s="17"/>
      <x:c r="H965" s="12"/>
      <x:c r="I965" s="12"/>
      <x:c r="J965" s="18"/>
      <x:c r="K965" s="12"/>
      <x:c r="L965" s="12"/>
      <x:c r="M965" s="12"/>
      <x:c r="N965" s="12"/>
      <x:c r="O965" s="12"/>
      <x:c r="P965" s="12"/>
      <x:c r="Q965" s="12"/>
      <x:c r="R965" s="12"/>
      <x:c r="S965" s="12"/>
      <x:c r="T965" s="12"/>
      <x:c r="U965" s="12"/>
      <x:c r="V965" s="12"/>
      <x:c r="W965" s="12"/>
      <x:c r="X965" s="12"/>
      <x:c r="Y965" s="12"/>
      <x:c r="Z965" s="12"/>
      <x:c r="AA965" s="12"/>
    </x:row>
    <x:row r="966">
      <x:c r="A966" s="12"/>
      <x:c r="B966" s="12"/>
      <x:c r="C966" s="12"/>
      <x:c r="D966" s="12"/>
      <x:c r="E966" s="12"/>
      <x:c r="F966" s="12"/>
      <x:c r="G966" s="17"/>
      <x:c r="H966" s="12"/>
      <x:c r="I966" s="12"/>
      <x:c r="J966" s="18"/>
      <x:c r="K966" s="12"/>
      <x:c r="L966" s="12"/>
      <x:c r="M966" s="12"/>
      <x:c r="N966" s="12"/>
      <x:c r="O966" s="12"/>
      <x:c r="P966" s="12"/>
      <x:c r="Q966" s="12"/>
      <x:c r="R966" s="12"/>
      <x:c r="S966" s="12"/>
      <x:c r="T966" s="12"/>
      <x:c r="U966" s="12"/>
      <x:c r="V966" s="12"/>
      <x:c r="W966" s="12"/>
      <x:c r="X966" s="12"/>
      <x:c r="Y966" s="12"/>
      <x:c r="Z966" s="12"/>
      <x:c r="AA966" s="12"/>
    </x:row>
    <x:row r="967">
      <x:c r="A967" s="12"/>
      <x:c r="B967" s="12"/>
      <x:c r="C967" s="12"/>
      <x:c r="D967" s="12"/>
      <x:c r="E967" s="12"/>
      <x:c r="F967" s="12"/>
      <x:c r="G967" s="17"/>
      <x:c r="H967" s="12"/>
      <x:c r="I967" s="12"/>
      <x:c r="J967" s="18"/>
      <x:c r="K967" s="12"/>
      <x:c r="L967" s="12"/>
      <x:c r="M967" s="12"/>
      <x:c r="N967" s="12"/>
      <x:c r="O967" s="12"/>
      <x:c r="P967" s="12"/>
      <x:c r="Q967" s="12"/>
      <x:c r="R967" s="12"/>
      <x:c r="S967" s="12"/>
      <x:c r="T967" s="12"/>
      <x:c r="U967" s="12"/>
      <x:c r="V967" s="12"/>
      <x:c r="W967" s="12"/>
      <x:c r="X967" s="12"/>
      <x:c r="Y967" s="12"/>
      <x:c r="Z967" s="12"/>
      <x:c r="AA967" s="12"/>
    </x:row>
    <x:row r="968">
      <x:c r="A968" s="12"/>
      <x:c r="B968" s="12"/>
      <x:c r="C968" s="12"/>
      <x:c r="D968" s="12"/>
      <x:c r="E968" s="12"/>
      <x:c r="F968" s="12"/>
      <x:c r="G968" s="17"/>
      <x:c r="H968" s="12"/>
      <x:c r="I968" s="12"/>
      <x:c r="J968" s="18"/>
      <x:c r="K968" s="12"/>
      <x:c r="L968" s="12"/>
      <x:c r="M968" s="12"/>
      <x:c r="N968" s="12"/>
      <x:c r="O968" s="12"/>
      <x:c r="P968" s="12"/>
      <x:c r="Q968" s="12"/>
      <x:c r="R968" s="12"/>
      <x:c r="S968" s="12"/>
      <x:c r="T968" s="12"/>
      <x:c r="U968" s="12"/>
      <x:c r="V968" s="12"/>
      <x:c r="W968" s="12"/>
      <x:c r="X968" s="12"/>
      <x:c r="Y968" s="12"/>
      <x:c r="Z968" s="12"/>
      <x:c r="AA968" s="12"/>
    </x:row>
    <x:row r="969">
      <x:c r="A969" s="12"/>
      <x:c r="B969" s="12"/>
      <x:c r="C969" s="12"/>
      <x:c r="D969" s="12"/>
      <x:c r="E969" s="12"/>
      <x:c r="F969" s="12"/>
      <x:c r="G969" s="17"/>
      <x:c r="H969" s="12"/>
      <x:c r="I969" s="12"/>
      <x:c r="J969" s="18"/>
      <x:c r="K969" s="12"/>
      <x:c r="L969" s="12"/>
      <x:c r="M969" s="12"/>
      <x:c r="N969" s="12"/>
      <x:c r="O969" s="12"/>
      <x:c r="P969" s="12"/>
      <x:c r="Q969" s="12"/>
      <x:c r="R969" s="12"/>
      <x:c r="S969" s="12"/>
      <x:c r="T969" s="12"/>
      <x:c r="U969" s="12"/>
      <x:c r="V969" s="12"/>
      <x:c r="W969" s="12"/>
      <x:c r="X969" s="12"/>
      <x:c r="Y969" s="12"/>
      <x:c r="Z969" s="12"/>
      <x:c r="AA969" s="12"/>
    </x:row>
    <x:row r="970">
      <x:c r="A970" s="12"/>
      <x:c r="B970" s="12"/>
      <x:c r="C970" s="12"/>
      <x:c r="D970" s="12"/>
      <x:c r="E970" s="12"/>
      <x:c r="F970" s="12"/>
      <x:c r="G970" s="17"/>
      <x:c r="H970" s="12"/>
      <x:c r="I970" s="12"/>
      <x:c r="J970" s="18"/>
      <x:c r="K970" s="12"/>
      <x:c r="L970" s="12"/>
      <x:c r="M970" s="12"/>
      <x:c r="N970" s="12"/>
      <x:c r="O970" s="12"/>
      <x:c r="P970" s="12"/>
      <x:c r="Q970" s="12"/>
      <x:c r="R970" s="12"/>
      <x:c r="S970" s="12"/>
      <x:c r="T970" s="12"/>
      <x:c r="U970" s="12"/>
      <x:c r="V970" s="12"/>
      <x:c r="W970" s="12"/>
      <x:c r="X970" s="12"/>
      <x:c r="Y970" s="12"/>
      <x:c r="Z970" s="12"/>
      <x:c r="AA970" s="12"/>
    </x:row>
    <x:row r="971">
      <x:c r="A971" s="12"/>
      <x:c r="B971" s="12"/>
      <x:c r="C971" s="12"/>
      <x:c r="D971" s="12"/>
      <x:c r="E971" s="12"/>
      <x:c r="F971" s="12"/>
      <x:c r="G971" s="17"/>
      <x:c r="H971" s="12"/>
      <x:c r="I971" s="12"/>
      <x:c r="J971" s="18"/>
      <x:c r="K971" s="12"/>
      <x:c r="L971" s="12"/>
      <x:c r="M971" s="12"/>
      <x:c r="N971" s="12"/>
      <x:c r="O971" s="12"/>
      <x:c r="P971" s="12"/>
      <x:c r="Q971" s="12"/>
      <x:c r="R971" s="12"/>
      <x:c r="S971" s="12"/>
      <x:c r="T971" s="12"/>
      <x:c r="U971" s="12"/>
      <x:c r="V971" s="12"/>
      <x:c r="W971" s="12"/>
      <x:c r="X971" s="12"/>
      <x:c r="Y971" s="12"/>
      <x:c r="Z971" s="12"/>
      <x:c r="AA971" s="12"/>
    </x:row>
    <x:row r="972">
      <x:c r="A972" s="12"/>
      <x:c r="B972" s="12"/>
      <x:c r="C972" s="12"/>
      <x:c r="D972" s="12"/>
      <x:c r="E972" s="12"/>
      <x:c r="F972" s="12"/>
      <x:c r="G972" s="17"/>
      <x:c r="H972" s="12"/>
      <x:c r="I972" s="12"/>
      <x:c r="J972" s="18"/>
      <x:c r="K972" s="12"/>
      <x:c r="L972" s="12"/>
      <x:c r="M972" s="12"/>
      <x:c r="N972" s="12"/>
      <x:c r="O972" s="12"/>
      <x:c r="P972" s="12"/>
      <x:c r="Q972" s="12"/>
      <x:c r="R972" s="12"/>
      <x:c r="S972" s="12"/>
      <x:c r="T972" s="12"/>
      <x:c r="U972" s="12"/>
      <x:c r="V972" s="12"/>
      <x:c r="W972" s="12"/>
      <x:c r="X972" s="12"/>
      <x:c r="Y972" s="12"/>
      <x:c r="Z972" s="12"/>
      <x:c r="AA972" s="12"/>
    </x:row>
    <x:row r="973">
      <x:c r="A973" s="12"/>
      <x:c r="B973" s="12"/>
      <x:c r="C973" s="12"/>
      <x:c r="D973" s="12"/>
      <x:c r="E973" s="12"/>
      <x:c r="F973" s="12"/>
      <x:c r="G973" s="17"/>
      <x:c r="H973" s="12"/>
      <x:c r="I973" s="12"/>
      <x:c r="J973" s="18"/>
      <x:c r="K973" s="12"/>
      <x:c r="L973" s="12"/>
      <x:c r="M973" s="12"/>
      <x:c r="N973" s="12"/>
      <x:c r="O973" s="12"/>
      <x:c r="P973" s="12"/>
      <x:c r="Q973" s="12"/>
      <x:c r="R973" s="12"/>
      <x:c r="S973" s="12"/>
      <x:c r="T973" s="12"/>
      <x:c r="U973" s="12"/>
      <x:c r="V973" s="12"/>
      <x:c r="W973" s="12"/>
      <x:c r="X973" s="12"/>
      <x:c r="Y973" s="12"/>
      <x:c r="Z973" s="12"/>
      <x:c r="AA973" s="12"/>
    </x:row>
    <x:row r="974">
      <x:c r="A974" s="12"/>
      <x:c r="B974" s="12"/>
      <x:c r="C974" s="12"/>
      <x:c r="D974" s="12"/>
      <x:c r="E974" s="12"/>
      <x:c r="F974" s="12"/>
      <x:c r="G974" s="17"/>
      <x:c r="H974" s="12"/>
      <x:c r="I974" s="12"/>
      <x:c r="J974" s="18"/>
      <x:c r="K974" s="12"/>
      <x:c r="L974" s="12"/>
      <x:c r="M974" s="12"/>
      <x:c r="N974" s="12"/>
      <x:c r="O974" s="12"/>
      <x:c r="P974" s="12"/>
      <x:c r="Q974" s="12"/>
      <x:c r="R974" s="12"/>
      <x:c r="S974" s="12"/>
      <x:c r="T974" s="12"/>
      <x:c r="U974" s="12"/>
      <x:c r="V974" s="12"/>
      <x:c r="W974" s="12"/>
      <x:c r="X974" s="12"/>
      <x:c r="Y974" s="12"/>
      <x:c r="Z974" s="12"/>
      <x:c r="AA974" s="12"/>
    </x:row>
    <x:row r="975">
      <x:c r="A975" s="12"/>
      <x:c r="B975" s="12"/>
      <x:c r="C975" s="12"/>
      <x:c r="D975" s="12"/>
      <x:c r="E975" s="12"/>
      <x:c r="F975" s="12"/>
      <x:c r="G975" s="17"/>
      <x:c r="H975" s="12"/>
      <x:c r="I975" s="12"/>
      <x:c r="J975" s="18"/>
      <x:c r="K975" s="12"/>
      <x:c r="L975" s="12"/>
      <x:c r="M975" s="12"/>
      <x:c r="N975" s="12"/>
      <x:c r="O975" s="12"/>
      <x:c r="P975" s="12"/>
      <x:c r="Q975" s="12"/>
      <x:c r="R975" s="12"/>
      <x:c r="S975" s="12"/>
      <x:c r="T975" s="12"/>
      <x:c r="U975" s="12"/>
      <x:c r="V975" s="12"/>
      <x:c r="W975" s="12"/>
      <x:c r="X975" s="12"/>
      <x:c r="Y975" s="12"/>
      <x:c r="Z975" s="12"/>
      <x:c r="AA975" s="12"/>
    </x:row>
    <x:row r="976">
      <x:c r="A976" s="12"/>
      <x:c r="B976" s="12"/>
      <x:c r="C976" s="12"/>
      <x:c r="D976" s="12"/>
      <x:c r="E976" s="12"/>
      <x:c r="F976" s="12"/>
      <x:c r="G976" s="17"/>
      <x:c r="H976" s="12"/>
      <x:c r="I976" s="12"/>
      <x:c r="J976" s="18"/>
      <x:c r="K976" s="12"/>
      <x:c r="L976" s="12"/>
      <x:c r="M976" s="12"/>
      <x:c r="N976" s="12"/>
      <x:c r="O976" s="12"/>
      <x:c r="P976" s="12"/>
      <x:c r="Q976" s="12"/>
      <x:c r="R976" s="12"/>
      <x:c r="S976" s="12"/>
      <x:c r="T976" s="12"/>
      <x:c r="U976" s="12"/>
      <x:c r="V976" s="12"/>
      <x:c r="W976" s="12"/>
      <x:c r="X976" s="12"/>
      <x:c r="Y976" s="12"/>
      <x:c r="Z976" s="12"/>
      <x:c r="AA976" s="12"/>
    </x:row>
    <x:row r="977">
      <x:c r="A977" s="12"/>
      <x:c r="B977" s="12"/>
      <x:c r="C977" s="12"/>
      <x:c r="D977" s="12"/>
      <x:c r="E977" s="12"/>
      <x:c r="F977" s="12"/>
      <x:c r="G977" s="17"/>
      <x:c r="H977" s="12"/>
      <x:c r="I977" s="12"/>
      <x:c r="J977" s="18"/>
      <x:c r="K977" s="12"/>
      <x:c r="L977" s="12"/>
      <x:c r="M977" s="12"/>
      <x:c r="N977" s="12"/>
      <x:c r="O977" s="12"/>
      <x:c r="P977" s="12"/>
      <x:c r="Q977" s="12"/>
      <x:c r="R977" s="12"/>
      <x:c r="S977" s="12"/>
      <x:c r="T977" s="12"/>
      <x:c r="U977" s="12"/>
      <x:c r="V977" s="12"/>
      <x:c r="W977" s="12"/>
      <x:c r="X977" s="12"/>
      <x:c r="Y977" s="12"/>
      <x:c r="Z977" s="12"/>
      <x:c r="AA977" s="12"/>
    </x:row>
    <x:row r="978">
      <x:c r="A978" s="12"/>
      <x:c r="B978" s="12"/>
      <x:c r="C978" s="12"/>
      <x:c r="D978" s="12"/>
      <x:c r="E978" s="12"/>
      <x:c r="F978" s="12"/>
      <x:c r="G978" s="17"/>
      <x:c r="H978" s="12"/>
      <x:c r="I978" s="12"/>
      <x:c r="J978" s="18"/>
      <x:c r="K978" s="12"/>
      <x:c r="L978" s="12"/>
      <x:c r="M978" s="12"/>
      <x:c r="N978" s="12"/>
      <x:c r="O978" s="12"/>
      <x:c r="P978" s="12"/>
      <x:c r="Q978" s="12"/>
      <x:c r="R978" s="12"/>
      <x:c r="S978" s="12"/>
      <x:c r="T978" s="12"/>
      <x:c r="U978" s="12"/>
      <x:c r="V978" s="12"/>
      <x:c r="W978" s="12"/>
      <x:c r="X978" s="12"/>
      <x:c r="Y978" s="12"/>
      <x:c r="Z978" s="12"/>
      <x:c r="AA978" s="12"/>
    </x:row>
    <x:row r="979">
      <x:c r="A979" s="12"/>
      <x:c r="B979" s="12"/>
      <x:c r="C979" s="12"/>
      <x:c r="D979" s="12"/>
      <x:c r="E979" s="12"/>
      <x:c r="F979" s="12"/>
      <x:c r="G979" s="17"/>
      <x:c r="H979" s="12"/>
      <x:c r="I979" s="12"/>
      <x:c r="J979" s="18"/>
      <x:c r="K979" s="12"/>
      <x:c r="L979" s="12"/>
      <x:c r="M979" s="12"/>
      <x:c r="N979" s="12"/>
      <x:c r="O979" s="12"/>
      <x:c r="P979" s="12"/>
      <x:c r="Q979" s="12"/>
      <x:c r="R979" s="12"/>
      <x:c r="S979" s="12"/>
      <x:c r="T979" s="12"/>
      <x:c r="U979" s="12"/>
      <x:c r="V979" s="12"/>
      <x:c r="W979" s="12"/>
      <x:c r="X979" s="12"/>
      <x:c r="Y979" s="12"/>
      <x:c r="Z979" s="12"/>
      <x:c r="AA979" s="12"/>
    </x:row>
    <x:row r="980">
      <x:c r="A980" s="12"/>
      <x:c r="B980" s="12"/>
      <x:c r="C980" s="12"/>
      <x:c r="D980" s="12"/>
      <x:c r="E980" s="12"/>
      <x:c r="F980" s="12"/>
      <x:c r="G980" s="17"/>
      <x:c r="H980" s="12"/>
      <x:c r="I980" s="12"/>
      <x:c r="J980" s="18"/>
      <x:c r="K980" s="12"/>
      <x:c r="L980" s="12"/>
      <x:c r="M980" s="12"/>
      <x:c r="N980" s="12"/>
      <x:c r="O980" s="12"/>
      <x:c r="P980" s="12"/>
      <x:c r="Q980" s="12"/>
      <x:c r="R980" s="12"/>
      <x:c r="S980" s="12"/>
      <x:c r="T980" s="12"/>
      <x:c r="U980" s="12"/>
      <x:c r="V980" s="12"/>
      <x:c r="W980" s="12"/>
      <x:c r="X980" s="12"/>
      <x:c r="Y980" s="12"/>
      <x:c r="Z980" s="12"/>
      <x:c r="AA980" s="12"/>
    </x:row>
    <x:row r="981">
      <x:c r="A981" s="12"/>
      <x:c r="B981" s="12"/>
      <x:c r="C981" s="12"/>
      <x:c r="D981" s="12"/>
      <x:c r="E981" s="12"/>
      <x:c r="F981" s="12"/>
      <x:c r="G981" s="17"/>
      <x:c r="H981" s="12"/>
      <x:c r="I981" s="12"/>
      <x:c r="J981" s="18"/>
      <x:c r="K981" s="12"/>
      <x:c r="L981" s="12"/>
      <x:c r="M981" s="12"/>
      <x:c r="N981" s="12"/>
      <x:c r="O981" s="12"/>
      <x:c r="P981" s="12"/>
      <x:c r="Q981" s="12"/>
      <x:c r="R981" s="12"/>
      <x:c r="S981" s="12"/>
      <x:c r="T981" s="12"/>
      <x:c r="U981" s="12"/>
      <x:c r="V981" s="12"/>
      <x:c r="W981" s="12"/>
      <x:c r="X981" s="12"/>
      <x:c r="Y981" s="12"/>
      <x:c r="Z981" s="12"/>
      <x:c r="AA981" s="12"/>
    </x:row>
    <x:row r="982">
      <x:c r="A982" s="12"/>
      <x:c r="B982" s="12"/>
      <x:c r="C982" s="12"/>
      <x:c r="D982" s="12"/>
      <x:c r="E982" s="12"/>
      <x:c r="F982" s="12"/>
      <x:c r="G982" s="17"/>
      <x:c r="H982" s="12"/>
      <x:c r="I982" s="12"/>
      <x:c r="J982" s="18"/>
      <x:c r="K982" s="12"/>
      <x:c r="L982" s="12"/>
      <x:c r="M982" s="12"/>
      <x:c r="N982" s="12"/>
      <x:c r="O982" s="12"/>
      <x:c r="P982" s="12"/>
      <x:c r="Q982" s="12"/>
      <x:c r="R982" s="12"/>
      <x:c r="S982" s="12"/>
      <x:c r="T982" s="12"/>
      <x:c r="U982" s="12"/>
      <x:c r="V982" s="12"/>
      <x:c r="W982" s="12"/>
      <x:c r="X982" s="12"/>
      <x:c r="Y982" s="12"/>
      <x:c r="Z982" s="12"/>
      <x:c r="AA982" s="12"/>
    </x:row>
    <x:row r="983">
      <x:c r="A983" s="12"/>
      <x:c r="B983" s="12"/>
      <x:c r="C983" s="12"/>
      <x:c r="D983" s="12"/>
      <x:c r="E983" s="12"/>
      <x:c r="F983" s="12"/>
      <x:c r="G983" s="17"/>
      <x:c r="H983" s="12"/>
      <x:c r="I983" s="12"/>
      <x:c r="J983" s="18"/>
      <x:c r="K983" s="12"/>
      <x:c r="L983" s="12"/>
      <x:c r="M983" s="12"/>
      <x:c r="N983" s="12"/>
      <x:c r="O983" s="12"/>
      <x:c r="P983" s="12"/>
      <x:c r="Q983" s="12"/>
      <x:c r="R983" s="12"/>
      <x:c r="S983" s="12"/>
      <x:c r="T983" s="12"/>
      <x:c r="U983" s="12"/>
      <x:c r="V983" s="12"/>
      <x:c r="W983" s="12"/>
      <x:c r="X983" s="12"/>
      <x:c r="Y983" s="12"/>
      <x:c r="Z983" s="12"/>
      <x:c r="AA983" s="12"/>
    </x:row>
    <x:row r="984">
      <x:c r="A984" s="12"/>
      <x:c r="B984" s="12"/>
      <x:c r="C984" s="12"/>
      <x:c r="D984" s="12"/>
      <x:c r="E984" s="12"/>
      <x:c r="F984" s="12"/>
      <x:c r="G984" s="17"/>
      <x:c r="H984" s="12"/>
      <x:c r="I984" s="12"/>
      <x:c r="J984" s="18"/>
      <x:c r="K984" s="12"/>
      <x:c r="L984" s="12"/>
      <x:c r="M984" s="12"/>
      <x:c r="N984" s="12"/>
      <x:c r="O984" s="12"/>
      <x:c r="P984" s="12"/>
      <x:c r="Q984" s="12"/>
      <x:c r="R984" s="12"/>
      <x:c r="S984" s="12"/>
      <x:c r="T984" s="12"/>
      <x:c r="U984" s="12"/>
      <x:c r="V984" s="12"/>
      <x:c r="W984" s="12"/>
      <x:c r="X984" s="12"/>
      <x:c r="Y984" s="12"/>
      <x:c r="Z984" s="12"/>
      <x:c r="AA984" s="12"/>
    </x:row>
    <x:row r="985">
      <x:c r="A985" s="12"/>
      <x:c r="B985" s="12"/>
      <x:c r="C985" s="12"/>
      <x:c r="D985" s="12"/>
      <x:c r="E985" s="12"/>
      <x:c r="F985" s="12"/>
      <x:c r="G985" s="17"/>
      <x:c r="H985" s="12"/>
      <x:c r="I985" s="12"/>
      <x:c r="J985" s="18"/>
      <x:c r="K985" s="12"/>
      <x:c r="L985" s="12"/>
      <x:c r="M985" s="12"/>
      <x:c r="N985" s="12"/>
      <x:c r="O985" s="12"/>
      <x:c r="P985" s="12"/>
      <x:c r="Q985" s="12"/>
      <x:c r="R985" s="12"/>
      <x:c r="S985" s="12"/>
      <x:c r="T985" s="12"/>
      <x:c r="U985" s="12"/>
      <x:c r="V985" s="12"/>
      <x:c r="W985" s="12"/>
      <x:c r="X985" s="12"/>
      <x:c r="Y985" s="12"/>
      <x:c r="Z985" s="12"/>
      <x:c r="AA985" s="12"/>
    </x:row>
    <x:row r="986">
      <x:c r="A986" s="12"/>
      <x:c r="B986" s="12"/>
      <x:c r="C986" s="12"/>
      <x:c r="D986" s="12"/>
      <x:c r="E986" s="12"/>
      <x:c r="F986" s="12"/>
      <x:c r="G986" s="17"/>
      <x:c r="H986" s="12"/>
      <x:c r="I986" s="12"/>
      <x:c r="J986" s="18"/>
      <x:c r="K986" s="12"/>
      <x:c r="L986" s="12"/>
      <x:c r="M986" s="12"/>
      <x:c r="N986" s="12"/>
      <x:c r="O986" s="12"/>
      <x:c r="P986" s="12"/>
      <x:c r="Q986" s="12"/>
      <x:c r="R986" s="12"/>
      <x:c r="S986" s="12"/>
      <x:c r="T986" s="12"/>
      <x:c r="U986" s="12"/>
      <x:c r="V986" s="12"/>
      <x:c r="W986" s="12"/>
      <x:c r="X986" s="12"/>
      <x:c r="Y986" s="12"/>
      <x:c r="Z986" s="12"/>
      <x:c r="AA986" s="12"/>
    </x:row>
    <x:row r="987">
      <x:c r="A987" s="12"/>
      <x:c r="B987" s="12"/>
      <x:c r="C987" s="12"/>
      <x:c r="D987" s="12"/>
      <x:c r="E987" s="12"/>
      <x:c r="F987" s="12"/>
      <x:c r="G987" s="17"/>
      <x:c r="H987" s="12"/>
      <x:c r="I987" s="12"/>
      <x:c r="J987" s="18"/>
      <x:c r="K987" s="12"/>
      <x:c r="L987" s="12"/>
      <x:c r="M987" s="12"/>
      <x:c r="N987" s="12"/>
      <x:c r="O987" s="12"/>
      <x:c r="P987" s="12"/>
      <x:c r="Q987" s="12"/>
      <x:c r="R987" s="12"/>
      <x:c r="S987" s="12"/>
      <x:c r="T987" s="12"/>
      <x:c r="U987" s="12"/>
      <x:c r="V987" s="12"/>
      <x:c r="W987" s="12"/>
      <x:c r="X987" s="12"/>
      <x:c r="Y987" s="12"/>
      <x:c r="Z987" s="12"/>
      <x:c r="AA987" s="12"/>
    </x:row>
    <x:row r="988">
      <x:c r="A988" s="12"/>
      <x:c r="B988" s="12"/>
      <x:c r="C988" s="12"/>
      <x:c r="D988" s="12"/>
      <x:c r="E988" s="12"/>
      <x:c r="F988" s="12"/>
      <x:c r="G988" s="17"/>
      <x:c r="H988" s="12"/>
      <x:c r="I988" s="12"/>
      <x:c r="J988" s="18"/>
      <x:c r="K988" s="12"/>
      <x:c r="L988" s="12"/>
      <x:c r="M988" s="12"/>
      <x:c r="N988" s="12"/>
      <x:c r="O988" s="12"/>
      <x:c r="P988" s="12"/>
      <x:c r="Q988" s="12"/>
      <x:c r="R988" s="12"/>
      <x:c r="S988" s="12"/>
      <x:c r="T988" s="12"/>
      <x:c r="U988" s="12"/>
      <x:c r="V988" s="12"/>
      <x:c r="W988" s="12"/>
      <x:c r="X988" s="12"/>
      <x:c r="Y988" s="12"/>
      <x:c r="Z988" s="12"/>
      <x:c r="AA988" s="12"/>
    </x:row>
    <x:row r="989">
      <x:c r="A989" s="12"/>
      <x:c r="B989" s="12"/>
      <x:c r="C989" s="12"/>
      <x:c r="D989" s="12"/>
      <x:c r="E989" s="12"/>
      <x:c r="F989" s="12"/>
      <x:c r="G989" s="17"/>
      <x:c r="H989" s="12"/>
      <x:c r="I989" s="12"/>
      <x:c r="J989" s="18"/>
      <x:c r="K989" s="12"/>
      <x:c r="L989" s="12"/>
      <x:c r="M989" s="12"/>
      <x:c r="N989" s="12"/>
      <x:c r="O989" s="12"/>
      <x:c r="P989" s="12"/>
      <x:c r="Q989" s="12"/>
      <x:c r="R989" s="12"/>
      <x:c r="S989" s="12"/>
      <x:c r="T989" s="12"/>
      <x:c r="U989" s="12"/>
      <x:c r="V989" s="12"/>
      <x:c r="W989" s="12"/>
      <x:c r="X989" s="12"/>
      <x:c r="Y989" s="12"/>
      <x:c r="Z989" s="12"/>
      <x:c r="AA989" s="12"/>
    </x:row>
    <x:row r="990">
      <x:c r="A990" s="12"/>
      <x:c r="B990" s="12"/>
      <x:c r="C990" s="12"/>
      <x:c r="D990" s="12"/>
      <x:c r="E990" s="12"/>
      <x:c r="F990" s="12"/>
      <x:c r="G990" s="17"/>
      <x:c r="H990" s="12"/>
      <x:c r="I990" s="12"/>
      <x:c r="J990" s="18"/>
      <x:c r="K990" s="12"/>
      <x:c r="L990" s="12"/>
      <x:c r="M990" s="12"/>
      <x:c r="N990" s="12"/>
      <x:c r="O990" s="12"/>
      <x:c r="P990" s="12"/>
      <x:c r="Q990" s="12"/>
      <x:c r="R990" s="12"/>
      <x:c r="S990" s="12"/>
      <x:c r="T990" s="12"/>
      <x:c r="U990" s="12"/>
      <x:c r="V990" s="12"/>
      <x:c r="W990" s="12"/>
      <x:c r="X990" s="12"/>
      <x:c r="Y990" s="12"/>
      <x:c r="Z990" s="12"/>
      <x:c r="AA990" s="12"/>
    </x:row>
    <x:row r="991">
      <x:c r="A991" s="12"/>
      <x:c r="B991" s="12"/>
      <x:c r="C991" s="12"/>
      <x:c r="D991" s="12"/>
      <x:c r="E991" s="12"/>
      <x:c r="F991" s="12"/>
      <x:c r="G991" s="17"/>
      <x:c r="H991" s="12"/>
      <x:c r="I991" s="12"/>
      <x:c r="J991" s="18"/>
      <x:c r="K991" s="12"/>
      <x:c r="L991" s="12"/>
      <x:c r="M991" s="12"/>
      <x:c r="N991" s="12"/>
      <x:c r="O991" s="12"/>
      <x:c r="P991" s="12"/>
      <x:c r="Q991" s="12"/>
      <x:c r="R991" s="12"/>
      <x:c r="S991" s="12"/>
      <x:c r="T991" s="12"/>
      <x:c r="U991" s="12"/>
      <x:c r="V991" s="12"/>
      <x:c r="W991" s="12"/>
      <x:c r="X991" s="12"/>
      <x:c r="Y991" s="12"/>
      <x:c r="Z991" s="12"/>
      <x:c r="AA991" s="12"/>
    </x:row>
    <x:row r="992">
      <x:c r="A992" s="12"/>
      <x:c r="B992" s="12"/>
      <x:c r="C992" s="12"/>
      <x:c r="D992" s="12"/>
      <x:c r="E992" s="12"/>
      <x:c r="F992" s="12"/>
      <x:c r="G992" s="17"/>
      <x:c r="H992" s="12"/>
      <x:c r="I992" s="12"/>
      <x:c r="J992" s="18"/>
      <x:c r="K992" s="12"/>
      <x:c r="L992" s="12"/>
      <x:c r="M992" s="12"/>
      <x:c r="N992" s="12"/>
      <x:c r="O992" s="12"/>
      <x:c r="P992" s="12"/>
      <x:c r="Q992" s="12"/>
      <x:c r="R992" s="12"/>
      <x:c r="S992" s="12"/>
      <x:c r="T992" s="12"/>
      <x:c r="U992" s="12"/>
      <x:c r="V992" s="12"/>
      <x:c r="W992" s="12"/>
      <x:c r="X992" s="12"/>
      <x:c r="Y992" s="12"/>
      <x:c r="Z992" s="12"/>
      <x:c r="AA992" s="12"/>
    </x:row>
    <x:row r="993">
      <x:c r="A993" s="12"/>
      <x:c r="B993" s="12"/>
      <x:c r="C993" s="12"/>
      <x:c r="D993" s="12"/>
      <x:c r="E993" s="12"/>
      <x:c r="F993" s="12"/>
      <x:c r="G993" s="17"/>
      <x:c r="H993" s="12"/>
      <x:c r="I993" s="12"/>
      <x:c r="J993" s="18"/>
      <x:c r="K993" s="12"/>
      <x:c r="L993" s="12"/>
      <x:c r="M993" s="12"/>
      <x:c r="N993" s="12"/>
      <x:c r="O993" s="12"/>
      <x:c r="P993" s="12"/>
      <x:c r="Q993" s="12"/>
      <x:c r="R993" s="12"/>
      <x:c r="S993" s="12"/>
      <x:c r="T993" s="12"/>
      <x:c r="U993" s="12"/>
      <x:c r="V993" s="12"/>
      <x:c r="W993" s="12"/>
      <x:c r="X993" s="12"/>
      <x:c r="Y993" s="12"/>
      <x:c r="Z993" s="12"/>
      <x:c r="AA993" s="12"/>
    </x:row>
    <x:row r="994">
      <x:c r="A994" s="12"/>
      <x:c r="B994" s="12"/>
      <x:c r="C994" s="12"/>
      <x:c r="D994" s="12"/>
      <x:c r="E994" s="12"/>
      <x:c r="F994" s="12"/>
      <x:c r="G994" s="17"/>
      <x:c r="H994" s="12"/>
      <x:c r="I994" s="12"/>
      <x:c r="J994" s="18"/>
      <x:c r="K994" s="12"/>
      <x:c r="L994" s="12"/>
      <x:c r="M994" s="12"/>
      <x:c r="N994" s="12"/>
      <x:c r="O994" s="12"/>
      <x:c r="P994" s="12"/>
      <x:c r="Q994" s="12"/>
      <x:c r="R994" s="12"/>
      <x:c r="S994" s="12"/>
      <x:c r="T994" s="12"/>
      <x:c r="U994" s="12"/>
      <x:c r="V994" s="12"/>
      <x:c r="W994" s="12"/>
      <x:c r="X994" s="12"/>
      <x:c r="Y994" s="12"/>
      <x:c r="Z994" s="12"/>
      <x:c r="AA994" s="12"/>
    </x:row>
    <x:row r="995">
      <x:c r="A995" s="12"/>
      <x:c r="B995" s="12"/>
      <x:c r="C995" s="12"/>
      <x:c r="D995" s="12"/>
      <x:c r="E995" s="12"/>
      <x:c r="F995" s="12"/>
      <x:c r="G995" s="17"/>
      <x:c r="H995" s="12"/>
      <x:c r="I995" s="12"/>
      <x:c r="J995" s="18"/>
      <x:c r="K995" s="12"/>
      <x:c r="L995" s="12"/>
      <x:c r="M995" s="12"/>
      <x:c r="N995" s="12"/>
      <x:c r="O995" s="12"/>
      <x:c r="P995" s="12"/>
      <x:c r="Q995" s="12"/>
      <x:c r="R995" s="12"/>
      <x:c r="S995" s="12"/>
      <x:c r="T995" s="12"/>
      <x:c r="U995" s="12"/>
      <x:c r="V995" s="12"/>
      <x:c r="W995" s="12"/>
      <x:c r="X995" s="12"/>
      <x:c r="Y995" s="12"/>
      <x:c r="Z995" s="12"/>
      <x:c r="AA995" s="12"/>
    </x:row>
    <x:row r="996">
      <x:c r="A996" s="12"/>
      <x:c r="B996" s="12"/>
      <x:c r="C996" s="12"/>
      <x:c r="D996" s="12"/>
      <x:c r="E996" s="12"/>
      <x:c r="F996" s="12"/>
      <x:c r="G996" s="17"/>
      <x:c r="H996" s="12"/>
      <x:c r="I996" s="12"/>
      <x:c r="J996" s="18"/>
      <x:c r="K996" s="12"/>
      <x:c r="L996" s="12"/>
      <x:c r="M996" s="12"/>
      <x:c r="N996" s="12"/>
      <x:c r="O996" s="12"/>
      <x:c r="P996" s="12"/>
      <x:c r="Q996" s="12"/>
      <x:c r="R996" s="12"/>
      <x:c r="S996" s="12"/>
      <x:c r="T996" s="12"/>
      <x:c r="U996" s="12"/>
      <x:c r="V996" s="12"/>
      <x:c r="W996" s="12"/>
      <x:c r="X996" s="12"/>
      <x:c r="Y996" s="12"/>
      <x:c r="Z996" s="12"/>
      <x:c r="AA996" s="12"/>
    </x:row>
    <x:row r="997">
      <x:c r="A997" s="12"/>
      <x:c r="B997" s="12"/>
      <x:c r="C997" s="12"/>
      <x:c r="D997" s="12"/>
      <x:c r="E997" s="12"/>
      <x:c r="F997" s="12"/>
      <x:c r="G997" s="17"/>
      <x:c r="H997" s="12"/>
      <x:c r="I997" s="12"/>
      <x:c r="J997" s="18"/>
      <x:c r="K997" s="12"/>
      <x:c r="L997" s="12"/>
      <x:c r="M997" s="12"/>
      <x:c r="N997" s="12"/>
      <x:c r="O997" s="12"/>
      <x:c r="P997" s="12"/>
      <x:c r="Q997" s="12"/>
      <x:c r="R997" s="12"/>
      <x:c r="S997" s="12"/>
      <x:c r="T997" s="12"/>
      <x:c r="U997" s="12"/>
      <x:c r="V997" s="12"/>
      <x:c r="W997" s="12"/>
      <x:c r="X997" s="12"/>
      <x:c r="Y997" s="12"/>
      <x:c r="Z997" s="12"/>
      <x:c r="AA997" s="12"/>
    </x:row>
    <x:row r="998">
      <x:c r="A998" s="12"/>
      <x:c r="B998" s="12"/>
      <x:c r="C998" s="12"/>
      <x:c r="D998" s="12"/>
      <x:c r="E998" s="12"/>
      <x:c r="F998" s="12"/>
      <x:c r="G998" s="17"/>
      <x:c r="H998" s="12"/>
      <x:c r="I998" s="12"/>
      <x:c r="J998" s="18"/>
      <x:c r="K998" s="12"/>
      <x:c r="L998" s="12"/>
      <x:c r="M998" s="12"/>
      <x:c r="N998" s="12"/>
      <x:c r="O998" s="12"/>
      <x:c r="P998" s="12"/>
      <x:c r="Q998" s="12"/>
      <x:c r="R998" s="12"/>
      <x:c r="S998" s="12"/>
      <x:c r="T998" s="12"/>
      <x:c r="U998" s="12"/>
      <x:c r="V998" s="12"/>
      <x:c r="W998" s="12"/>
      <x:c r="X998" s="12"/>
      <x:c r="Y998" s="12"/>
      <x:c r="Z998" s="12"/>
      <x:c r="AA998" s="12"/>
    </x:row>
    <x:row r="999">
      <x:c r="A999" s="12"/>
      <x:c r="B999" s="12"/>
      <x:c r="C999" s="12"/>
      <x:c r="D999" s="12"/>
      <x:c r="E999" s="12"/>
      <x:c r="F999" s="12"/>
      <x:c r="G999" s="17"/>
      <x:c r="H999" s="12"/>
      <x:c r="I999" s="12"/>
      <x:c r="J999" s="18"/>
      <x:c r="K999" s="12"/>
      <x:c r="L999" s="12"/>
      <x:c r="M999" s="12"/>
      <x:c r="N999" s="12"/>
      <x:c r="O999" s="12"/>
      <x:c r="P999" s="12"/>
      <x:c r="Q999" s="12"/>
      <x:c r="R999" s="12"/>
      <x:c r="S999" s="12"/>
      <x:c r="T999" s="12"/>
      <x:c r="U999" s="12"/>
      <x:c r="V999" s="12"/>
      <x:c r="W999" s="12"/>
      <x:c r="X999" s="12"/>
      <x:c r="Y999" s="12"/>
      <x:c r="Z999" s="12"/>
      <x:c r="AA999" s="12"/>
    </x:row>
    <x:row r="1000">
      <x:c r="A1000" s="12"/>
      <x:c r="B1000" s="12"/>
      <x:c r="C1000" s="12"/>
      <x:c r="D1000" s="12"/>
      <x:c r="E1000" s="12"/>
      <x:c r="F1000" s="12"/>
      <x:c r="G1000" s="17"/>
      <x:c r="H1000" s="12"/>
      <x:c r="I1000" s="12"/>
      <x:c r="J1000" s="18"/>
      <x:c r="K1000" s="12"/>
      <x:c r="L1000" s="12"/>
      <x:c r="M1000" s="12"/>
      <x:c r="N1000" s="12"/>
      <x:c r="O1000" s="12"/>
      <x:c r="P1000" s="12"/>
      <x:c r="Q1000" s="12"/>
      <x:c r="R1000" s="12"/>
      <x:c r="S1000" s="12"/>
      <x:c r="T1000" s="12"/>
      <x:c r="U1000" s="12"/>
      <x:c r="V1000" s="12"/>
      <x:c r="W1000" s="12"/>
      <x:c r="X1000" s="12"/>
      <x:c r="Y1000" s="12"/>
      <x:c r="Z1000" s="12"/>
      <x:c r="AA1000" s="12"/>
    </x:row>
    <x:row r="1001">
      <x:c r="A1001" s="12"/>
      <x:c r="B1001" s="12"/>
      <x:c r="C1001" s="12"/>
      <x:c r="D1001" s="12"/>
      <x:c r="E1001" s="12"/>
      <x:c r="F1001" s="12"/>
      <x:c r="G1001" s="17"/>
      <x:c r="H1001" s="12"/>
      <x:c r="I1001" s="12"/>
      <x:c r="J1001" s="18"/>
      <x:c r="K1001" s="12"/>
      <x:c r="L1001" s="12"/>
      <x:c r="M1001" s="12"/>
      <x:c r="N1001" s="12"/>
      <x:c r="O1001" s="12"/>
      <x:c r="P1001" s="12"/>
      <x:c r="Q1001" s="12"/>
      <x:c r="R1001" s="12"/>
      <x:c r="S1001" s="12"/>
      <x:c r="T1001" s="12"/>
      <x:c r="U1001" s="12"/>
      <x:c r="V1001" s="12"/>
      <x:c r="W1001" s="12"/>
      <x:c r="X1001" s="12"/>
      <x:c r="Y1001" s="12"/>
      <x:c r="Z1001" s="12"/>
      <x:c r="AA1001" s="12"/>
    </x:row>
    <x:row r="1002">
      <x:c r="A1002" s="12"/>
      <x:c r="B1002" s="12"/>
      <x:c r="C1002" s="12"/>
      <x:c r="D1002" s="12"/>
      <x:c r="E1002" s="12"/>
      <x:c r="F1002" s="12"/>
      <x:c r="G1002" s="17"/>
      <x:c r="H1002" s="12"/>
      <x:c r="I1002" s="12"/>
      <x:c r="J1002" s="18"/>
      <x:c r="K1002" s="12"/>
      <x:c r="L1002" s="12"/>
      <x:c r="M1002" s="12"/>
      <x:c r="N1002" s="12"/>
      <x:c r="O1002" s="12"/>
      <x:c r="P1002" s="12"/>
      <x:c r="Q1002" s="12"/>
      <x:c r="R1002" s="12"/>
      <x:c r="S1002" s="12"/>
      <x:c r="T1002" s="12"/>
      <x:c r="U1002" s="12"/>
      <x:c r="V1002" s="12"/>
      <x:c r="W1002" s="12"/>
      <x:c r="X1002" s="12"/>
      <x:c r="Y1002" s="12"/>
      <x:c r="Z1002" s="12"/>
      <x:c r="AA1002" s="12"/>
    </x:row>
    <x:row r="1003">
      <x:c r="A1003" s="12"/>
      <x:c r="B1003" s="12"/>
      <x:c r="C1003" s="12"/>
      <x:c r="D1003" s="12"/>
      <x:c r="E1003" s="12"/>
      <x:c r="F1003" s="12"/>
      <x:c r="G1003" s="17"/>
      <x:c r="H1003" s="12"/>
      <x:c r="I1003" s="12"/>
      <x:c r="J1003" s="18"/>
      <x:c r="K1003" s="12"/>
      <x:c r="L1003" s="12"/>
      <x:c r="M1003" s="12"/>
      <x:c r="N1003" s="12"/>
      <x:c r="O1003" s="12"/>
      <x:c r="P1003" s="12"/>
      <x:c r="Q1003" s="12"/>
      <x:c r="R1003" s="12"/>
      <x:c r="S1003" s="12"/>
      <x:c r="T1003" s="12"/>
      <x:c r="U1003" s="12"/>
      <x:c r="V1003" s="12"/>
      <x:c r="W1003" s="12"/>
      <x:c r="X1003" s="12"/>
      <x:c r="Y1003" s="12"/>
      <x:c r="Z1003" s="12"/>
      <x:c r="AA1003" s="12"/>
    </x:row>
    <x:row r="1004">
      <x:c r="A1004" s="12"/>
      <x:c r="B1004" s="12"/>
      <x:c r="C1004" s="12"/>
      <x:c r="D1004" s="12"/>
      <x:c r="E1004" s="12"/>
      <x:c r="F1004" s="12"/>
      <x:c r="G1004" s="17"/>
      <x:c r="H1004" s="12"/>
      <x:c r="I1004" s="12"/>
      <x:c r="J1004" s="18"/>
      <x:c r="K1004" s="12"/>
      <x:c r="L1004" s="12"/>
      <x:c r="M1004" s="12"/>
      <x:c r="N1004" s="12"/>
      <x:c r="O1004" s="12"/>
      <x:c r="P1004" s="12"/>
      <x:c r="Q1004" s="12"/>
      <x:c r="R1004" s="12"/>
      <x:c r="S1004" s="12"/>
      <x:c r="T1004" s="12"/>
      <x:c r="U1004" s="12"/>
      <x:c r="V1004" s="12"/>
      <x:c r="W1004" s="12"/>
      <x:c r="X1004" s="12"/>
      <x:c r="Y1004" s="12"/>
      <x:c r="Z1004" s="12"/>
      <x:c r="AA1004" s="12"/>
    </x:row>
    <x:row r="1005">
      <x:c r="A1005" s="12"/>
      <x:c r="B1005" s="12"/>
      <x:c r="C1005" s="12"/>
      <x:c r="D1005" s="12"/>
      <x:c r="E1005" s="12"/>
      <x:c r="F1005" s="12"/>
      <x:c r="G1005" s="17"/>
      <x:c r="H1005" s="12"/>
      <x:c r="I1005" s="12"/>
      <x:c r="J1005" s="18"/>
      <x:c r="K1005" s="12"/>
      <x:c r="L1005" s="12"/>
      <x:c r="M1005" s="12"/>
      <x:c r="N1005" s="12"/>
      <x:c r="O1005" s="12"/>
      <x:c r="P1005" s="12"/>
      <x:c r="Q1005" s="12"/>
      <x:c r="R1005" s="12"/>
      <x:c r="S1005" s="12"/>
      <x:c r="T1005" s="12"/>
      <x:c r="U1005" s="12"/>
      <x:c r="V1005" s="12"/>
      <x:c r="W1005" s="12"/>
      <x:c r="X1005" s="12"/>
      <x:c r="Y1005" s="12"/>
      <x:c r="Z1005" s="12"/>
      <x:c r="AA1005" s="12"/>
    </x:row>
    <x:row r="1006">
      <x:c r="A1006" s="12"/>
      <x:c r="B1006" s="12"/>
      <x:c r="C1006" s="12"/>
      <x:c r="D1006" s="12"/>
      <x:c r="E1006" s="12"/>
      <x:c r="F1006" s="12"/>
      <x:c r="G1006" s="17"/>
      <x:c r="H1006" s="12"/>
      <x:c r="I1006" s="12"/>
      <x:c r="J1006" s="18"/>
      <x:c r="K1006" s="12"/>
      <x:c r="L1006" s="12"/>
      <x:c r="M1006" s="12"/>
      <x:c r="N1006" s="12"/>
      <x:c r="O1006" s="12"/>
      <x:c r="P1006" s="12"/>
      <x:c r="Q1006" s="12"/>
      <x:c r="R1006" s="12"/>
      <x:c r="S1006" s="12"/>
      <x:c r="T1006" s="12"/>
      <x:c r="U1006" s="12"/>
      <x:c r="V1006" s="12"/>
      <x:c r="W1006" s="12"/>
      <x:c r="X1006" s="12"/>
      <x:c r="Y1006" s="12"/>
      <x:c r="Z1006" s="12"/>
      <x:c r="AA1006" s="12"/>
    </x:row>
    <x:row r="1007">
      <x:c r="A1007" s="12"/>
      <x:c r="B1007" s="12"/>
      <x:c r="C1007" s="12"/>
      <x:c r="D1007" s="12"/>
      <x:c r="E1007" s="12"/>
      <x:c r="F1007" s="12"/>
      <x:c r="G1007" s="17"/>
      <x:c r="H1007" s="12"/>
      <x:c r="I1007" s="12"/>
      <x:c r="J1007" s="18"/>
      <x:c r="K1007" s="12"/>
      <x:c r="L1007" s="12"/>
      <x:c r="M1007" s="12"/>
      <x:c r="N1007" s="12"/>
      <x:c r="O1007" s="12"/>
      <x:c r="P1007" s="12"/>
      <x:c r="Q1007" s="12"/>
      <x:c r="R1007" s="12"/>
      <x:c r="S1007" s="12"/>
      <x:c r="T1007" s="12"/>
      <x:c r="U1007" s="12"/>
      <x:c r="V1007" s="12"/>
      <x:c r="W1007" s="12"/>
      <x:c r="X1007" s="12"/>
      <x:c r="Y1007" s="12"/>
      <x:c r="Z1007" s="12"/>
      <x:c r="AA1007" s="12"/>
    </x:row>
    <x:row r="1008">
      <x:c r="A1008" s="12"/>
      <x:c r="B1008" s="12"/>
      <x:c r="C1008" s="12"/>
      <x:c r="D1008" s="12"/>
      <x:c r="E1008" s="12"/>
      <x:c r="F1008" s="12"/>
      <x:c r="G1008" s="17"/>
      <x:c r="H1008" s="12"/>
      <x:c r="I1008" s="12"/>
      <x:c r="J1008" s="18"/>
      <x:c r="K1008" s="12"/>
      <x:c r="L1008" s="12"/>
      <x:c r="M1008" s="12"/>
      <x:c r="N1008" s="12"/>
      <x:c r="O1008" s="12"/>
      <x:c r="P1008" s="12"/>
      <x:c r="Q1008" s="12"/>
      <x:c r="R1008" s="12"/>
      <x:c r="S1008" s="12"/>
      <x:c r="T1008" s="12"/>
      <x:c r="U1008" s="12"/>
      <x:c r="V1008" s="12"/>
      <x:c r="W1008" s="12"/>
      <x:c r="X1008" s="12"/>
      <x:c r="Y1008" s="12"/>
      <x:c r="Z1008" s="12"/>
      <x:c r="AA1008" s="12"/>
    </x:row>
    <x:row r="1009">
      <x:c r="A1009" s="12"/>
      <x:c r="B1009" s="12"/>
      <x:c r="C1009" s="12"/>
      <x:c r="D1009" s="12"/>
      <x:c r="E1009" s="12"/>
      <x:c r="F1009" s="12"/>
      <x:c r="G1009" s="17"/>
      <x:c r="H1009" s="12"/>
      <x:c r="I1009" s="12"/>
      <x:c r="J1009" s="18"/>
      <x:c r="K1009" s="12"/>
      <x:c r="L1009" s="12"/>
      <x:c r="M1009" s="12"/>
      <x:c r="N1009" s="12"/>
      <x:c r="O1009" s="12"/>
      <x:c r="P1009" s="12"/>
      <x:c r="Q1009" s="12"/>
      <x:c r="R1009" s="12"/>
      <x:c r="S1009" s="12"/>
      <x:c r="T1009" s="12"/>
      <x:c r="U1009" s="12"/>
      <x:c r="V1009" s="12"/>
      <x:c r="W1009" s="12"/>
      <x:c r="X1009" s="12"/>
      <x:c r="Y1009" s="12"/>
      <x:c r="Z1009" s="12"/>
      <x:c r="AA1009" s="12"/>
    </x:row>
    <x:row r="1010">
      <x:c r="A1010" s="12"/>
      <x:c r="B1010" s="12"/>
      <x:c r="C1010" s="12"/>
      <x:c r="D1010" s="12"/>
      <x:c r="E1010" s="12"/>
      <x:c r="F1010" s="12"/>
      <x:c r="G1010" s="17"/>
      <x:c r="H1010" s="12"/>
      <x:c r="I1010" s="12"/>
      <x:c r="J1010" s="18"/>
      <x:c r="K1010" s="12"/>
      <x:c r="L1010" s="12"/>
      <x:c r="M1010" s="12"/>
      <x:c r="N1010" s="12"/>
      <x:c r="O1010" s="12"/>
      <x:c r="P1010" s="12"/>
      <x:c r="Q1010" s="12"/>
      <x:c r="R1010" s="12"/>
      <x:c r="S1010" s="12"/>
      <x:c r="T1010" s="12"/>
      <x:c r="U1010" s="12"/>
      <x:c r="V1010" s="12"/>
      <x:c r="W1010" s="12"/>
      <x:c r="X1010" s="12"/>
      <x:c r="Y1010" s="12"/>
      <x:c r="Z1010" s="12"/>
      <x:c r="AA1010" s="12"/>
    </x:row>
    <x:row r="1011">
      <x:c r="A1011" s="12"/>
      <x:c r="B1011" s="12"/>
      <x:c r="C1011" s="12"/>
      <x:c r="D1011" s="12"/>
      <x:c r="E1011" s="12"/>
      <x:c r="F1011" s="12"/>
      <x:c r="G1011" s="17"/>
      <x:c r="H1011" s="12"/>
      <x:c r="I1011" s="12"/>
      <x:c r="J1011" s="18"/>
      <x:c r="K1011" s="12"/>
      <x:c r="L1011" s="12"/>
      <x:c r="M1011" s="12"/>
      <x:c r="N1011" s="12"/>
      <x:c r="O1011" s="12"/>
      <x:c r="P1011" s="12"/>
      <x:c r="Q1011" s="12"/>
      <x:c r="R1011" s="12"/>
      <x:c r="S1011" s="12"/>
      <x:c r="T1011" s="12"/>
      <x:c r="U1011" s="12"/>
      <x:c r="V1011" s="12"/>
      <x:c r="W1011" s="12"/>
      <x:c r="X1011" s="12"/>
      <x:c r="Y1011" s="12"/>
      <x:c r="Z1011" s="12"/>
      <x:c r="AA1011" s="12"/>
    </x:row>
    <x:row r="1012">
      <x:c r="A1012" s="12"/>
      <x:c r="B1012" s="12"/>
      <x:c r="C1012" s="12"/>
      <x:c r="D1012" s="12"/>
      <x:c r="E1012" s="12"/>
      <x:c r="F1012" s="12"/>
      <x:c r="G1012" s="17"/>
      <x:c r="H1012" s="12"/>
      <x:c r="I1012" s="12"/>
      <x:c r="J1012" s="18"/>
      <x:c r="K1012" s="12"/>
      <x:c r="L1012" s="12"/>
      <x:c r="M1012" s="12"/>
      <x:c r="N1012" s="12"/>
      <x:c r="O1012" s="12"/>
      <x:c r="P1012" s="12"/>
      <x:c r="Q1012" s="12"/>
      <x:c r="R1012" s="12"/>
      <x:c r="S1012" s="12"/>
      <x:c r="T1012" s="12"/>
      <x:c r="U1012" s="12"/>
      <x:c r="V1012" s="12"/>
      <x:c r="W1012" s="12"/>
      <x:c r="X1012" s="12"/>
      <x:c r="Y1012" s="12"/>
      <x:c r="Z1012" s="12"/>
      <x:c r="AA1012" s="12"/>
    </x:row>
    <x:row r="1013">
      <x:c r="A1013" s="12"/>
      <x:c r="B1013" s="12"/>
      <x:c r="C1013" s="12"/>
      <x:c r="D1013" s="12"/>
      <x:c r="E1013" s="12"/>
      <x:c r="F1013" s="12"/>
      <x:c r="G1013" s="17"/>
      <x:c r="H1013" s="12"/>
      <x:c r="I1013" s="12"/>
      <x:c r="J1013" s="18"/>
      <x:c r="K1013" s="12"/>
      <x:c r="L1013" s="12"/>
      <x:c r="M1013" s="12"/>
      <x:c r="N1013" s="12"/>
      <x:c r="O1013" s="12"/>
      <x:c r="P1013" s="12"/>
      <x:c r="Q1013" s="12"/>
      <x:c r="R1013" s="12"/>
      <x:c r="S1013" s="12"/>
      <x:c r="T1013" s="12"/>
      <x:c r="U1013" s="12"/>
      <x:c r="V1013" s="12"/>
      <x:c r="W1013" s="12"/>
      <x:c r="X1013" s="12"/>
      <x:c r="Y1013" s="12"/>
      <x:c r="Z1013" s="12"/>
      <x:c r="AA1013" s="12"/>
    </x:row>
    <x:row r="1014">
      <x:c r="A1014" s="12"/>
      <x:c r="B1014" s="12"/>
      <x:c r="C1014" s="12"/>
      <x:c r="D1014" s="12"/>
      <x:c r="E1014" s="12"/>
      <x:c r="F1014" s="12"/>
      <x:c r="G1014" s="17"/>
      <x:c r="H1014" s="12"/>
      <x:c r="I1014" s="12"/>
      <x:c r="J1014" s="18"/>
      <x:c r="K1014" s="12"/>
      <x:c r="L1014" s="12"/>
      <x:c r="M1014" s="12"/>
      <x:c r="N1014" s="12"/>
      <x:c r="O1014" s="12"/>
      <x:c r="P1014" s="12"/>
      <x:c r="Q1014" s="12"/>
      <x:c r="R1014" s="12"/>
      <x:c r="S1014" s="12"/>
      <x:c r="T1014" s="12"/>
      <x:c r="U1014" s="12"/>
      <x:c r="V1014" s="12"/>
      <x:c r="W1014" s="12"/>
      <x:c r="X1014" s="12"/>
      <x:c r="Y1014" s="12"/>
      <x:c r="Z1014" s="12"/>
      <x:c r="AA1014" s="12"/>
    </x:row>
    <x:row r="1015">
      <x:c r="A1015" s="12"/>
      <x:c r="B1015" s="12"/>
      <x:c r="C1015" s="12"/>
      <x:c r="D1015" s="12"/>
      <x:c r="E1015" s="12"/>
      <x:c r="F1015" s="12"/>
      <x:c r="G1015" s="17"/>
      <x:c r="H1015" s="12"/>
      <x:c r="I1015" s="12"/>
      <x:c r="J1015" s="18"/>
      <x:c r="K1015" s="12"/>
      <x:c r="L1015" s="12"/>
      <x:c r="M1015" s="12"/>
      <x:c r="N1015" s="12"/>
      <x:c r="O1015" s="12"/>
      <x:c r="P1015" s="12"/>
      <x:c r="Q1015" s="12"/>
      <x:c r="R1015" s="12"/>
      <x:c r="S1015" s="12"/>
      <x:c r="T1015" s="12"/>
      <x:c r="U1015" s="12"/>
      <x:c r="V1015" s="12"/>
      <x:c r="W1015" s="12"/>
      <x:c r="X1015" s="12"/>
      <x:c r="Y1015" s="12"/>
      <x:c r="Z1015" s="12"/>
      <x:c r="AA1015" s="12"/>
    </x:row>
    <x:row r="1016">
      <x:c r="A1016" s="12"/>
      <x:c r="B1016" s="12"/>
      <x:c r="C1016" s="12"/>
      <x:c r="D1016" s="12"/>
      <x:c r="E1016" s="12"/>
      <x:c r="F1016" s="12"/>
      <x:c r="G1016" s="17"/>
      <x:c r="H1016" s="12"/>
      <x:c r="I1016" s="12"/>
      <x:c r="J1016" s="18"/>
      <x:c r="K1016" s="12"/>
      <x:c r="L1016" s="12"/>
      <x:c r="M1016" s="12"/>
      <x:c r="N1016" s="12"/>
      <x:c r="O1016" s="12"/>
      <x:c r="P1016" s="12"/>
      <x:c r="Q1016" s="12"/>
      <x:c r="R1016" s="12"/>
      <x:c r="S1016" s="12"/>
      <x:c r="T1016" s="12"/>
      <x:c r="U1016" s="12"/>
      <x:c r="V1016" s="12"/>
      <x:c r="W1016" s="12"/>
      <x:c r="X1016" s="12"/>
      <x:c r="Y1016" s="12"/>
      <x:c r="Z1016" s="12"/>
      <x:c r="AA1016" s="12"/>
    </x:row>
    <x:row r="1017">
      <x:c r="A1017" s="12"/>
      <x:c r="B1017" s="12"/>
      <x:c r="C1017" s="12"/>
      <x:c r="D1017" s="12"/>
      <x:c r="E1017" s="12"/>
      <x:c r="F1017" s="12"/>
      <x:c r="G1017" s="17"/>
      <x:c r="H1017" s="12"/>
      <x:c r="I1017" s="12"/>
      <x:c r="J1017" s="18"/>
      <x:c r="K1017" s="12"/>
      <x:c r="L1017" s="12"/>
      <x:c r="M1017" s="12"/>
      <x:c r="N1017" s="12"/>
      <x:c r="O1017" s="12"/>
      <x:c r="P1017" s="12"/>
      <x:c r="Q1017" s="12"/>
      <x:c r="R1017" s="12"/>
      <x:c r="S1017" s="12"/>
      <x:c r="T1017" s="12"/>
      <x:c r="U1017" s="12"/>
      <x:c r="V1017" s="12"/>
      <x:c r="W1017" s="12"/>
      <x:c r="X1017" s="12"/>
      <x:c r="Y1017" s="12"/>
      <x:c r="Z1017" s="12"/>
      <x:c r="AA1017" s="12"/>
    </x:row>
    <x:row r="1018">
      <x:c r="A1018" s="12"/>
      <x:c r="B1018" s="12"/>
      <x:c r="C1018" s="12"/>
      <x:c r="D1018" s="12"/>
      <x:c r="E1018" s="12"/>
      <x:c r="F1018" s="12"/>
      <x:c r="G1018" s="17"/>
      <x:c r="H1018" s="12"/>
      <x:c r="I1018" s="12"/>
      <x:c r="J1018" s="18"/>
      <x:c r="K1018" s="12"/>
      <x:c r="L1018" s="12"/>
      <x:c r="M1018" s="12"/>
      <x:c r="N1018" s="12"/>
      <x:c r="O1018" s="12"/>
      <x:c r="P1018" s="12"/>
      <x:c r="Q1018" s="12"/>
      <x:c r="R1018" s="12"/>
      <x:c r="S1018" s="12"/>
      <x:c r="T1018" s="12"/>
      <x:c r="U1018" s="12"/>
      <x:c r="V1018" s="12"/>
      <x:c r="W1018" s="12"/>
      <x:c r="X1018" s="12"/>
      <x:c r="Y1018" s="12"/>
      <x:c r="Z1018" s="12"/>
      <x:c r="AA1018" s="12"/>
    </x:row>
    <x:row r="1019">
      <x:c r="A1019" s="12"/>
      <x:c r="B1019" s="12"/>
      <x:c r="C1019" s="12"/>
      <x:c r="D1019" s="12"/>
      <x:c r="E1019" s="12"/>
      <x:c r="F1019" s="12"/>
      <x:c r="G1019" s="17"/>
      <x:c r="H1019" s="12"/>
      <x:c r="I1019" s="12"/>
      <x:c r="J1019" s="18"/>
      <x:c r="K1019" s="12"/>
      <x:c r="L1019" s="12"/>
      <x:c r="M1019" s="12"/>
      <x:c r="N1019" s="12"/>
      <x:c r="O1019" s="12"/>
      <x:c r="P1019" s="12"/>
      <x:c r="Q1019" s="12"/>
      <x:c r="R1019" s="12"/>
      <x:c r="S1019" s="12"/>
      <x:c r="T1019" s="12"/>
      <x:c r="U1019" s="12"/>
      <x:c r="V1019" s="12"/>
      <x:c r="W1019" s="12"/>
      <x:c r="X1019" s="12"/>
      <x:c r="Y1019" s="12"/>
      <x:c r="Z1019" s="12"/>
      <x:c r="AA1019" s="12"/>
    </x:row>
    <x:row r="1020">
      <x:c r="A1020" s="12"/>
      <x:c r="B1020" s="12"/>
      <x:c r="C1020" s="12"/>
      <x:c r="D1020" s="12"/>
      <x:c r="E1020" s="12"/>
      <x:c r="F1020" s="12"/>
      <x:c r="G1020" s="17"/>
      <x:c r="H1020" s="12"/>
      <x:c r="I1020" s="12"/>
      <x:c r="J1020" s="18"/>
      <x:c r="K1020" s="12"/>
      <x:c r="L1020" s="12"/>
      <x:c r="M1020" s="12"/>
      <x:c r="N1020" s="12"/>
      <x:c r="O1020" s="12"/>
      <x:c r="P1020" s="12"/>
      <x:c r="Q1020" s="12"/>
      <x:c r="R1020" s="12"/>
      <x:c r="S1020" s="12"/>
      <x:c r="T1020" s="12"/>
      <x:c r="U1020" s="12"/>
      <x:c r="V1020" s="12"/>
      <x:c r="W1020" s="12"/>
      <x:c r="X1020" s="12"/>
      <x:c r="Y1020" s="12"/>
      <x:c r="Z1020" s="12"/>
      <x:c r="AA1020" s="12"/>
    </x:row>
    <x:row r="1021">
      <x:c r="A1021" s="12"/>
      <x:c r="B1021" s="12"/>
      <x:c r="C1021" s="12"/>
      <x:c r="D1021" s="12"/>
      <x:c r="E1021" s="12"/>
      <x:c r="F1021" s="12"/>
      <x:c r="G1021" s="17"/>
      <x:c r="H1021" s="12"/>
      <x:c r="I1021" s="12"/>
      <x:c r="J1021" s="18"/>
      <x:c r="K1021" s="12"/>
      <x:c r="L1021" s="12"/>
      <x:c r="M1021" s="12"/>
      <x:c r="N1021" s="12"/>
      <x:c r="O1021" s="12"/>
      <x:c r="P1021" s="12"/>
      <x:c r="Q1021" s="12"/>
      <x:c r="R1021" s="12"/>
      <x:c r="S1021" s="12"/>
      <x:c r="T1021" s="12"/>
      <x:c r="U1021" s="12"/>
      <x:c r="V1021" s="12"/>
      <x:c r="W1021" s="12"/>
      <x:c r="X1021" s="12"/>
      <x:c r="Y1021" s="12"/>
      <x:c r="Z1021" s="12"/>
      <x:c r="AA1021" s="12"/>
    </x:row>
    <x:row r="1022">
      <x:c r="A1022" s="12"/>
      <x:c r="B1022" s="12"/>
      <x:c r="C1022" s="12"/>
      <x:c r="D1022" s="12"/>
      <x:c r="E1022" s="12"/>
      <x:c r="F1022" s="12"/>
      <x:c r="G1022" s="17"/>
      <x:c r="H1022" s="12"/>
      <x:c r="I1022" s="12"/>
      <x:c r="J1022" s="18"/>
      <x:c r="K1022" s="12"/>
      <x:c r="L1022" s="12"/>
      <x:c r="M1022" s="12"/>
      <x:c r="N1022" s="12"/>
      <x:c r="O1022" s="12"/>
      <x:c r="P1022" s="12"/>
      <x:c r="Q1022" s="12"/>
      <x:c r="R1022" s="12"/>
      <x:c r="S1022" s="12"/>
      <x:c r="T1022" s="12"/>
      <x:c r="U1022" s="12"/>
      <x:c r="V1022" s="12"/>
      <x:c r="W1022" s="12"/>
      <x:c r="X1022" s="12"/>
      <x:c r="Y1022" s="12"/>
      <x:c r="Z1022" s="12"/>
      <x:c r="AA1022" s="12"/>
    </x:row>
    <x:row r="1023">
      <x:c r="A1023" s="12"/>
      <x:c r="B1023" s="12"/>
      <x:c r="C1023" s="12"/>
      <x:c r="D1023" s="12"/>
      <x:c r="E1023" s="12"/>
      <x:c r="F1023" s="12"/>
      <x:c r="G1023" s="17"/>
      <x:c r="H1023" s="12"/>
      <x:c r="I1023" s="12"/>
      <x:c r="J1023" s="18"/>
      <x:c r="K1023" s="12"/>
      <x:c r="L1023" s="12"/>
      <x:c r="M1023" s="12"/>
      <x:c r="N1023" s="12"/>
      <x:c r="O1023" s="12"/>
      <x:c r="P1023" s="12"/>
      <x:c r="Q1023" s="12"/>
      <x:c r="R1023" s="12"/>
      <x:c r="S1023" s="12"/>
      <x:c r="T1023" s="12"/>
      <x:c r="U1023" s="12"/>
      <x:c r="V1023" s="12"/>
      <x:c r="W1023" s="12"/>
      <x:c r="X1023" s="12"/>
      <x:c r="Y1023" s="12"/>
      <x:c r="Z1023" s="12"/>
      <x:c r="AA1023" s="12"/>
    </x:row>
    <x:row r="1024">
      <x:c r="A1024" s="12"/>
      <x:c r="B1024" s="12"/>
      <x:c r="C1024" s="12"/>
      <x:c r="D1024" s="12"/>
      <x:c r="E1024" s="12"/>
      <x:c r="F1024" s="12"/>
      <x:c r="G1024" s="17"/>
      <x:c r="H1024" s="12"/>
      <x:c r="I1024" s="12"/>
      <x:c r="J1024" s="18"/>
      <x:c r="K1024" s="12"/>
      <x:c r="L1024" s="12"/>
      <x:c r="M1024" s="12"/>
      <x:c r="N1024" s="12"/>
      <x:c r="O1024" s="12"/>
      <x:c r="P1024" s="12"/>
      <x:c r="Q1024" s="12"/>
      <x:c r="R1024" s="12"/>
      <x:c r="S1024" s="12"/>
      <x:c r="T1024" s="12"/>
      <x:c r="U1024" s="12"/>
      <x:c r="V1024" s="12"/>
      <x:c r="W1024" s="12"/>
      <x:c r="X1024" s="12"/>
      <x:c r="Y1024" s="12"/>
      <x:c r="Z1024" s="12"/>
      <x:c r="AA1024" s="12"/>
    </x:row>
    <x:row r="1025">
      <x:c r="A1025" s="12"/>
      <x:c r="B1025" s="12"/>
      <x:c r="C1025" s="12"/>
      <x:c r="D1025" s="12"/>
      <x:c r="E1025" s="12"/>
      <x:c r="F1025" s="12"/>
      <x:c r="G1025" s="17"/>
      <x:c r="H1025" s="12"/>
      <x:c r="I1025" s="12"/>
      <x:c r="J1025" s="18"/>
      <x:c r="K1025" s="12"/>
      <x:c r="L1025" s="12"/>
      <x:c r="M1025" s="12"/>
      <x:c r="N1025" s="12"/>
      <x:c r="O1025" s="12"/>
      <x:c r="P1025" s="12"/>
      <x:c r="Q1025" s="12"/>
      <x:c r="R1025" s="12"/>
      <x:c r="S1025" s="12"/>
      <x:c r="T1025" s="12"/>
      <x:c r="U1025" s="12"/>
      <x:c r="V1025" s="12"/>
      <x:c r="W1025" s="12"/>
      <x:c r="X1025" s="12"/>
      <x:c r="Y1025" s="12"/>
      <x:c r="Z1025" s="12"/>
      <x:c r="AA1025" s="12"/>
    </x:row>
    <x:row r="1026">
      <x:c r="A1026" s="12"/>
      <x:c r="B1026" s="12"/>
      <x:c r="C1026" s="12"/>
      <x:c r="D1026" s="12"/>
      <x:c r="E1026" s="12"/>
      <x:c r="F1026" s="12"/>
      <x:c r="G1026" s="17"/>
      <x:c r="H1026" s="12"/>
      <x:c r="I1026" s="12"/>
      <x:c r="J1026" s="18"/>
      <x:c r="K1026" s="12"/>
      <x:c r="L1026" s="12"/>
      <x:c r="M1026" s="12"/>
      <x:c r="N1026" s="12"/>
      <x:c r="O1026" s="12"/>
      <x:c r="P1026" s="12"/>
      <x:c r="Q1026" s="12"/>
      <x:c r="R1026" s="12"/>
      <x:c r="S1026" s="12"/>
      <x:c r="T1026" s="12"/>
      <x:c r="U1026" s="12"/>
      <x:c r="V1026" s="12"/>
      <x:c r="W1026" s="12"/>
      <x:c r="X1026" s="12"/>
      <x:c r="Y1026" s="12"/>
      <x:c r="Z1026" s="12"/>
      <x:c r="AA1026" s="12"/>
    </x:row>
    <x:row r="1027">
      <x:c r="A1027" s="12"/>
      <x:c r="B1027" s="12"/>
      <x:c r="C1027" s="12"/>
      <x:c r="D1027" s="12"/>
      <x:c r="E1027" s="12"/>
      <x:c r="F1027" s="12"/>
      <x:c r="G1027" s="17"/>
      <x:c r="H1027" s="12"/>
      <x:c r="I1027" s="12"/>
      <x:c r="J1027" s="18"/>
      <x:c r="K1027" s="12"/>
      <x:c r="L1027" s="12"/>
      <x:c r="M1027" s="12"/>
      <x:c r="N1027" s="12"/>
      <x:c r="O1027" s="12"/>
      <x:c r="P1027" s="12"/>
      <x:c r="Q1027" s="12"/>
      <x:c r="R1027" s="12"/>
      <x:c r="S1027" s="12"/>
      <x:c r="T1027" s="12"/>
      <x:c r="U1027" s="12"/>
      <x:c r="V1027" s="12"/>
      <x:c r="W1027" s="12"/>
      <x:c r="X1027" s="12"/>
      <x:c r="Y1027" s="12"/>
      <x:c r="Z1027" s="12"/>
      <x:c r="AA1027" s="12"/>
    </x:row>
    <x:row r="1028">
      <x:c r="A1028" s="12"/>
      <x:c r="B1028" s="12"/>
      <x:c r="C1028" s="12"/>
      <x:c r="D1028" s="12"/>
      <x:c r="E1028" s="12"/>
      <x:c r="F1028" s="12"/>
      <x:c r="G1028" s="17"/>
      <x:c r="H1028" s="12"/>
      <x:c r="I1028" s="12"/>
      <x:c r="J1028" s="18"/>
      <x:c r="K1028" s="12"/>
      <x:c r="L1028" s="12"/>
      <x:c r="M1028" s="12"/>
      <x:c r="N1028" s="12"/>
      <x:c r="O1028" s="12"/>
      <x:c r="P1028" s="12"/>
      <x:c r="Q1028" s="12"/>
      <x:c r="R1028" s="12"/>
      <x:c r="S1028" s="12"/>
      <x:c r="T1028" s="12"/>
      <x:c r="U1028" s="12"/>
      <x:c r="V1028" s="12"/>
      <x:c r="W1028" s="12"/>
      <x:c r="X1028" s="12"/>
      <x:c r="Y1028" s="12"/>
      <x:c r="Z1028" s="12"/>
      <x:c r="AA1028" s="12"/>
    </x:row>
    <x:row r="1029">
      <x:c r="A1029" s="12"/>
      <x:c r="B1029" s="12"/>
      <x:c r="C1029" s="12"/>
      <x:c r="D1029" s="12"/>
      <x:c r="E1029" s="12"/>
      <x:c r="F1029" s="12"/>
      <x:c r="G1029" s="17"/>
      <x:c r="H1029" s="12"/>
      <x:c r="I1029" s="12"/>
      <x:c r="J1029" s="18"/>
      <x:c r="K1029" s="12"/>
      <x:c r="L1029" s="12"/>
      <x:c r="M1029" s="12"/>
      <x:c r="N1029" s="12"/>
      <x:c r="O1029" s="12"/>
      <x:c r="P1029" s="12"/>
      <x:c r="Q1029" s="12"/>
      <x:c r="R1029" s="12"/>
      <x:c r="S1029" s="12"/>
      <x:c r="T1029" s="12"/>
      <x:c r="U1029" s="12"/>
      <x:c r="V1029" s="12"/>
      <x:c r="W1029" s="12"/>
      <x:c r="X1029" s="12"/>
      <x:c r="Y1029" s="12"/>
      <x:c r="Z1029" s="12"/>
      <x:c r="AA1029" s="12"/>
    </x:row>
    <x:row r="1030">
      <x:c r="A1030" s="12"/>
      <x:c r="B1030" s="12"/>
      <x:c r="C1030" s="12"/>
      <x:c r="D1030" s="12"/>
      <x:c r="E1030" s="12"/>
      <x:c r="F1030" s="12"/>
      <x:c r="G1030" s="17"/>
      <x:c r="H1030" s="12"/>
      <x:c r="I1030" s="12"/>
      <x:c r="J1030" s="18"/>
      <x:c r="K1030" s="12"/>
      <x:c r="L1030" s="12"/>
      <x:c r="M1030" s="12"/>
      <x:c r="N1030" s="12"/>
      <x:c r="O1030" s="12"/>
      <x:c r="P1030" s="12"/>
      <x:c r="Q1030" s="12"/>
      <x:c r="R1030" s="12"/>
      <x:c r="S1030" s="12"/>
      <x:c r="T1030" s="12"/>
      <x:c r="U1030" s="12"/>
      <x:c r="V1030" s="12"/>
      <x:c r="W1030" s="12"/>
      <x:c r="X1030" s="12"/>
      <x:c r="Y1030" s="12"/>
      <x:c r="Z1030" s="12"/>
      <x:c r="AA1030" s="12"/>
    </x:row>
    <x:row r="1031">
      <x:c r="A1031" s="12"/>
      <x:c r="B1031" s="12"/>
      <x:c r="C1031" s="12"/>
      <x:c r="D1031" s="12"/>
      <x:c r="E1031" s="12"/>
      <x:c r="F1031" s="12"/>
      <x:c r="G1031" s="17"/>
      <x:c r="H1031" s="12"/>
      <x:c r="I1031" s="12"/>
      <x:c r="J1031" s="18"/>
      <x:c r="K1031" s="12"/>
      <x:c r="L1031" s="12"/>
      <x:c r="M1031" s="12"/>
      <x:c r="N1031" s="12"/>
      <x:c r="O1031" s="12"/>
      <x:c r="P1031" s="12"/>
      <x:c r="Q1031" s="12"/>
      <x:c r="R1031" s="12"/>
      <x:c r="S1031" s="12"/>
      <x:c r="T1031" s="12"/>
      <x:c r="U1031" s="12"/>
      <x:c r="V1031" s="12"/>
      <x:c r="W1031" s="12"/>
      <x:c r="X1031" s="12"/>
      <x:c r="Y1031" s="12"/>
      <x:c r="Z1031" s="12"/>
      <x:c r="AA1031" s="12"/>
    </x:row>
    <x:row r="1032">
      <x:c r="A1032" s="12"/>
      <x:c r="B1032" s="12"/>
      <x:c r="C1032" s="12"/>
      <x:c r="D1032" s="12"/>
      <x:c r="E1032" s="12"/>
      <x:c r="F1032" s="12"/>
      <x:c r="G1032" s="17"/>
      <x:c r="H1032" s="12"/>
      <x:c r="I1032" s="12"/>
      <x:c r="J1032" s="18"/>
      <x:c r="K1032" s="12"/>
      <x:c r="L1032" s="12"/>
      <x:c r="M1032" s="12"/>
      <x:c r="N1032" s="12"/>
      <x:c r="O1032" s="12"/>
      <x:c r="P1032" s="12"/>
      <x:c r="Q1032" s="12"/>
      <x:c r="R1032" s="12"/>
      <x:c r="S1032" s="12"/>
      <x:c r="T1032" s="12"/>
      <x:c r="U1032" s="12"/>
      <x:c r="V1032" s="12"/>
      <x:c r="W1032" s="12"/>
      <x:c r="X1032" s="12"/>
      <x:c r="Y1032" s="12"/>
      <x:c r="Z1032" s="12"/>
      <x:c r="AA1032" s="12"/>
    </x:row>
    <x:row r="1033">
      <x:c r="A1033" s="12"/>
      <x:c r="B1033" s="12"/>
      <x:c r="C1033" s="12"/>
      <x:c r="D1033" s="12"/>
      <x:c r="E1033" s="12"/>
      <x:c r="F1033" s="12"/>
      <x:c r="G1033" s="17"/>
      <x:c r="H1033" s="12"/>
      <x:c r="I1033" s="12"/>
      <x:c r="J1033" s="18"/>
      <x:c r="K1033" s="12"/>
      <x:c r="L1033" s="12"/>
      <x:c r="M1033" s="12"/>
      <x:c r="N1033" s="12"/>
      <x:c r="O1033" s="12"/>
      <x:c r="P1033" s="12"/>
      <x:c r="Q1033" s="12"/>
      <x:c r="R1033" s="12"/>
      <x:c r="S1033" s="12"/>
      <x:c r="T1033" s="12"/>
      <x:c r="U1033" s="12"/>
      <x:c r="V1033" s="12"/>
      <x:c r="W1033" s="12"/>
      <x:c r="X1033" s="12"/>
      <x:c r="Y1033" s="12"/>
      <x:c r="Z1033" s="12"/>
      <x:c r="AA1033" s="12"/>
    </x:row>
    <x:row r="1034">
      <x:c r="A1034" s="12"/>
      <x:c r="B1034" s="12"/>
      <x:c r="C1034" s="12"/>
      <x:c r="D1034" s="12"/>
      <x:c r="E1034" s="12"/>
      <x:c r="F1034" s="12"/>
      <x:c r="G1034" s="17"/>
      <x:c r="H1034" s="12"/>
      <x:c r="I1034" s="12"/>
      <x:c r="J1034" s="18"/>
      <x:c r="K1034" s="12"/>
      <x:c r="L1034" s="12"/>
      <x:c r="M1034" s="12"/>
      <x:c r="N1034" s="12"/>
      <x:c r="O1034" s="12"/>
      <x:c r="P1034" s="12"/>
      <x:c r="Q1034" s="12"/>
      <x:c r="R1034" s="12"/>
      <x:c r="S1034" s="12"/>
      <x:c r="T1034" s="12"/>
      <x:c r="U1034" s="12"/>
      <x:c r="V1034" s="12"/>
      <x:c r="W1034" s="12"/>
      <x:c r="X1034" s="12"/>
      <x:c r="Y1034" s="12"/>
      <x:c r="Z1034" s="12"/>
      <x:c r="AA1034" s="12"/>
    </x:row>
    <x:row r="1035">
      <x:c r="A1035" s="12"/>
      <x:c r="B1035" s="12"/>
      <x:c r="C1035" s="12"/>
      <x:c r="D1035" s="12"/>
      <x:c r="E1035" s="12"/>
      <x:c r="F1035" s="12"/>
      <x:c r="G1035" s="17"/>
      <x:c r="H1035" s="12"/>
      <x:c r="I1035" s="12"/>
      <x:c r="J1035" s="18"/>
      <x:c r="K1035" s="12"/>
      <x:c r="L1035" s="12"/>
      <x:c r="M1035" s="12"/>
      <x:c r="N1035" s="12"/>
      <x:c r="O1035" s="12"/>
      <x:c r="P1035" s="12"/>
      <x:c r="Q1035" s="12"/>
      <x:c r="R1035" s="12"/>
      <x:c r="S1035" s="12"/>
      <x:c r="T1035" s="12"/>
      <x:c r="U1035" s="12"/>
      <x:c r="V1035" s="12"/>
      <x:c r="W1035" s="12"/>
      <x:c r="X1035" s="12"/>
      <x:c r="Y1035" s="12"/>
      <x:c r="Z1035" s="12"/>
      <x:c r="AA1035" s="12"/>
    </x:row>
    <x:row r="1036">
      <x:c r="A1036" s="12"/>
      <x:c r="B1036" s="12"/>
      <x:c r="C1036" s="12"/>
      <x:c r="D1036" s="12"/>
      <x:c r="E1036" s="12"/>
      <x:c r="F1036" s="12"/>
      <x:c r="G1036" s="17"/>
      <x:c r="H1036" s="12"/>
      <x:c r="I1036" s="12"/>
      <x:c r="J1036" s="18"/>
      <x:c r="K1036" s="12"/>
      <x:c r="L1036" s="12"/>
      <x:c r="M1036" s="12"/>
      <x:c r="N1036" s="12"/>
      <x:c r="O1036" s="12"/>
      <x:c r="P1036" s="12"/>
      <x:c r="Q1036" s="12"/>
      <x:c r="R1036" s="12"/>
      <x:c r="S1036" s="12"/>
      <x:c r="T1036" s="12"/>
      <x:c r="U1036" s="12"/>
      <x:c r="V1036" s="12"/>
      <x:c r="W1036" s="12"/>
      <x:c r="X1036" s="12"/>
      <x:c r="Y1036" s="12"/>
      <x:c r="Z1036" s="12"/>
      <x:c r="AA1036" s="12"/>
    </x:row>
    <x:row r="1037">
      <x:c r="A1037" s="12"/>
      <x:c r="B1037" s="12"/>
      <x:c r="C1037" s="12"/>
      <x:c r="D1037" s="12"/>
      <x:c r="E1037" s="12"/>
      <x:c r="F1037" s="12"/>
      <x:c r="G1037" s="17"/>
      <x:c r="H1037" s="12"/>
      <x:c r="I1037" s="12"/>
      <x:c r="J1037" s="18"/>
      <x:c r="K1037" s="12"/>
      <x:c r="L1037" s="12"/>
      <x:c r="M1037" s="12"/>
      <x:c r="N1037" s="12"/>
      <x:c r="O1037" s="12"/>
      <x:c r="P1037" s="12"/>
      <x:c r="Q1037" s="12"/>
      <x:c r="R1037" s="12"/>
      <x:c r="S1037" s="12"/>
      <x:c r="T1037" s="12"/>
      <x:c r="U1037" s="12"/>
      <x:c r="V1037" s="12"/>
      <x:c r="W1037" s="12"/>
      <x:c r="X1037" s="12"/>
      <x:c r="Y1037" s="12"/>
      <x:c r="Z1037" s="12"/>
      <x:c r="AA1037" s="12"/>
    </x:row>
    <x:row r="1038">
      <x:c r="A1038" s="12"/>
      <x:c r="B1038" s="12"/>
      <x:c r="C1038" s="12"/>
      <x:c r="D1038" s="12"/>
      <x:c r="E1038" s="12"/>
      <x:c r="F1038" s="12"/>
      <x:c r="G1038" s="17"/>
      <x:c r="H1038" s="12"/>
      <x:c r="I1038" s="12"/>
      <x:c r="J1038" s="18"/>
      <x:c r="K1038" s="12"/>
      <x:c r="L1038" s="12"/>
      <x:c r="M1038" s="12"/>
      <x:c r="N1038" s="12"/>
      <x:c r="O1038" s="12"/>
      <x:c r="P1038" s="12"/>
      <x:c r="Q1038" s="12"/>
      <x:c r="R1038" s="12"/>
      <x:c r="S1038" s="12"/>
      <x:c r="T1038" s="12"/>
      <x:c r="U1038" s="12"/>
      <x:c r="V1038" s="12"/>
      <x:c r="W1038" s="12"/>
      <x:c r="X1038" s="12"/>
      <x:c r="Y1038" s="12"/>
      <x:c r="Z1038" s="12"/>
      <x:c r="AA1038" s="12"/>
    </x:row>
    <x:row r="1039">
      <x:c r="A1039" s="12"/>
      <x:c r="B1039" s="12"/>
      <x:c r="C1039" s="12"/>
      <x:c r="D1039" s="12"/>
      <x:c r="E1039" s="12"/>
      <x:c r="F1039" s="12"/>
      <x:c r="G1039" s="17"/>
      <x:c r="H1039" s="12"/>
      <x:c r="I1039" s="12"/>
      <x:c r="J1039" s="18"/>
      <x:c r="K1039" s="12"/>
      <x:c r="L1039" s="12"/>
      <x:c r="M1039" s="12"/>
      <x:c r="N1039" s="12"/>
      <x:c r="O1039" s="12"/>
      <x:c r="P1039" s="12"/>
      <x:c r="Q1039" s="12"/>
      <x:c r="R1039" s="12"/>
      <x:c r="S1039" s="12"/>
      <x:c r="T1039" s="12"/>
      <x:c r="U1039" s="12"/>
      <x:c r="V1039" s="12"/>
      <x:c r="W1039" s="12"/>
      <x:c r="X1039" s="12"/>
      <x:c r="Y1039" s="12"/>
      <x:c r="Z1039" s="12"/>
      <x:c r="AA1039" s="12"/>
    </x:row>
    <x:row r="1040">
      <x:c r="A1040" s="12"/>
      <x:c r="B1040" s="12"/>
      <x:c r="C1040" s="12"/>
      <x:c r="D1040" s="12"/>
      <x:c r="E1040" s="12"/>
      <x:c r="F1040" s="12"/>
      <x:c r="G1040" s="17"/>
      <x:c r="H1040" s="12"/>
      <x:c r="I1040" s="12"/>
      <x:c r="J1040" s="18"/>
      <x:c r="K1040" s="12"/>
      <x:c r="L1040" s="12"/>
      <x:c r="M1040" s="12"/>
      <x:c r="N1040" s="12"/>
      <x:c r="O1040" s="12"/>
      <x:c r="P1040" s="12"/>
      <x:c r="Q1040" s="12"/>
      <x:c r="R1040" s="12"/>
      <x:c r="S1040" s="12"/>
      <x:c r="T1040" s="12"/>
      <x:c r="U1040" s="12"/>
      <x:c r="V1040" s="12"/>
      <x:c r="W1040" s="12"/>
      <x:c r="X1040" s="12"/>
      <x:c r="Y1040" s="12"/>
      <x:c r="Z1040" s="12"/>
      <x:c r="AA1040" s="12"/>
    </x:row>
    <x:row r="1041">
      <x:c r="A1041" s="12"/>
      <x:c r="B1041" s="12"/>
      <x:c r="C1041" s="12"/>
      <x:c r="D1041" s="12"/>
      <x:c r="E1041" s="12"/>
      <x:c r="F1041" s="12"/>
      <x:c r="G1041" s="17"/>
      <x:c r="H1041" s="12"/>
      <x:c r="I1041" s="12"/>
      <x:c r="J1041" s="18"/>
      <x:c r="K1041" s="12"/>
      <x:c r="L1041" s="12"/>
      <x:c r="M1041" s="12"/>
      <x:c r="N1041" s="12"/>
      <x:c r="O1041" s="12"/>
      <x:c r="P1041" s="12"/>
      <x:c r="Q1041" s="12"/>
      <x:c r="R1041" s="12"/>
      <x:c r="S1041" s="12"/>
      <x:c r="T1041" s="12"/>
      <x:c r="U1041" s="12"/>
      <x:c r="V1041" s="12"/>
      <x:c r="W1041" s="12"/>
      <x:c r="X1041" s="12"/>
      <x:c r="Y1041" s="12"/>
      <x:c r="Z1041" s="12"/>
      <x:c r="AA1041" s="12"/>
    </x:row>
    <x:row r="1042">
      <x:c r="A1042" s="12"/>
      <x:c r="B1042" s="12"/>
      <x:c r="C1042" s="12"/>
      <x:c r="D1042" s="12"/>
      <x:c r="E1042" s="12"/>
      <x:c r="F1042" s="12"/>
      <x:c r="G1042" s="17"/>
      <x:c r="H1042" s="12"/>
      <x:c r="I1042" s="12"/>
      <x:c r="J1042" s="18"/>
      <x:c r="K1042" s="12"/>
      <x:c r="L1042" s="12"/>
      <x:c r="M1042" s="12"/>
      <x:c r="N1042" s="12"/>
      <x:c r="O1042" s="12"/>
      <x:c r="P1042" s="12"/>
      <x:c r="Q1042" s="12"/>
      <x:c r="R1042" s="12"/>
      <x:c r="S1042" s="12"/>
      <x:c r="T1042" s="12"/>
      <x:c r="U1042" s="12"/>
      <x:c r="V1042" s="12"/>
      <x:c r="W1042" s="12"/>
      <x:c r="X1042" s="12"/>
      <x:c r="Y1042" s="12"/>
      <x:c r="Z1042" s="12"/>
      <x:c r="AA1042" s="12"/>
    </x:row>
    <x:row r="1043">
      <x:c r="A1043" s="12"/>
      <x:c r="B1043" s="12"/>
      <x:c r="C1043" s="12"/>
      <x:c r="D1043" s="12"/>
      <x:c r="E1043" s="12"/>
      <x:c r="F1043" s="12"/>
      <x:c r="G1043" s="17"/>
      <x:c r="H1043" s="12"/>
      <x:c r="I1043" s="12"/>
      <x:c r="J1043" s="18"/>
      <x:c r="K1043" s="12"/>
      <x:c r="L1043" s="12"/>
      <x:c r="M1043" s="12"/>
      <x:c r="N1043" s="12"/>
      <x:c r="O1043" s="12"/>
      <x:c r="P1043" s="12"/>
      <x:c r="Q1043" s="12"/>
      <x:c r="R1043" s="12"/>
      <x:c r="S1043" s="12"/>
      <x:c r="T1043" s="12"/>
      <x:c r="U1043" s="12"/>
      <x:c r="V1043" s="12"/>
      <x:c r="W1043" s="12"/>
      <x:c r="X1043" s="12"/>
      <x:c r="Y1043" s="12"/>
      <x:c r="Z1043" s="12"/>
      <x:c r="AA1043" s="12"/>
    </x:row>
    <x:row r="1044">
      <x:c r="A1044" s="12"/>
      <x:c r="B1044" s="12"/>
      <x:c r="C1044" s="12"/>
      <x:c r="D1044" s="12"/>
      <x:c r="E1044" s="12"/>
      <x:c r="F1044" s="12"/>
      <x:c r="G1044" s="17"/>
      <x:c r="H1044" s="12"/>
      <x:c r="I1044" s="12"/>
      <x:c r="J1044" s="18"/>
      <x:c r="K1044" s="12"/>
      <x:c r="L1044" s="12"/>
      <x:c r="M1044" s="12"/>
      <x:c r="N1044" s="12"/>
      <x:c r="O1044" s="12"/>
      <x:c r="P1044" s="12"/>
      <x:c r="Q1044" s="12"/>
      <x:c r="R1044" s="12"/>
      <x:c r="S1044" s="12"/>
      <x:c r="T1044" s="12"/>
      <x:c r="U1044" s="12"/>
      <x:c r="V1044" s="12"/>
      <x:c r="W1044" s="12"/>
      <x:c r="X1044" s="12"/>
      <x:c r="Y1044" s="12"/>
      <x:c r="Z1044" s="12"/>
      <x:c r="AA1044" s="12"/>
    </x:row>
    <x:row r="1045">
      <x:c r="A1045" s="12"/>
      <x:c r="B1045" s="12"/>
      <x:c r="C1045" s="12"/>
      <x:c r="D1045" s="12"/>
      <x:c r="E1045" s="12"/>
      <x:c r="F1045" s="12"/>
      <x:c r="G1045" s="17"/>
      <x:c r="H1045" s="12"/>
      <x:c r="I1045" s="12"/>
      <x:c r="J1045" s="18"/>
      <x:c r="K1045" s="12"/>
      <x:c r="L1045" s="12"/>
      <x:c r="M1045" s="12"/>
      <x:c r="N1045" s="12"/>
      <x:c r="O1045" s="12"/>
      <x:c r="P1045" s="12"/>
      <x:c r="Q1045" s="12"/>
      <x:c r="R1045" s="12"/>
      <x:c r="S1045" s="12"/>
      <x:c r="T1045" s="12"/>
      <x:c r="U1045" s="12"/>
      <x:c r="V1045" s="12"/>
      <x:c r="W1045" s="12"/>
      <x:c r="X1045" s="12"/>
      <x:c r="Y1045" s="12"/>
      <x:c r="Z1045" s="12"/>
      <x:c r="AA1045" s="12"/>
    </x:row>
    <x:row r="1046">
      <x:c r="A1046" s="12"/>
      <x:c r="B1046" s="12"/>
      <x:c r="C1046" s="12"/>
      <x:c r="D1046" s="12"/>
      <x:c r="E1046" s="12"/>
      <x:c r="F1046" s="12"/>
      <x:c r="G1046" s="17"/>
      <x:c r="H1046" s="12"/>
      <x:c r="I1046" s="12"/>
      <x:c r="J1046" s="18"/>
      <x:c r="K1046" s="12"/>
      <x:c r="L1046" s="12"/>
      <x:c r="M1046" s="12"/>
      <x:c r="N1046" s="12"/>
      <x:c r="O1046" s="12"/>
      <x:c r="P1046" s="12"/>
      <x:c r="Q1046" s="12"/>
      <x:c r="R1046" s="12"/>
      <x:c r="S1046" s="12"/>
      <x:c r="T1046" s="12"/>
      <x:c r="U1046" s="12"/>
      <x:c r="V1046" s="12"/>
      <x:c r="W1046" s="12"/>
      <x:c r="X1046" s="12"/>
      <x:c r="Y1046" s="12"/>
      <x:c r="Z1046" s="12"/>
      <x:c r="AA1046" s="12"/>
    </x:row>
    <x:row r="1047">
      <x:c r="A1047" s="12"/>
      <x:c r="B1047" s="12"/>
      <x:c r="C1047" s="12"/>
      <x:c r="D1047" s="12"/>
      <x:c r="E1047" s="12"/>
      <x:c r="F1047" s="12"/>
      <x:c r="G1047" s="17"/>
      <x:c r="H1047" s="12"/>
      <x:c r="I1047" s="12"/>
      <x:c r="J1047" s="18"/>
      <x:c r="K1047" s="12"/>
      <x:c r="L1047" s="12"/>
      <x:c r="M1047" s="12"/>
      <x:c r="N1047" s="12"/>
      <x:c r="O1047" s="12"/>
      <x:c r="P1047" s="12"/>
      <x:c r="Q1047" s="12"/>
      <x:c r="R1047" s="12"/>
      <x:c r="S1047" s="12"/>
      <x:c r="T1047" s="12"/>
      <x:c r="U1047" s="12"/>
      <x:c r="V1047" s="12"/>
      <x:c r="W1047" s="12"/>
      <x:c r="X1047" s="12"/>
      <x:c r="Y1047" s="12"/>
      <x:c r="Z1047" s="12"/>
      <x:c r="AA1047" s="12"/>
    </x:row>
    <x:row r="1048">
      <x:c r="A1048" s="12"/>
      <x:c r="B1048" s="12"/>
      <x:c r="C1048" s="12"/>
      <x:c r="D1048" s="12"/>
      <x:c r="E1048" s="12"/>
      <x:c r="F1048" s="12"/>
      <x:c r="G1048" s="17"/>
      <x:c r="H1048" s="12"/>
      <x:c r="I1048" s="12"/>
      <x:c r="J1048" s="18"/>
      <x:c r="K1048" s="12"/>
      <x:c r="L1048" s="12"/>
      <x:c r="M1048" s="12"/>
      <x:c r="N1048" s="12"/>
      <x:c r="O1048" s="12"/>
      <x:c r="P1048" s="12"/>
      <x:c r="Q1048" s="12"/>
      <x:c r="R1048" s="12"/>
      <x:c r="S1048" s="12"/>
      <x:c r="T1048" s="12"/>
      <x:c r="U1048" s="12"/>
      <x:c r="V1048" s="12"/>
      <x:c r="W1048" s="12"/>
      <x:c r="X1048" s="12"/>
      <x:c r="Y1048" s="12"/>
      <x:c r="Z1048" s="12"/>
      <x:c r="AA1048" s="12"/>
    </x:row>
    <x:row r="1049">
      <x:c r="A1049" s="12"/>
      <x:c r="B1049" s="12"/>
      <x:c r="C1049" s="12"/>
      <x:c r="D1049" s="12"/>
      <x:c r="E1049" s="12"/>
      <x:c r="F1049" s="12"/>
      <x:c r="G1049" s="17"/>
      <x:c r="H1049" s="12"/>
      <x:c r="I1049" s="12"/>
      <x:c r="J1049" s="18"/>
      <x:c r="K1049" s="12"/>
      <x:c r="L1049" s="12"/>
      <x:c r="M1049" s="12"/>
      <x:c r="N1049" s="12"/>
      <x:c r="O1049" s="12"/>
      <x:c r="P1049" s="12"/>
      <x:c r="Q1049" s="12"/>
      <x:c r="R1049" s="12"/>
      <x:c r="S1049" s="12"/>
      <x:c r="T1049" s="12"/>
      <x:c r="U1049" s="12"/>
      <x:c r="V1049" s="12"/>
      <x:c r="W1049" s="12"/>
      <x:c r="X1049" s="12"/>
      <x:c r="Y1049" s="12"/>
      <x:c r="Z1049" s="12"/>
      <x:c r="AA1049" s="12"/>
    </x:row>
    <x:row r="1050">
      <x:c r="A1050" s="12"/>
      <x:c r="B1050" s="12"/>
      <x:c r="C1050" s="12"/>
      <x:c r="D1050" s="12"/>
      <x:c r="E1050" s="12"/>
      <x:c r="F1050" s="12"/>
      <x:c r="G1050" s="17"/>
      <x:c r="H1050" s="12"/>
      <x:c r="I1050" s="12"/>
      <x:c r="J1050" s="18"/>
      <x:c r="K1050" s="12"/>
      <x:c r="L1050" s="12"/>
      <x:c r="M1050" s="12"/>
      <x:c r="N1050" s="12"/>
      <x:c r="O1050" s="12"/>
      <x:c r="P1050" s="12"/>
      <x:c r="Q1050" s="12"/>
      <x:c r="R1050" s="12"/>
      <x:c r="S1050" s="12"/>
      <x:c r="T1050" s="12"/>
      <x:c r="U1050" s="12"/>
      <x:c r="V1050" s="12"/>
      <x:c r="W1050" s="12"/>
      <x:c r="X1050" s="12"/>
      <x:c r="Y1050" s="12"/>
      <x:c r="Z1050" s="12"/>
      <x:c r="AA1050" s="12"/>
    </x:row>
    <x:row r="1051">
      <x:c r="A1051" s="12"/>
      <x:c r="B1051" s="12"/>
      <x:c r="C1051" s="12"/>
      <x:c r="D1051" s="12"/>
      <x:c r="E1051" s="12"/>
      <x:c r="F1051" s="12"/>
      <x:c r="G1051" s="17"/>
      <x:c r="H1051" s="12"/>
      <x:c r="I1051" s="12"/>
      <x:c r="J1051" s="18"/>
      <x:c r="K1051" s="12"/>
      <x:c r="L1051" s="12"/>
      <x:c r="M1051" s="12"/>
      <x:c r="N1051" s="12"/>
      <x:c r="O1051" s="12"/>
      <x:c r="P1051" s="12"/>
      <x:c r="Q1051" s="12"/>
      <x:c r="R1051" s="12"/>
      <x:c r="S1051" s="12"/>
      <x:c r="T1051" s="12"/>
      <x:c r="U1051" s="12"/>
      <x:c r="V1051" s="12"/>
      <x:c r="W1051" s="12"/>
      <x:c r="X1051" s="12"/>
      <x:c r="Y1051" s="12"/>
      <x:c r="Z1051" s="12"/>
      <x:c r="AA1051" s="12"/>
    </x:row>
    <x:row r="1052">
      <x:c r="A1052" s="12"/>
      <x:c r="B1052" s="12"/>
      <x:c r="C1052" s="12"/>
      <x:c r="D1052" s="12"/>
      <x:c r="E1052" s="12"/>
      <x:c r="F1052" s="12"/>
      <x:c r="G1052" s="17"/>
      <x:c r="H1052" s="12"/>
      <x:c r="I1052" s="12"/>
      <x:c r="J1052" s="18"/>
      <x:c r="K1052" s="12"/>
      <x:c r="L1052" s="12"/>
      <x:c r="M1052" s="12"/>
      <x:c r="N1052" s="12"/>
      <x:c r="O1052" s="12"/>
      <x:c r="P1052" s="12"/>
      <x:c r="Q1052" s="12"/>
      <x:c r="R1052" s="12"/>
      <x:c r="S1052" s="12"/>
      <x:c r="T1052" s="12"/>
      <x:c r="U1052" s="12"/>
      <x:c r="V1052" s="12"/>
      <x:c r="W1052" s="12"/>
      <x:c r="X1052" s="12"/>
      <x:c r="Y1052" s="12"/>
      <x:c r="Z1052" s="12"/>
      <x:c r="AA1052" s="12"/>
    </x:row>
    <x:row r="1053">
      <x:c r="A1053" s="12"/>
      <x:c r="B1053" s="12"/>
      <x:c r="C1053" s="12"/>
      <x:c r="D1053" s="12"/>
      <x:c r="E1053" s="12"/>
      <x:c r="F1053" s="12"/>
      <x:c r="G1053" s="17"/>
      <x:c r="H1053" s="12"/>
      <x:c r="I1053" s="12"/>
      <x:c r="J1053" s="18"/>
      <x:c r="K1053" s="12"/>
      <x:c r="L1053" s="12"/>
      <x:c r="M1053" s="12"/>
      <x:c r="N1053" s="12"/>
      <x:c r="O1053" s="12"/>
      <x:c r="P1053" s="12"/>
      <x:c r="Q1053" s="12"/>
      <x:c r="R1053" s="12"/>
      <x:c r="S1053" s="12"/>
      <x:c r="T1053" s="12"/>
      <x:c r="U1053" s="12"/>
      <x:c r="V1053" s="12"/>
      <x:c r="W1053" s="12"/>
      <x:c r="X1053" s="12"/>
      <x:c r="Y1053" s="12"/>
      <x:c r="Z1053" s="12"/>
      <x:c r="AA1053" s="12"/>
    </x:row>
    <x:row r="1054">
      <x:c r="A1054" s="12"/>
      <x:c r="B1054" s="12"/>
      <x:c r="C1054" s="12"/>
      <x:c r="D1054" s="12"/>
      <x:c r="E1054" s="12"/>
      <x:c r="F1054" s="12"/>
      <x:c r="G1054" s="17"/>
      <x:c r="H1054" s="12"/>
      <x:c r="I1054" s="12"/>
      <x:c r="J1054" s="18"/>
      <x:c r="K1054" s="12"/>
      <x:c r="L1054" s="12"/>
      <x:c r="M1054" s="12"/>
      <x:c r="N1054" s="12"/>
      <x:c r="O1054" s="12"/>
      <x:c r="P1054" s="12"/>
      <x:c r="Q1054" s="12"/>
      <x:c r="R1054" s="12"/>
      <x:c r="S1054" s="12"/>
      <x:c r="T1054" s="12"/>
      <x:c r="U1054" s="12"/>
      <x:c r="V1054" s="12"/>
      <x:c r="W1054" s="12"/>
      <x:c r="X1054" s="12"/>
      <x:c r="Y1054" s="12"/>
      <x:c r="Z1054" s="12"/>
      <x:c r="AA1054" s="12"/>
    </x:row>
    <x:row r="1055">
      <x:c r="A1055" s="12"/>
      <x:c r="B1055" s="12"/>
      <x:c r="C1055" s="12"/>
      <x:c r="D1055" s="12"/>
      <x:c r="E1055" s="12"/>
      <x:c r="F1055" s="12"/>
      <x:c r="G1055" s="17"/>
      <x:c r="H1055" s="12"/>
      <x:c r="I1055" s="12"/>
      <x:c r="J1055" s="18"/>
      <x:c r="K1055" s="12"/>
      <x:c r="L1055" s="12"/>
      <x:c r="M1055" s="12"/>
      <x:c r="N1055" s="12"/>
      <x:c r="O1055" s="12"/>
      <x:c r="P1055" s="12"/>
      <x:c r="Q1055" s="12"/>
      <x:c r="R1055" s="12"/>
      <x:c r="S1055" s="12"/>
      <x:c r="T1055" s="12"/>
      <x:c r="U1055" s="12"/>
      <x:c r="V1055" s="12"/>
      <x:c r="W1055" s="12"/>
      <x:c r="X1055" s="12"/>
      <x:c r="Y1055" s="12"/>
      <x:c r="Z1055" s="12"/>
      <x:c r="AA1055" s="12"/>
    </x:row>
    <x:row r="1056">
      <x:c r="A1056" s="12"/>
      <x:c r="B1056" s="12"/>
      <x:c r="C1056" s="12"/>
      <x:c r="D1056" s="12"/>
      <x:c r="E1056" s="12"/>
      <x:c r="F1056" s="12"/>
      <x:c r="G1056" s="17"/>
      <x:c r="H1056" s="12"/>
      <x:c r="I1056" s="12"/>
      <x:c r="J1056" s="18"/>
      <x:c r="K1056" s="12"/>
      <x:c r="L1056" s="12"/>
      <x:c r="M1056" s="12"/>
      <x:c r="N1056" s="12"/>
      <x:c r="O1056" s="12"/>
      <x:c r="P1056" s="12"/>
      <x:c r="Q1056" s="12"/>
      <x:c r="R1056" s="12"/>
      <x:c r="S1056" s="12"/>
      <x:c r="T1056" s="12"/>
      <x:c r="U1056" s="12"/>
      <x:c r="V1056" s="12"/>
      <x:c r="W1056" s="12"/>
      <x:c r="X1056" s="12"/>
      <x:c r="Y1056" s="12"/>
      <x:c r="Z1056" s="12"/>
      <x:c r="AA1056" s="12"/>
    </x:row>
    <x:row r="1057">
      <x:c r="A1057" s="12"/>
      <x:c r="B1057" s="12"/>
      <x:c r="C1057" s="12"/>
      <x:c r="D1057" s="12"/>
      <x:c r="E1057" s="12"/>
      <x:c r="F1057" s="12"/>
      <x:c r="G1057" s="17"/>
      <x:c r="H1057" s="12"/>
      <x:c r="I1057" s="12"/>
      <x:c r="J1057" s="18"/>
      <x:c r="K1057" s="12"/>
      <x:c r="L1057" s="12"/>
      <x:c r="M1057" s="12"/>
      <x:c r="N1057" s="12"/>
      <x:c r="O1057" s="12"/>
      <x:c r="P1057" s="12"/>
      <x:c r="Q1057" s="12"/>
      <x:c r="R1057" s="12"/>
      <x:c r="S1057" s="12"/>
      <x:c r="T1057" s="12"/>
      <x:c r="U1057" s="12"/>
      <x:c r="V1057" s="12"/>
      <x:c r="W1057" s="12"/>
      <x:c r="X1057" s="12"/>
      <x:c r="Y1057" s="12"/>
      <x:c r="Z1057" s="12"/>
      <x:c r="AA1057" s="12"/>
    </x:row>
    <x:row r="1058">
      <x:c r="A1058" s="12"/>
      <x:c r="B1058" s="12"/>
      <x:c r="C1058" s="12"/>
      <x:c r="D1058" s="12"/>
      <x:c r="E1058" s="12"/>
      <x:c r="F1058" s="12"/>
      <x:c r="G1058" s="17"/>
      <x:c r="H1058" s="12"/>
      <x:c r="I1058" s="12"/>
      <x:c r="J1058" s="18"/>
      <x:c r="K1058" s="12"/>
      <x:c r="L1058" s="12"/>
      <x:c r="M1058" s="12"/>
      <x:c r="N1058" s="12"/>
      <x:c r="O1058" s="12"/>
      <x:c r="P1058" s="12"/>
      <x:c r="Q1058" s="12"/>
      <x:c r="R1058" s="12"/>
      <x:c r="S1058" s="12"/>
      <x:c r="T1058" s="12"/>
      <x:c r="U1058" s="12"/>
      <x:c r="V1058" s="12"/>
      <x:c r="W1058" s="12"/>
      <x:c r="X1058" s="12"/>
      <x:c r="Y1058" s="12"/>
      <x:c r="Z1058" s="12"/>
      <x:c r="AA1058" s="12"/>
    </x:row>
    <x:row r="1059">
      <x:c r="A1059" s="12"/>
      <x:c r="B1059" s="12"/>
      <x:c r="C1059" s="12"/>
      <x:c r="D1059" s="12"/>
      <x:c r="E1059" s="12"/>
      <x:c r="F1059" s="12"/>
      <x:c r="G1059" s="17"/>
      <x:c r="H1059" s="12"/>
      <x:c r="I1059" s="12"/>
      <x:c r="J1059" s="18"/>
      <x:c r="K1059" s="12"/>
      <x:c r="L1059" s="12"/>
      <x:c r="M1059" s="12"/>
      <x:c r="N1059" s="12"/>
      <x:c r="O1059" s="12"/>
      <x:c r="P1059" s="12"/>
      <x:c r="Q1059" s="12"/>
      <x:c r="R1059" s="12"/>
      <x:c r="S1059" s="12"/>
      <x:c r="T1059" s="12"/>
      <x:c r="U1059" s="12"/>
      <x:c r="V1059" s="12"/>
      <x:c r="W1059" s="12"/>
      <x:c r="X1059" s="12"/>
      <x:c r="Y1059" s="12"/>
      <x:c r="Z1059" s="12"/>
      <x:c r="AA1059" s="12"/>
    </x:row>
    <x:row r="1060">
      <x:c r="A1060" s="12"/>
      <x:c r="B1060" s="12"/>
      <x:c r="C1060" s="12"/>
      <x:c r="D1060" s="12"/>
      <x:c r="E1060" s="12"/>
      <x:c r="F1060" s="12"/>
      <x:c r="G1060" s="17"/>
      <x:c r="H1060" s="12"/>
      <x:c r="I1060" s="12"/>
      <x:c r="J1060" s="18"/>
      <x:c r="K1060" s="12"/>
      <x:c r="L1060" s="12"/>
      <x:c r="M1060" s="12"/>
      <x:c r="N1060" s="12"/>
      <x:c r="O1060" s="12"/>
      <x:c r="P1060" s="12"/>
      <x:c r="Q1060" s="12"/>
      <x:c r="R1060" s="12"/>
      <x:c r="S1060" s="12"/>
      <x:c r="T1060" s="12"/>
      <x:c r="U1060" s="12"/>
      <x:c r="V1060" s="12"/>
      <x:c r="W1060" s="12"/>
      <x:c r="X1060" s="12"/>
      <x:c r="Y1060" s="12"/>
      <x:c r="Z1060" s="12"/>
      <x:c r="AA1060" s="12"/>
    </x:row>
    <x:row r="1061">
      <x:c r="A1061" s="12"/>
      <x:c r="B1061" s="12"/>
      <x:c r="C1061" s="12"/>
      <x:c r="D1061" s="12"/>
      <x:c r="E1061" s="12"/>
      <x:c r="F1061" s="12"/>
      <x:c r="G1061" s="17"/>
      <x:c r="H1061" s="12"/>
      <x:c r="I1061" s="12"/>
      <x:c r="J1061" s="18"/>
      <x:c r="K1061" s="12"/>
      <x:c r="L1061" s="12"/>
      <x:c r="M1061" s="12"/>
      <x:c r="N1061" s="12"/>
      <x:c r="O1061" s="12"/>
      <x:c r="P1061" s="12"/>
      <x:c r="Q1061" s="12"/>
      <x:c r="R1061" s="12"/>
      <x:c r="S1061" s="12"/>
      <x:c r="T1061" s="12"/>
      <x:c r="U1061" s="12"/>
      <x:c r="V1061" s="12"/>
      <x:c r="W1061" s="12"/>
      <x:c r="X1061" s="12"/>
      <x:c r="Y1061" s="12"/>
      <x:c r="Z1061" s="12"/>
      <x:c r="AA1061" s="12"/>
    </x:row>
    <x:row r="1062">
      <x:c r="A1062" s="12"/>
      <x:c r="B1062" s="12"/>
      <x:c r="C1062" s="12"/>
      <x:c r="D1062" s="12"/>
      <x:c r="E1062" s="12"/>
      <x:c r="F1062" s="12"/>
      <x:c r="G1062" s="17"/>
      <x:c r="H1062" s="12"/>
      <x:c r="I1062" s="12"/>
      <x:c r="J1062" s="18"/>
      <x:c r="K1062" s="12"/>
      <x:c r="L1062" s="12"/>
      <x:c r="M1062" s="12"/>
      <x:c r="N1062" s="12"/>
      <x:c r="O1062" s="12"/>
      <x:c r="P1062" s="12"/>
      <x:c r="Q1062" s="12"/>
      <x:c r="R1062" s="12"/>
      <x:c r="S1062" s="12"/>
      <x:c r="T1062" s="12"/>
      <x:c r="U1062" s="12"/>
      <x:c r="V1062" s="12"/>
      <x:c r="W1062" s="12"/>
      <x:c r="X1062" s="12"/>
      <x:c r="Y1062" s="12"/>
      <x:c r="Z1062" s="12"/>
      <x:c r="AA1062" s="12"/>
    </x:row>
    <x:row r="1063">
      <x:c r="A1063" s="12"/>
      <x:c r="B1063" s="12"/>
      <x:c r="C1063" s="12"/>
      <x:c r="D1063" s="12"/>
      <x:c r="E1063" s="12"/>
      <x:c r="F1063" s="12"/>
      <x:c r="G1063" s="17"/>
      <x:c r="H1063" s="12"/>
      <x:c r="I1063" s="12"/>
      <x:c r="J1063" s="18"/>
      <x:c r="K1063" s="12"/>
      <x:c r="L1063" s="12"/>
      <x:c r="M1063" s="12"/>
      <x:c r="N1063" s="12"/>
      <x:c r="O1063" s="12"/>
      <x:c r="P1063" s="12"/>
      <x:c r="Q1063" s="12"/>
      <x:c r="R1063" s="12"/>
      <x:c r="S1063" s="12"/>
      <x:c r="T1063" s="12"/>
      <x:c r="U1063" s="12"/>
      <x:c r="V1063" s="12"/>
      <x:c r="W1063" s="12"/>
      <x:c r="X1063" s="12"/>
      <x:c r="Y1063" s="12"/>
      <x:c r="Z1063" s="12"/>
      <x:c r="AA1063" s="12"/>
    </x:row>
    <x:row r="1064">
      <x:c r="A1064" s="12"/>
      <x:c r="B1064" s="12"/>
      <x:c r="C1064" s="12"/>
      <x:c r="D1064" s="12"/>
      <x:c r="E1064" s="12"/>
      <x:c r="F1064" s="12"/>
      <x:c r="G1064" s="17"/>
      <x:c r="H1064" s="12"/>
      <x:c r="I1064" s="12"/>
      <x:c r="J1064" s="18"/>
      <x:c r="K1064" s="12"/>
      <x:c r="L1064" s="12"/>
      <x:c r="M1064" s="12"/>
      <x:c r="N1064" s="12"/>
      <x:c r="O1064" s="12"/>
      <x:c r="P1064" s="12"/>
      <x:c r="Q1064" s="12"/>
      <x:c r="R1064" s="12"/>
      <x:c r="S1064" s="12"/>
      <x:c r="T1064" s="12"/>
      <x:c r="U1064" s="12"/>
      <x:c r="V1064" s="12"/>
      <x:c r="W1064" s="12"/>
      <x:c r="X1064" s="12"/>
      <x:c r="Y1064" s="12"/>
      <x:c r="Z1064" s="12"/>
      <x:c r="AA1064" s="12"/>
    </x:row>
    <x:row r="1065">
      <x:c r="A1065" s="12"/>
      <x:c r="B1065" s="12"/>
      <x:c r="C1065" s="12"/>
      <x:c r="D1065" s="12"/>
      <x:c r="E1065" s="12"/>
      <x:c r="F1065" s="12"/>
      <x:c r="G1065" s="17"/>
      <x:c r="H1065" s="12"/>
      <x:c r="I1065" s="12"/>
      <x:c r="J1065" s="18"/>
      <x:c r="K1065" s="12"/>
      <x:c r="L1065" s="12"/>
      <x:c r="M1065" s="12"/>
      <x:c r="N1065" s="12"/>
      <x:c r="O1065" s="12"/>
      <x:c r="P1065" s="12"/>
      <x:c r="Q1065" s="12"/>
      <x:c r="R1065" s="12"/>
      <x:c r="S1065" s="12"/>
      <x:c r="T1065" s="12"/>
      <x:c r="U1065" s="12"/>
      <x:c r="V1065" s="12"/>
      <x:c r="W1065" s="12"/>
      <x:c r="X1065" s="12"/>
      <x:c r="Y1065" s="12"/>
      <x:c r="Z1065" s="12"/>
      <x:c r="AA1065" s="12"/>
    </x:row>
    <x:row r="1066">
      <x:c r="A1066" s="12"/>
      <x:c r="B1066" s="12"/>
      <x:c r="C1066" s="12"/>
      <x:c r="D1066" s="12"/>
      <x:c r="E1066" s="12"/>
      <x:c r="F1066" s="12"/>
      <x:c r="G1066" s="17"/>
      <x:c r="H1066" s="12"/>
      <x:c r="I1066" s="12"/>
      <x:c r="J1066" s="18"/>
      <x:c r="K1066" s="12"/>
      <x:c r="L1066" s="12"/>
      <x:c r="M1066" s="12"/>
      <x:c r="N1066" s="12"/>
      <x:c r="O1066" s="12"/>
      <x:c r="P1066" s="12"/>
      <x:c r="Q1066" s="12"/>
      <x:c r="R1066" s="12"/>
      <x:c r="S1066" s="12"/>
      <x:c r="T1066" s="12"/>
      <x:c r="U1066" s="12"/>
      <x:c r="V1066" s="12"/>
      <x:c r="W1066" s="12"/>
      <x:c r="X1066" s="12"/>
      <x:c r="Y1066" s="12"/>
      <x:c r="Z1066" s="12"/>
      <x:c r="AA1066" s="12"/>
    </x:row>
    <x:row r="1067">
      <x:c r="A1067" s="12"/>
      <x:c r="B1067" s="12"/>
      <x:c r="C1067" s="12"/>
      <x:c r="D1067" s="12"/>
      <x:c r="E1067" s="12"/>
      <x:c r="F1067" s="12"/>
      <x:c r="G1067" s="17"/>
      <x:c r="H1067" s="12"/>
      <x:c r="I1067" s="12"/>
      <x:c r="J1067" s="18"/>
      <x:c r="K1067" s="12"/>
      <x:c r="L1067" s="12"/>
      <x:c r="M1067" s="12"/>
      <x:c r="N1067" s="12"/>
      <x:c r="O1067" s="12"/>
      <x:c r="P1067" s="12"/>
      <x:c r="Q1067" s="12"/>
      <x:c r="R1067" s="12"/>
      <x:c r="S1067" s="12"/>
      <x:c r="T1067" s="12"/>
      <x:c r="U1067" s="12"/>
      <x:c r="V1067" s="12"/>
      <x:c r="W1067" s="12"/>
      <x:c r="X1067" s="12"/>
      <x:c r="Y1067" s="12"/>
      <x:c r="Z1067" s="12"/>
      <x:c r="AA1067" s="12"/>
    </x:row>
    <x:row r="1068">
      <x:c r="A1068" s="12"/>
      <x:c r="B1068" s="12"/>
      <x:c r="C1068" s="12"/>
      <x:c r="D1068" s="12"/>
      <x:c r="E1068" s="12"/>
      <x:c r="F1068" s="12"/>
      <x:c r="G1068" s="17"/>
      <x:c r="H1068" s="12"/>
      <x:c r="I1068" s="12"/>
      <x:c r="J1068" s="18"/>
      <x:c r="K1068" s="12"/>
      <x:c r="L1068" s="12"/>
      <x:c r="M1068" s="12"/>
      <x:c r="N1068" s="12"/>
      <x:c r="O1068" s="12"/>
      <x:c r="P1068" s="12"/>
      <x:c r="Q1068" s="12"/>
      <x:c r="R1068" s="12"/>
      <x:c r="S1068" s="12"/>
      <x:c r="T1068" s="12"/>
      <x:c r="U1068" s="12"/>
      <x:c r="V1068" s="12"/>
      <x:c r="W1068" s="12"/>
      <x:c r="X1068" s="12"/>
      <x:c r="Y1068" s="12"/>
      <x:c r="Z1068" s="12"/>
      <x:c r="AA1068" s="12"/>
    </x:row>
    <x:row r="1069">
      <x:c r="A1069" s="12"/>
      <x:c r="B1069" s="12"/>
      <x:c r="C1069" s="12"/>
      <x:c r="D1069" s="12"/>
      <x:c r="E1069" s="12"/>
      <x:c r="F1069" s="12"/>
      <x:c r="G1069" s="17"/>
      <x:c r="H1069" s="12"/>
      <x:c r="I1069" s="12"/>
      <x:c r="J1069" s="18"/>
      <x:c r="K1069" s="12"/>
      <x:c r="L1069" s="12"/>
      <x:c r="M1069" s="12"/>
      <x:c r="N1069" s="12"/>
      <x:c r="O1069" s="12"/>
      <x:c r="P1069" s="12"/>
      <x:c r="Q1069" s="12"/>
      <x:c r="R1069" s="12"/>
      <x:c r="S1069" s="12"/>
      <x:c r="T1069" s="12"/>
      <x:c r="U1069" s="12"/>
      <x:c r="V1069" s="12"/>
      <x:c r="W1069" s="12"/>
      <x:c r="X1069" s="12"/>
      <x:c r="Y1069" s="12"/>
      <x:c r="Z1069" s="12"/>
      <x:c r="AA1069" s="12"/>
    </x:row>
    <x:row r="1070">
      <x:c r="A1070" s="12"/>
      <x:c r="B1070" s="12"/>
      <x:c r="C1070" s="12"/>
      <x:c r="D1070" s="12"/>
      <x:c r="E1070" s="12"/>
      <x:c r="F1070" s="12"/>
      <x:c r="G1070" s="17"/>
      <x:c r="H1070" s="12"/>
      <x:c r="I1070" s="12"/>
      <x:c r="J1070" s="18"/>
      <x:c r="K1070" s="12"/>
      <x:c r="L1070" s="12"/>
      <x:c r="M1070" s="12"/>
      <x:c r="N1070" s="12"/>
      <x:c r="O1070" s="12"/>
      <x:c r="P1070" s="12"/>
      <x:c r="Q1070" s="12"/>
      <x:c r="R1070" s="12"/>
      <x:c r="S1070" s="12"/>
      <x:c r="T1070" s="12"/>
      <x:c r="U1070" s="12"/>
      <x:c r="V1070" s="12"/>
      <x:c r="W1070" s="12"/>
      <x:c r="X1070" s="12"/>
      <x:c r="Y1070" s="12"/>
      <x:c r="Z1070" s="12"/>
      <x:c r="AA1070" s="12"/>
    </x:row>
    <x:row r="1071">
      <x:c r="A1071" s="12"/>
      <x:c r="B1071" s="12"/>
      <x:c r="C1071" s="12"/>
      <x:c r="D1071" s="12"/>
      <x:c r="E1071" s="12"/>
      <x:c r="F1071" s="12"/>
      <x:c r="G1071" s="17"/>
      <x:c r="H1071" s="12"/>
      <x:c r="I1071" s="12"/>
      <x:c r="J1071" s="18"/>
      <x:c r="K1071" s="12"/>
      <x:c r="L1071" s="12"/>
      <x:c r="M1071" s="12"/>
      <x:c r="N1071" s="12"/>
      <x:c r="O1071" s="12"/>
      <x:c r="P1071" s="12"/>
      <x:c r="Q1071" s="12"/>
      <x:c r="R1071" s="12"/>
      <x:c r="S1071" s="12"/>
      <x:c r="T1071" s="12"/>
      <x:c r="U1071" s="12"/>
      <x:c r="V1071" s="12"/>
      <x:c r="W1071" s="12"/>
      <x:c r="X1071" s="12"/>
      <x:c r="Y1071" s="12"/>
      <x:c r="Z1071" s="12"/>
      <x:c r="AA1071" s="12"/>
    </x:row>
    <x:row r="1072">
      <x:c r="A1072" s="12"/>
      <x:c r="B1072" s="12"/>
      <x:c r="C1072" s="12"/>
      <x:c r="D1072" s="12"/>
      <x:c r="E1072" s="12"/>
      <x:c r="F1072" s="12"/>
      <x:c r="G1072" s="17"/>
      <x:c r="H1072" s="12"/>
      <x:c r="I1072" s="12"/>
      <x:c r="J1072" s="18"/>
      <x:c r="K1072" s="12"/>
      <x:c r="L1072" s="12"/>
      <x:c r="M1072" s="12"/>
      <x:c r="N1072" s="12"/>
      <x:c r="O1072" s="12"/>
      <x:c r="P1072" s="12"/>
      <x:c r="Q1072" s="12"/>
      <x:c r="R1072" s="12"/>
      <x:c r="S1072" s="12"/>
      <x:c r="T1072" s="12"/>
      <x:c r="U1072" s="12"/>
      <x:c r="V1072" s="12"/>
      <x:c r="W1072" s="12"/>
      <x:c r="X1072" s="12"/>
      <x:c r="Y1072" s="12"/>
      <x:c r="Z1072" s="12"/>
      <x:c r="AA1072" s="12"/>
    </x:row>
    <x:row r="1073">
      <x:c r="A1073" s="12"/>
      <x:c r="B1073" s="12"/>
      <x:c r="C1073" s="12"/>
      <x:c r="D1073" s="12"/>
      <x:c r="E1073" s="12"/>
      <x:c r="F1073" s="12"/>
      <x:c r="G1073" s="17"/>
      <x:c r="H1073" s="12"/>
      <x:c r="I1073" s="12"/>
      <x:c r="J1073" s="18"/>
      <x:c r="K1073" s="12"/>
      <x:c r="L1073" s="12"/>
      <x:c r="M1073" s="12"/>
      <x:c r="N1073" s="12"/>
      <x:c r="O1073" s="12"/>
      <x:c r="P1073" s="12"/>
      <x:c r="Q1073" s="12"/>
      <x:c r="R1073" s="12"/>
      <x:c r="S1073" s="12"/>
      <x:c r="T1073" s="12"/>
      <x:c r="U1073" s="12"/>
      <x:c r="V1073" s="12"/>
      <x:c r="W1073" s="12"/>
      <x:c r="X1073" s="12"/>
      <x:c r="Y1073" s="12"/>
      <x:c r="Z1073" s="12"/>
      <x:c r="AA1073" s="12"/>
    </x:row>
    <x:row r="1074">
      <x:c r="A1074" s="12"/>
      <x:c r="B1074" s="12"/>
      <x:c r="C1074" s="12"/>
      <x:c r="D1074" s="12"/>
      <x:c r="E1074" s="12"/>
      <x:c r="F1074" s="12"/>
      <x:c r="G1074" s="17"/>
      <x:c r="H1074" s="12"/>
      <x:c r="I1074" s="12"/>
      <x:c r="J1074" s="18"/>
      <x:c r="K1074" s="12"/>
      <x:c r="L1074" s="12"/>
      <x:c r="M1074" s="12"/>
      <x:c r="N1074" s="12"/>
      <x:c r="O1074" s="12"/>
      <x:c r="P1074" s="12"/>
      <x:c r="Q1074" s="12"/>
      <x:c r="R1074" s="12"/>
      <x:c r="S1074" s="12"/>
      <x:c r="T1074" s="12"/>
      <x:c r="U1074" s="12"/>
      <x:c r="V1074" s="12"/>
      <x:c r="W1074" s="12"/>
      <x:c r="X1074" s="12"/>
      <x:c r="Y1074" s="12"/>
      <x:c r="Z1074" s="12"/>
      <x:c r="AA1074" s="12"/>
    </x:row>
    <x:row r="1075">
      <x:c r="A1075" s="12"/>
      <x:c r="B1075" s="12"/>
      <x:c r="C1075" s="12"/>
      <x:c r="D1075" s="12"/>
      <x:c r="E1075" s="12"/>
      <x:c r="F1075" s="12"/>
      <x:c r="G1075" s="17"/>
      <x:c r="H1075" s="12"/>
      <x:c r="I1075" s="12"/>
      <x:c r="J1075" s="18"/>
      <x:c r="K1075" s="12"/>
      <x:c r="L1075" s="12"/>
      <x:c r="M1075" s="12"/>
      <x:c r="N1075" s="12"/>
      <x:c r="O1075" s="12"/>
      <x:c r="P1075" s="12"/>
      <x:c r="Q1075" s="12"/>
      <x:c r="R1075" s="12"/>
      <x:c r="S1075" s="12"/>
      <x:c r="T1075" s="12"/>
      <x:c r="U1075" s="12"/>
      <x:c r="V1075" s="12"/>
      <x:c r="W1075" s="12"/>
      <x:c r="X1075" s="12"/>
      <x:c r="Y1075" s="12"/>
      <x:c r="Z1075" s="12"/>
      <x:c r="AA1075" s="12"/>
    </x:row>
    <x:row r="1076">
      <x:c r="A1076" s="12"/>
      <x:c r="B1076" s="12"/>
      <x:c r="C1076" s="12"/>
      <x:c r="D1076" s="12"/>
      <x:c r="E1076" s="12"/>
      <x:c r="F1076" s="12"/>
      <x:c r="G1076" s="17"/>
      <x:c r="H1076" s="12"/>
      <x:c r="I1076" s="12"/>
      <x:c r="J1076" s="18"/>
      <x:c r="K1076" s="12"/>
      <x:c r="L1076" s="12"/>
      <x:c r="M1076" s="12"/>
      <x:c r="N1076" s="12"/>
      <x:c r="O1076" s="12"/>
      <x:c r="P1076" s="12"/>
      <x:c r="Q1076" s="12"/>
      <x:c r="R1076" s="12"/>
      <x:c r="S1076" s="12"/>
      <x:c r="T1076" s="12"/>
      <x:c r="U1076" s="12"/>
      <x:c r="V1076" s="12"/>
      <x:c r="W1076" s="12"/>
      <x:c r="X1076" s="12"/>
      <x:c r="Y1076" s="12"/>
      <x:c r="Z1076" s="12"/>
      <x:c r="AA1076" s="12"/>
    </x:row>
    <x:row r="1077">
      <x:c r="A1077" s="12"/>
      <x:c r="B1077" s="12"/>
      <x:c r="C1077" s="12"/>
      <x:c r="D1077" s="12"/>
      <x:c r="E1077" s="12"/>
      <x:c r="F1077" s="12"/>
      <x:c r="G1077" s="17"/>
      <x:c r="H1077" s="12"/>
      <x:c r="I1077" s="12"/>
      <x:c r="J1077" s="18"/>
      <x:c r="K1077" s="12"/>
      <x:c r="L1077" s="12"/>
      <x:c r="M1077" s="12"/>
      <x:c r="N1077" s="12"/>
      <x:c r="O1077" s="12"/>
      <x:c r="P1077" s="12"/>
      <x:c r="Q1077" s="12"/>
      <x:c r="R1077" s="12"/>
      <x:c r="S1077" s="12"/>
      <x:c r="T1077" s="12"/>
      <x:c r="U1077" s="12"/>
      <x:c r="V1077" s="12"/>
      <x:c r="W1077" s="12"/>
      <x:c r="X1077" s="12"/>
      <x:c r="Y1077" s="12"/>
      <x:c r="Z1077" s="12"/>
      <x:c r="AA1077" s="12"/>
    </x:row>
    <x:row r="1078">
      <x:c r="A1078" s="12"/>
      <x:c r="B1078" s="12"/>
      <x:c r="C1078" s="12"/>
      <x:c r="D1078" s="12"/>
      <x:c r="E1078" s="12"/>
      <x:c r="F1078" s="12"/>
      <x:c r="G1078" s="17"/>
      <x:c r="H1078" s="12"/>
      <x:c r="I1078" s="12"/>
      <x:c r="J1078" s="18"/>
      <x:c r="K1078" s="12"/>
      <x:c r="L1078" s="12"/>
      <x:c r="M1078" s="12"/>
      <x:c r="N1078" s="12"/>
      <x:c r="O1078" s="12"/>
      <x:c r="P1078" s="12"/>
      <x:c r="Q1078" s="12"/>
      <x:c r="R1078" s="12"/>
      <x:c r="S1078" s="12"/>
      <x:c r="T1078" s="12"/>
      <x:c r="U1078" s="12"/>
      <x:c r="V1078" s="12"/>
      <x:c r="W1078" s="12"/>
      <x:c r="X1078" s="12"/>
      <x:c r="Y1078" s="12"/>
      <x:c r="Z1078" s="12"/>
      <x:c r="AA1078" s="12"/>
    </x:row>
    <x:row r="1079">
      <x:c r="A1079" s="12"/>
      <x:c r="B1079" s="12"/>
      <x:c r="C1079" s="12"/>
      <x:c r="D1079" s="12"/>
      <x:c r="E1079" s="12"/>
      <x:c r="F1079" s="12"/>
      <x:c r="G1079" s="17"/>
      <x:c r="H1079" s="12"/>
      <x:c r="I1079" s="12"/>
      <x:c r="J1079" s="18"/>
      <x:c r="K1079" s="12"/>
      <x:c r="L1079" s="12"/>
      <x:c r="M1079" s="12"/>
      <x:c r="N1079" s="12"/>
      <x:c r="O1079" s="12"/>
      <x:c r="P1079" s="12"/>
      <x:c r="Q1079" s="12"/>
      <x:c r="R1079" s="12"/>
      <x:c r="S1079" s="12"/>
      <x:c r="T1079" s="12"/>
      <x:c r="U1079" s="12"/>
      <x:c r="V1079" s="12"/>
      <x:c r="W1079" s="12"/>
      <x:c r="X1079" s="12"/>
      <x:c r="Y1079" s="12"/>
      <x:c r="Z1079" s="12"/>
      <x:c r="AA1079" s="12"/>
    </x:row>
    <x:row r="1080">
      <x:c r="A1080" s="12"/>
      <x:c r="B1080" s="12"/>
      <x:c r="C1080" s="12"/>
      <x:c r="D1080" s="12"/>
      <x:c r="E1080" s="12"/>
      <x:c r="F1080" s="12"/>
      <x:c r="G1080" s="17"/>
      <x:c r="H1080" s="12"/>
      <x:c r="I1080" s="12"/>
      <x:c r="J1080" s="18"/>
      <x:c r="K1080" s="12"/>
      <x:c r="L1080" s="12"/>
      <x:c r="M1080" s="12"/>
      <x:c r="N1080" s="12"/>
      <x:c r="O1080" s="12"/>
      <x:c r="P1080" s="12"/>
      <x:c r="Q1080" s="12"/>
      <x:c r="R1080" s="12"/>
      <x:c r="S1080" s="12"/>
      <x:c r="T1080" s="12"/>
      <x:c r="U1080" s="12"/>
      <x:c r="V1080" s="12"/>
      <x:c r="W1080" s="12"/>
      <x:c r="X1080" s="12"/>
      <x:c r="Y1080" s="12"/>
      <x:c r="Z1080" s="12"/>
      <x:c r="AA1080" s="12"/>
    </x:row>
    <x:row r="1081">
      <x:c r="A1081" s="12"/>
      <x:c r="B1081" s="12"/>
      <x:c r="C1081" s="12"/>
      <x:c r="D1081" s="12"/>
      <x:c r="E1081" s="12"/>
      <x:c r="F1081" s="12"/>
      <x:c r="G1081" s="17"/>
      <x:c r="H1081" s="12"/>
      <x:c r="I1081" s="12"/>
      <x:c r="J1081" s="18"/>
      <x:c r="K1081" s="12"/>
      <x:c r="L1081" s="12"/>
      <x:c r="M1081" s="12"/>
      <x:c r="N1081" s="12"/>
      <x:c r="O1081" s="12"/>
      <x:c r="P1081" s="12"/>
      <x:c r="Q1081" s="12"/>
      <x:c r="R1081" s="12"/>
      <x:c r="S1081" s="12"/>
      <x:c r="T1081" s="12"/>
      <x:c r="U1081" s="12"/>
      <x:c r="V1081" s="12"/>
      <x:c r="W1081" s="12"/>
      <x:c r="X1081" s="12"/>
      <x:c r="Y1081" s="12"/>
      <x:c r="Z1081" s="12"/>
      <x:c r="AA1081" s="12"/>
    </x:row>
    <x:row r="1082">
      <x:c r="A1082" s="12"/>
      <x:c r="B1082" s="12"/>
      <x:c r="C1082" s="12"/>
      <x:c r="D1082" s="12"/>
      <x:c r="E1082" s="12"/>
      <x:c r="F1082" s="12"/>
      <x:c r="G1082" s="17"/>
      <x:c r="H1082" s="12"/>
      <x:c r="I1082" s="12"/>
      <x:c r="J1082" s="18"/>
      <x:c r="K1082" s="12"/>
      <x:c r="L1082" s="12"/>
      <x:c r="M1082" s="12"/>
      <x:c r="N1082" s="12"/>
      <x:c r="O1082" s="12"/>
      <x:c r="P1082" s="12"/>
      <x:c r="Q1082" s="12"/>
      <x:c r="R1082" s="12"/>
      <x:c r="S1082" s="12"/>
      <x:c r="T1082" s="12"/>
      <x:c r="U1082" s="12"/>
      <x:c r="V1082" s="12"/>
      <x:c r="W1082" s="12"/>
      <x:c r="X1082" s="12"/>
      <x:c r="Y1082" s="12"/>
      <x:c r="Z1082" s="12"/>
      <x:c r="AA1082" s="12"/>
    </x:row>
    <x:row r="1083">
      <x:c r="A1083" s="12"/>
      <x:c r="B1083" s="12"/>
      <x:c r="C1083" s="12"/>
      <x:c r="D1083" s="12"/>
      <x:c r="E1083" s="12"/>
      <x:c r="F1083" s="12"/>
      <x:c r="G1083" s="17"/>
      <x:c r="H1083" s="12"/>
      <x:c r="I1083" s="12"/>
      <x:c r="J1083" s="18"/>
      <x:c r="K1083" s="12"/>
      <x:c r="L1083" s="12"/>
      <x:c r="M1083" s="12"/>
      <x:c r="N1083" s="12"/>
      <x:c r="O1083" s="12"/>
      <x:c r="P1083" s="12"/>
      <x:c r="Q1083" s="12"/>
      <x:c r="R1083" s="12"/>
      <x:c r="S1083" s="12"/>
      <x:c r="T1083" s="12"/>
      <x:c r="U1083" s="12"/>
      <x:c r="V1083" s="12"/>
      <x:c r="W1083" s="12"/>
      <x:c r="X1083" s="12"/>
      <x:c r="Y1083" s="12"/>
      <x:c r="Z1083" s="12"/>
      <x:c r="AA1083" s="12"/>
    </x:row>
    <x:row r="1084">
      <x:c r="A1084" s="12"/>
      <x:c r="B1084" s="12"/>
      <x:c r="C1084" s="12"/>
      <x:c r="D1084" s="12"/>
      <x:c r="E1084" s="12"/>
      <x:c r="F1084" s="12"/>
      <x:c r="G1084" s="17"/>
      <x:c r="H1084" s="12"/>
      <x:c r="I1084" s="12"/>
      <x:c r="J1084" s="18"/>
      <x:c r="K1084" s="12"/>
      <x:c r="L1084" s="12"/>
      <x:c r="M1084" s="12"/>
      <x:c r="N1084" s="12"/>
      <x:c r="O1084" s="12"/>
      <x:c r="P1084" s="12"/>
      <x:c r="Q1084" s="12"/>
      <x:c r="R1084" s="12"/>
      <x:c r="S1084" s="12"/>
      <x:c r="T1084" s="12"/>
      <x:c r="U1084" s="12"/>
      <x:c r="V1084" s="12"/>
      <x:c r="W1084" s="12"/>
      <x:c r="X1084" s="12"/>
      <x:c r="Y1084" s="12"/>
      <x:c r="Z1084" s="12"/>
      <x:c r="AA1084" s="12"/>
    </x:row>
    <x:row r="1085">
      <x:c r="A1085" s="12"/>
      <x:c r="B1085" s="12"/>
      <x:c r="C1085" s="12"/>
      <x:c r="D1085" s="12"/>
      <x:c r="E1085" s="12"/>
      <x:c r="F1085" s="12"/>
      <x:c r="G1085" s="17"/>
      <x:c r="H1085" s="12"/>
      <x:c r="I1085" s="12"/>
      <x:c r="J1085" s="18"/>
      <x:c r="K1085" s="12"/>
      <x:c r="L1085" s="12"/>
      <x:c r="M1085" s="12"/>
      <x:c r="N1085" s="12"/>
      <x:c r="O1085" s="12"/>
      <x:c r="P1085" s="12"/>
      <x:c r="Q1085" s="12"/>
      <x:c r="R1085" s="12"/>
      <x:c r="S1085" s="12"/>
      <x:c r="T1085" s="12"/>
      <x:c r="U1085" s="12"/>
      <x:c r="V1085" s="12"/>
      <x:c r="W1085" s="12"/>
      <x:c r="X1085" s="12"/>
      <x:c r="Y1085" s="12"/>
      <x:c r="Z1085" s="12"/>
      <x:c r="AA1085" s="12"/>
    </x:row>
    <x:row r="1086">
      <x:c r="A1086" s="12"/>
      <x:c r="B1086" s="12"/>
      <x:c r="C1086" s="12"/>
      <x:c r="D1086" s="12"/>
      <x:c r="E1086" s="12"/>
      <x:c r="F1086" s="12"/>
      <x:c r="G1086" s="17"/>
      <x:c r="H1086" s="12"/>
      <x:c r="I1086" s="12"/>
      <x:c r="J1086" s="18"/>
      <x:c r="K1086" s="12"/>
      <x:c r="L1086" s="12"/>
      <x:c r="M1086" s="12"/>
      <x:c r="N1086" s="12"/>
      <x:c r="O1086" s="12"/>
      <x:c r="P1086" s="12"/>
      <x:c r="Q1086" s="12"/>
      <x:c r="R1086" s="12"/>
      <x:c r="S1086" s="12"/>
      <x:c r="T1086" s="12"/>
      <x:c r="U1086" s="12"/>
      <x:c r="V1086" s="12"/>
      <x:c r="W1086" s="12"/>
      <x:c r="X1086" s="12"/>
      <x:c r="Y1086" s="12"/>
      <x:c r="Z1086" s="12"/>
      <x:c r="AA1086" s="12"/>
    </x:row>
    <x:row r="1087">
      <x:c r="A1087" s="12"/>
      <x:c r="B1087" s="12"/>
      <x:c r="C1087" s="12"/>
      <x:c r="D1087" s="12"/>
      <x:c r="E1087" s="12"/>
      <x:c r="F1087" s="12"/>
      <x:c r="G1087" s="17"/>
      <x:c r="H1087" s="12"/>
      <x:c r="I1087" s="12"/>
      <x:c r="J1087" s="18"/>
      <x:c r="K1087" s="12"/>
      <x:c r="L1087" s="12"/>
      <x:c r="M1087" s="12"/>
      <x:c r="N1087" s="12"/>
      <x:c r="O1087" s="12"/>
      <x:c r="P1087" s="12"/>
      <x:c r="Q1087" s="12"/>
      <x:c r="R1087" s="12"/>
      <x:c r="S1087" s="12"/>
      <x:c r="T1087" s="12"/>
      <x:c r="U1087" s="12"/>
      <x:c r="V1087" s="12"/>
      <x:c r="W1087" s="12"/>
      <x:c r="X1087" s="12"/>
      <x:c r="Y1087" s="12"/>
      <x:c r="Z1087" s="12"/>
      <x:c r="AA1087" s="12"/>
    </x:row>
    <x:row r="1088">
      <x:c r="A1088" s="12"/>
      <x:c r="B1088" s="12"/>
      <x:c r="C1088" s="12"/>
      <x:c r="D1088" s="12"/>
      <x:c r="E1088" s="12"/>
      <x:c r="F1088" s="12"/>
      <x:c r="G1088" s="17"/>
      <x:c r="H1088" s="12"/>
      <x:c r="I1088" s="12"/>
      <x:c r="J1088" s="18"/>
      <x:c r="K1088" s="12"/>
      <x:c r="L1088" s="12"/>
      <x:c r="M1088" s="12"/>
      <x:c r="N1088" s="12"/>
      <x:c r="O1088" s="12"/>
      <x:c r="P1088" s="12"/>
      <x:c r="Q1088" s="12"/>
      <x:c r="R1088" s="12"/>
      <x:c r="S1088" s="12"/>
      <x:c r="T1088" s="12"/>
      <x:c r="U1088" s="12"/>
      <x:c r="V1088" s="12"/>
      <x:c r="W1088" s="12"/>
      <x:c r="X1088" s="12"/>
      <x:c r="Y1088" s="12"/>
      <x:c r="Z1088" s="12"/>
      <x:c r="AA1088" s="12"/>
    </x:row>
    <x:row r="1089">
      <x:c r="A1089" s="12"/>
      <x:c r="B1089" s="12"/>
      <x:c r="C1089" s="12"/>
      <x:c r="D1089" s="12"/>
      <x:c r="E1089" s="12"/>
      <x:c r="F1089" s="12"/>
      <x:c r="G1089" s="17"/>
      <x:c r="H1089" s="12"/>
      <x:c r="I1089" s="12"/>
      <x:c r="J1089" s="18"/>
      <x:c r="K1089" s="12"/>
      <x:c r="L1089" s="12"/>
      <x:c r="M1089" s="12"/>
      <x:c r="N1089" s="12"/>
      <x:c r="O1089" s="12"/>
      <x:c r="P1089" s="12"/>
      <x:c r="Q1089" s="12"/>
      <x:c r="R1089" s="12"/>
      <x:c r="S1089" s="12"/>
      <x:c r="T1089" s="12"/>
      <x:c r="U1089" s="12"/>
      <x:c r="V1089" s="12"/>
      <x:c r="W1089" s="12"/>
      <x:c r="X1089" s="12"/>
      <x:c r="Y1089" s="12"/>
      <x:c r="Z1089" s="12"/>
      <x:c r="AA1089" s="12"/>
    </x:row>
    <x:row r="1090">
      <x:c r="A1090" s="12"/>
      <x:c r="B1090" s="12"/>
      <x:c r="C1090" s="12"/>
      <x:c r="D1090" s="12"/>
      <x:c r="E1090" s="12"/>
      <x:c r="F1090" s="12"/>
      <x:c r="G1090" s="17"/>
      <x:c r="H1090" s="12"/>
      <x:c r="I1090" s="12"/>
      <x:c r="J1090" s="18"/>
      <x:c r="K1090" s="12"/>
      <x:c r="L1090" s="12"/>
      <x:c r="M1090" s="12"/>
      <x:c r="N1090" s="12"/>
      <x:c r="O1090" s="12"/>
      <x:c r="P1090" s="12"/>
      <x:c r="Q1090" s="12"/>
      <x:c r="R1090" s="12"/>
      <x:c r="S1090" s="12"/>
      <x:c r="T1090" s="12"/>
      <x:c r="U1090" s="12"/>
      <x:c r="V1090" s="12"/>
      <x:c r="W1090" s="12"/>
      <x:c r="X1090" s="12"/>
      <x:c r="Y1090" s="12"/>
      <x:c r="Z1090" s="12"/>
      <x:c r="AA1090" s="12"/>
    </x:row>
    <x:row r="1091">
      <x:c r="A1091" s="12"/>
      <x:c r="B1091" s="12"/>
      <x:c r="C1091" s="12"/>
      <x:c r="D1091" s="12"/>
      <x:c r="E1091" s="12"/>
      <x:c r="F1091" s="12"/>
      <x:c r="G1091" s="17"/>
      <x:c r="H1091" s="12"/>
      <x:c r="I1091" s="12"/>
      <x:c r="J1091" s="18"/>
      <x:c r="K1091" s="12"/>
      <x:c r="L1091" s="12"/>
      <x:c r="M1091" s="12"/>
      <x:c r="N1091" s="12"/>
      <x:c r="O1091" s="12"/>
      <x:c r="P1091" s="12"/>
      <x:c r="Q1091" s="12"/>
      <x:c r="R1091" s="12"/>
      <x:c r="S1091" s="12"/>
      <x:c r="T1091" s="12"/>
      <x:c r="U1091" s="12"/>
      <x:c r="V1091" s="12"/>
      <x:c r="W1091" s="12"/>
      <x:c r="X1091" s="12"/>
      <x:c r="Y1091" s="12"/>
      <x:c r="Z1091" s="12"/>
      <x:c r="AA1091" s="12"/>
    </x:row>
    <x:row r="1092">
      <x:c r="A1092" s="12"/>
      <x:c r="B1092" s="12"/>
      <x:c r="C1092" s="12"/>
      <x:c r="D1092" s="12"/>
      <x:c r="E1092" s="12"/>
      <x:c r="F1092" s="12"/>
      <x:c r="G1092" s="17"/>
      <x:c r="H1092" s="12"/>
      <x:c r="I1092" s="12"/>
      <x:c r="J1092" s="18"/>
      <x:c r="K1092" s="12"/>
      <x:c r="L1092" s="12"/>
      <x:c r="M1092" s="12"/>
      <x:c r="N1092" s="12"/>
      <x:c r="O1092" s="12"/>
      <x:c r="P1092" s="12"/>
      <x:c r="Q1092" s="12"/>
      <x:c r="R1092" s="12"/>
      <x:c r="S1092" s="12"/>
      <x:c r="T1092" s="12"/>
      <x:c r="U1092" s="12"/>
      <x:c r="V1092" s="12"/>
      <x:c r="W1092" s="12"/>
      <x:c r="X1092" s="12"/>
      <x:c r="Y1092" s="12"/>
      <x:c r="Z1092" s="12"/>
      <x:c r="AA1092" s="12"/>
    </x:row>
    <x:row r="1093">
      <x:c r="A1093" s="12"/>
      <x:c r="B1093" s="12"/>
      <x:c r="C1093" s="12"/>
      <x:c r="D1093" s="12"/>
      <x:c r="E1093" s="12"/>
      <x:c r="F1093" s="12"/>
      <x:c r="G1093" s="17"/>
      <x:c r="H1093" s="12"/>
      <x:c r="I1093" s="12"/>
      <x:c r="J1093" s="18"/>
      <x:c r="K1093" s="12"/>
      <x:c r="L1093" s="12"/>
      <x:c r="M1093" s="12"/>
      <x:c r="N1093" s="12"/>
      <x:c r="O1093" s="12"/>
      <x:c r="P1093" s="12"/>
      <x:c r="Q1093" s="12"/>
      <x:c r="R1093" s="12"/>
      <x:c r="S1093" s="12"/>
      <x:c r="T1093" s="12"/>
      <x:c r="U1093" s="12"/>
      <x:c r="V1093" s="12"/>
      <x:c r="W1093" s="12"/>
      <x:c r="X1093" s="12"/>
      <x:c r="Y1093" s="12"/>
      <x:c r="Z1093" s="12"/>
      <x:c r="AA1093" s="12"/>
    </x:row>
    <x:row r="1094">
      <x:c r="A1094" s="12"/>
      <x:c r="B1094" s="12"/>
      <x:c r="C1094" s="12"/>
      <x:c r="D1094" s="12"/>
      <x:c r="E1094" s="12"/>
      <x:c r="F1094" s="12"/>
      <x:c r="G1094" s="17"/>
      <x:c r="H1094" s="12"/>
      <x:c r="I1094" s="12"/>
      <x:c r="J1094" s="18"/>
      <x:c r="K1094" s="12"/>
      <x:c r="L1094" s="12"/>
      <x:c r="M1094" s="12"/>
      <x:c r="N1094" s="12"/>
      <x:c r="O1094" s="12"/>
      <x:c r="P1094" s="12"/>
      <x:c r="Q1094" s="12"/>
      <x:c r="R1094" s="12"/>
      <x:c r="S1094" s="12"/>
      <x:c r="T1094" s="12"/>
      <x:c r="U1094" s="12"/>
      <x:c r="V1094" s="12"/>
      <x:c r="W1094" s="12"/>
      <x:c r="X1094" s="12"/>
      <x:c r="Y1094" s="12"/>
      <x:c r="Z1094" s="12"/>
      <x:c r="AA1094" s="12"/>
    </x:row>
    <x:row r="1095">
      <x:c r="A1095" s="12"/>
      <x:c r="B1095" s="12"/>
      <x:c r="C1095" s="12"/>
      <x:c r="D1095" s="12"/>
      <x:c r="E1095" s="12"/>
      <x:c r="F1095" s="12"/>
      <x:c r="G1095" s="17"/>
      <x:c r="H1095" s="12"/>
      <x:c r="I1095" s="12"/>
      <x:c r="J1095" s="18"/>
      <x:c r="K1095" s="12"/>
      <x:c r="L1095" s="12"/>
      <x:c r="M1095" s="12"/>
      <x:c r="N1095" s="12"/>
      <x:c r="O1095" s="12"/>
      <x:c r="P1095" s="12"/>
      <x:c r="Q1095" s="12"/>
      <x:c r="R1095" s="12"/>
      <x:c r="S1095" s="12"/>
      <x:c r="T1095" s="12"/>
      <x:c r="U1095" s="12"/>
      <x:c r="V1095" s="12"/>
      <x:c r="W1095" s="12"/>
      <x:c r="X1095" s="12"/>
      <x:c r="Y1095" s="12"/>
      <x:c r="Z1095" s="12"/>
      <x:c r="AA1095" s="12"/>
    </x:row>
    <x:row r="1096">
      <x:c r="A1096" s="12"/>
      <x:c r="B1096" s="12"/>
      <x:c r="C1096" s="12"/>
      <x:c r="D1096" s="12"/>
      <x:c r="E1096" s="12"/>
      <x:c r="F1096" s="12"/>
      <x:c r="G1096" s="17"/>
      <x:c r="H1096" s="12"/>
      <x:c r="I1096" s="12"/>
      <x:c r="J1096" s="18"/>
      <x:c r="K1096" s="12"/>
      <x:c r="L1096" s="12"/>
      <x:c r="M1096" s="12"/>
      <x:c r="N1096" s="12"/>
      <x:c r="O1096" s="12"/>
      <x:c r="P1096" s="12"/>
      <x:c r="Q1096" s="12"/>
      <x:c r="R1096" s="12"/>
      <x:c r="S1096" s="12"/>
      <x:c r="T1096" s="12"/>
      <x:c r="U1096" s="12"/>
      <x:c r="V1096" s="12"/>
      <x:c r="W1096" s="12"/>
      <x:c r="X1096" s="12"/>
      <x:c r="Y1096" s="12"/>
      <x:c r="Z1096" s="12"/>
      <x:c r="AA1096" s="12"/>
    </x:row>
    <x:row r="1097">
      <x:c r="A1097" s="12"/>
      <x:c r="B1097" s="12"/>
      <x:c r="C1097" s="12"/>
      <x:c r="D1097" s="12"/>
      <x:c r="E1097" s="12"/>
      <x:c r="F1097" s="12"/>
      <x:c r="G1097" s="17"/>
      <x:c r="H1097" s="12"/>
      <x:c r="I1097" s="12"/>
      <x:c r="J1097" s="18"/>
      <x:c r="K1097" s="12"/>
      <x:c r="L1097" s="12"/>
      <x:c r="M1097" s="12"/>
      <x:c r="N1097" s="12"/>
      <x:c r="O1097" s="12"/>
      <x:c r="P1097" s="12"/>
      <x:c r="Q1097" s="12"/>
      <x:c r="R1097" s="12"/>
      <x:c r="S1097" s="12"/>
      <x:c r="T1097" s="12"/>
      <x:c r="U1097" s="12"/>
      <x:c r="V1097" s="12"/>
      <x:c r="W1097" s="12"/>
      <x:c r="X1097" s="12"/>
      <x:c r="Y1097" s="12"/>
      <x:c r="Z1097" s="12"/>
      <x:c r="AA1097" s="12"/>
    </x:row>
    <x:row r="1098">
      <x:c r="A1098" s="12"/>
      <x:c r="B1098" s="12"/>
      <x:c r="C1098" s="12"/>
      <x:c r="D1098" s="12"/>
      <x:c r="E1098" s="12"/>
      <x:c r="F1098" s="12"/>
      <x:c r="G1098" s="17"/>
      <x:c r="H1098" s="12"/>
      <x:c r="I1098" s="12"/>
      <x:c r="J1098" s="18"/>
      <x:c r="K1098" s="12"/>
      <x:c r="L1098" s="12"/>
      <x:c r="M1098" s="12"/>
      <x:c r="N1098" s="12"/>
      <x:c r="O1098" s="12"/>
      <x:c r="P1098" s="12"/>
      <x:c r="Q1098" s="12"/>
      <x:c r="R1098" s="12"/>
      <x:c r="S1098" s="12"/>
      <x:c r="T1098" s="12"/>
      <x:c r="U1098" s="12"/>
      <x:c r="V1098" s="12"/>
      <x:c r="W1098" s="12"/>
      <x:c r="X1098" s="12"/>
      <x:c r="Y1098" s="12"/>
      <x:c r="Z1098" s="12"/>
      <x:c r="AA1098" s="12"/>
    </x:row>
    <x:row r="1099">
      <x:c r="A1099" s="12"/>
      <x:c r="B1099" s="12"/>
      <x:c r="C1099" s="12"/>
      <x:c r="D1099" s="12"/>
      <x:c r="E1099" s="12"/>
      <x:c r="F1099" s="12"/>
      <x:c r="G1099" s="17"/>
      <x:c r="H1099" s="12"/>
      <x:c r="I1099" s="12"/>
      <x:c r="J1099" s="18"/>
      <x:c r="K1099" s="12"/>
      <x:c r="L1099" s="12"/>
      <x:c r="M1099" s="12"/>
      <x:c r="N1099" s="12"/>
      <x:c r="O1099" s="12"/>
      <x:c r="P1099" s="12"/>
      <x:c r="Q1099" s="12"/>
      <x:c r="R1099" s="12"/>
      <x:c r="S1099" s="12"/>
      <x:c r="T1099" s="12"/>
      <x:c r="U1099" s="12"/>
      <x:c r="V1099" s="12"/>
      <x:c r="W1099" s="12"/>
      <x:c r="X1099" s="12"/>
      <x:c r="Y1099" s="12"/>
      <x:c r="Z1099" s="12"/>
      <x:c r="AA1099" s="12"/>
    </x:row>
    <x:row r="1100">
      <x:c r="A1100" s="12"/>
      <x:c r="B1100" s="12"/>
      <x:c r="C1100" s="12"/>
      <x:c r="D1100" s="12"/>
      <x:c r="E1100" s="12"/>
      <x:c r="F1100" s="12"/>
      <x:c r="G1100" s="17"/>
      <x:c r="H1100" s="12"/>
      <x:c r="I1100" s="12"/>
      <x:c r="J1100" s="18"/>
      <x:c r="K1100" s="12"/>
      <x:c r="L1100" s="12"/>
      <x:c r="M1100" s="12"/>
      <x:c r="N1100" s="12"/>
      <x:c r="O1100" s="12"/>
      <x:c r="P1100" s="12"/>
      <x:c r="Q1100" s="12"/>
      <x:c r="R1100" s="12"/>
      <x:c r="S1100" s="12"/>
      <x:c r="T1100" s="12"/>
      <x:c r="U1100" s="12"/>
      <x:c r="V1100" s="12"/>
      <x:c r="W1100" s="12"/>
      <x:c r="X1100" s="12"/>
      <x:c r="Y1100" s="12"/>
      <x:c r="Z1100" s="12"/>
      <x:c r="AA1100" s="12"/>
    </x:row>
    <x:row r="1101">
      <x:c r="A1101" s="12"/>
      <x:c r="B1101" s="12"/>
      <x:c r="C1101" s="12"/>
      <x:c r="D1101" s="12"/>
      <x:c r="E1101" s="12"/>
      <x:c r="F1101" s="12"/>
      <x:c r="G1101" s="17"/>
      <x:c r="H1101" s="12"/>
      <x:c r="I1101" s="12"/>
      <x:c r="J1101" s="18"/>
      <x:c r="K1101" s="12"/>
      <x:c r="L1101" s="12"/>
      <x:c r="M1101" s="12"/>
      <x:c r="N1101" s="12"/>
      <x:c r="O1101" s="12"/>
      <x:c r="P1101" s="12"/>
      <x:c r="Q1101" s="12"/>
      <x:c r="R1101" s="12"/>
      <x:c r="S1101" s="12"/>
      <x:c r="T1101" s="12"/>
      <x:c r="U1101" s="12"/>
      <x:c r="V1101" s="12"/>
      <x:c r="W1101" s="12"/>
      <x:c r="X1101" s="12"/>
      <x:c r="Y1101" s="12"/>
      <x:c r="Z1101" s="12"/>
      <x:c r="AA1101" s="12"/>
    </x:row>
    <x:row r="1102">
      <x:c r="A1102" s="12"/>
      <x:c r="B1102" s="12"/>
      <x:c r="C1102" s="12"/>
      <x:c r="D1102" s="12"/>
      <x:c r="E1102" s="12"/>
      <x:c r="F1102" s="12"/>
      <x:c r="G1102" s="17"/>
      <x:c r="H1102" s="12"/>
      <x:c r="I1102" s="12"/>
      <x:c r="J1102" s="18"/>
      <x:c r="K1102" s="12"/>
      <x:c r="L1102" s="12"/>
      <x:c r="M1102" s="12"/>
      <x:c r="N1102" s="12"/>
      <x:c r="O1102" s="12"/>
      <x:c r="P1102" s="12"/>
      <x:c r="Q1102" s="12"/>
      <x:c r="R1102" s="12"/>
      <x:c r="S1102" s="12"/>
      <x:c r="T1102" s="12"/>
      <x:c r="U1102" s="12"/>
      <x:c r="V1102" s="12"/>
      <x:c r="W1102" s="12"/>
      <x:c r="X1102" s="12"/>
      <x:c r="Y1102" s="12"/>
      <x:c r="Z1102" s="12"/>
      <x:c r="AA1102" s="12"/>
    </x:row>
    <x:row r="1103">
      <x:c r="A1103" s="12"/>
      <x:c r="B1103" s="12"/>
      <x:c r="C1103" s="12"/>
      <x:c r="D1103" s="12"/>
      <x:c r="E1103" s="12"/>
      <x:c r="F1103" s="12"/>
      <x:c r="G1103" s="17"/>
      <x:c r="H1103" s="12"/>
      <x:c r="I1103" s="12"/>
      <x:c r="J1103" s="18"/>
      <x:c r="K1103" s="12"/>
      <x:c r="L1103" s="12"/>
      <x:c r="M1103" s="12"/>
      <x:c r="N1103" s="12"/>
      <x:c r="O1103" s="12"/>
      <x:c r="P1103" s="12"/>
      <x:c r="Q1103" s="12"/>
      <x:c r="R1103" s="12"/>
      <x:c r="S1103" s="12"/>
      <x:c r="T1103" s="12"/>
      <x:c r="U1103" s="12"/>
      <x:c r="V1103" s="12"/>
      <x:c r="W1103" s="12"/>
      <x:c r="X1103" s="12"/>
      <x:c r="Y1103" s="12"/>
      <x:c r="Z1103" s="12"/>
      <x:c r="AA1103" s="12"/>
    </x:row>
    <x:row r="1104">
      <x:c r="A1104" s="12"/>
      <x:c r="B1104" s="12"/>
      <x:c r="C1104" s="12"/>
      <x:c r="D1104" s="12"/>
      <x:c r="E1104" s="12"/>
      <x:c r="F1104" s="12"/>
      <x:c r="G1104" s="17"/>
      <x:c r="H1104" s="12"/>
      <x:c r="I1104" s="12"/>
      <x:c r="J1104" s="18"/>
      <x:c r="K1104" s="12"/>
      <x:c r="L1104" s="12"/>
      <x:c r="M1104" s="12"/>
      <x:c r="N1104" s="12"/>
      <x:c r="O1104" s="12"/>
      <x:c r="P1104" s="12"/>
      <x:c r="Q1104" s="12"/>
      <x:c r="R1104" s="12"/>
      <x:c r="S1104" s="12"/>
      <x:c r="T1104" s="12"/>
      <x:c r="U1104" s="12"/>
      <x:c r="V1104" s="12"/>
      <x:c r="W1104" s="12"/>
      <x:c r="X1104" s="12"/>
      <x:c r="Y1104" s="12"/>
      <x:c r="Z1104" s="12"/>
      <x:c r="AA1104" s="12"/>
    </x:row>
    <x:row r="1105">
      <x:c r="A1105" s="12"/>
      <x:c r="B1105" s="12"/>
      <x:c r="C1105" s="12"/>
      <x:c r="D1105" s="12"/>
      <x:c r="E1105" s="12"/>
      <x:c r="F1105" s="12"/>
      <x:c r="G1105" s="17"/>
      <x:c r="H1105" s="12"/>
      <x:c r="I1105" s="12"/>
      <x:c r="J1105" s="18"/>
      <x:c r="K1105" s="12"/>
      <x:c r="L1105" s="12"/>
      <x:c r="M1105" s="12"/>
      <x:c r="N1105" s="12"/>
      <x:c r="O1105" s="12"/>
      <x:c r="P1105" s="12"/>
      <x:c r="Q1105" s="12"/>
      <x:c r="R1105" s="12"/>
      <x:c r="S1105" s="12"/>
      <x:c r="T1105" s="12"/>
      <x:c r="U1105" s="12"/>
      <x:c r="V1105" s="12"/>
      <x:c r="W1105" s="12"/>
      <x:c r="X1105" s="12"/>
      <x:c r="Y1105" s="12"/>
      <x:c r="Z1105" s="12"/>
      <x:c r="AA1105" s="12"/>
    </x:row>
    <x:row r="1106">
      <x:c r="A1106" s="12"/>
      <x:c r="B1106" s="12"/>
      <x:c r="C1106" s="12"/>
      <x:c r="D1106" s="12"/>
      <x:c r="E1106" s="12"/>
      <x:c r="F1106" s="12"/>
      <x:c r="G1106" s="17"/>
      <x:c r="H1106" s="12"/>
      <x:c r="I1106" s="12"/>
      <x:c r="J1106" s="18"/>
      <x:c r="K1106" s="12"/>
      <x:c r="L1106" s="12"/>
      <x:c r="M1106" s="12"/>
      <x:c r="N1106" s="12"/>
      <x:c r="O1106" s="12"/>
      <x:c r="P1106" s="12"/>
      <x:c r="Q1106" s="12"/>
      <x:c r="R1106" s="12"/>
      <x:c r="S1106" s="12"/>
      <x:c r="T1106" s="12"/>
      <x:c r="U1106" s="12"/>
      <x:c r="V1106" s="12"/>
      <x:c r="W1106" s="12"/>
      <x:c r="X1106" s="12"/>
      <x:c r="Y1106" s="12"/>
      <x:c r="Z1106" s="12"/>
      <x:c r="AA1106" s="12"/>
    </x:row>
    <x:row r="1107">
      <x:c r="A1107" s="12"/>
      <x:c r="B1107" s="12"/>
      <x:c r="C1107" s="12"/>
      <x:c r="D1107" s="12"/>
      <x:c r="E1107" s="12"/>
      <x:c r="F1107" s="12"/>
      <x:c r="G1107" s="17"/>
      <x:c r="H1107" s="12"/>
      <x:c r="I1107" s="12"/>
      <x:c r="J1107" s="18"/>
      <x:c r="K1107" s="12"/>
      <x:c r="L1107" s="12"/>
      <x:c r="M1107" s="12"/>
      <x:c r="N1107" s="12"/>
      <x:c r="O1107" s="12"/>
      <x:c r="P1107" s="12"/>
      <x:c r="Q1107" s="12"/>
      <x:c r="R1107" s="12"/>
      <x:c r="S1107" s="12"/>
      <x:c r="T1107" s="12"/>
      <x:c r="U1107" s="12"/>
      <x:c r="V1107" s="12"/>
      <x:c r="W1107" s="12"/>
      <x:c r="X1107" s="12"/>
      <x:c r="Y1107" s="12"/>
      <x:c r="Z1107" s="12"/>
      <x:c r="AA1107" s="12"/>
    </x:row>
    <x:row r="1108">
      <x:c r="A1108" s="12"/>
      <x:c r="B1108" s="12"/>
      <x:c r="C1108" s="12"/>
      <x:c r="D1108" s="12"/>
      <x:c r="E1108" s="12"/>
      <x:c r="F1108" s="12"/>
      <x:c r="G1108" s="17"/>
      <x:c r="H1108" s="12"/>
      <x:c r="I1108" s="12"/>
      <x:c r="J1108" s="18"/>
      <x:c r="K1108" s="12"/>
      <x:c r="L1108" s="12"/>
      <x:c r="M1108" s="12"/>
      <x:c r="N1108" s="12"/>
      <x:c r="O1108" s="12"/>
      <x:c r="P1108" s="12"/>
      <x:c r="Q1108" s="12"/>
      <x:c r="R1108" s="12"/>
      <x:c r="S1108" s="12"/>
      <x:c r="T1108" s="12"/>
      <x:c r="U1108" s="12"/>
      <x:c r="V1108" s="12"/>
      <x:c r="W1108" s="12"/>
      <x:c r="X1108" s="12"/>
      <x:c r="Y1108" s="12"/>
      <x:c r="Z1108" s="12"/>
      <x:c r="AA1108" s="12"/>
    </x:row>
    <x:row r="1109">
      <x:c r="A1109" s="12"/>
      <x:c r="B1109" s="12"/>
      <x:c r="C1109" s="12"/>
      <x:c r="D1109" s="12"/>
      <x:c r="E1109" s="12"/>
      <x:c r="F1109" s="12"/>
      <x:c r="G1109" s="17"/>
      <x:c r="H1109" s="12"/>
      <x:c r="I1109" s="12"/>
      <x:c r="J1109" s="18"/>
      <x:c r="K1109" s="12"/>
      <x:c r="L1109" s="12"/>
      <x:c r="M1109" s="12"/>
      <x:c r="N1109" s="12"/>
      <x:c r="O1109" s="12"/>
      <x:c r="P1109" s="12"/>
      <x:c r="Q1109" s="12"/>
      <x:c r="R1109" s="12"/>
      <x:c r="S1109" s="12"/>
      <x:c r="T1109" s="12"/>
      <x:c r="U1109" s="12"/>
      <x:c r="V1109" s="12"/>
      <x:c r="W1109" s="12"/>
      <x:c r="X1109" s="12"/>
      <x:c r="Y1109" s="12"/>
      <x:c r="Z1109" s="12"/>
      <x:c r="AA1109" s="12"/>
    </x:row>
    <x:row r="1110">
      <x:c r="A1110" s="12"/>
      <x:c r="B1110" s="12"/>
      <x:c r="C1110" s="12"/>
      <x:c r="D1110" s="12"/>
      <x:c r="E1110" s="12"/>
      <x:c r="F1110" s="12"/>
      <x:c r="G1110" s="17"/>
      <x:c r="H1110" s="12"/>
      <x:c r="I1110" s="12"/>
      <x:c r="J1110" s="18"/>
      <x:c r="K1110" s="12"/>
      <x:c r="L1110" s="12"/>
      <x:c r="M1110" s="12"/>
      <x:c r="N1110" s="12"/>
      <x:c r="O1110" s="12"/>
      <x:c r="P1110" s="12"/>
      <x:c r="Q1110" s="12"/>
      <x:c r="R1110" s="12"/>
      <x:c r="S1110" s="12"/>
      <x:c r="T1110" s="12"/>
      <x:c r="U1110" s="12"/>
      <x:c r="V1110" s="12"/>
      <x:c r="W1110" s="12"/>
      <x:c r="X1110" s="12"/>
      <x:c r="Y1110" s="12"/>
      <x:c r="Z1110" s="12"/>
      <x:c r="AA1110" s="12"/>
    </x:row>
    <x:row r="1111">
      <x:c r="A1111" s="12"/>
      <x:c r="B1111" s="12"/>
      <x:c r="C1111" s="12"/>
      <x:c r="D1111" s="12"/>
      <x:c r="E1111" s="12"/>
      <x:c r="F1111" s="12"/>
      <x:c r="G1111" s="17"/>
      <x:c r="H1111" s="12"/>
      <x:c r="I1111" s="12"/>
      <x:c r="J1111" s="18"/>
      <x:c r="K1111" s="12"/>
      <x:c r="L1111" s="12"/>
      <x:c r="M1111" s="12"/>
      <x:c r="N1111" s="12"/>
      <x:c r="O1111" s="12"/>
      <x:c r="P1111" s="12"/>
      <x:c r="Q1111" s="12"/>
      <x:c r="R1111" s="12"/>
      <x:c r="S1111" s="12"/>
      <x:c r="T1111" s="12"/>
      <x:c r="U1111" s="12"/>
      <x:c r="V1111" s="12"/>
      <x:c r="W1111" s="12"/>
      <x:c r="X1111" s="12"/>
      <x:c r="Y1111" s="12"/>
      <x:c r="Z1111" s="12"/>
      <x:c r="AA1111" s="12"/>
    </x:row>
    <x:row r="1112">
      <x:c r="A1112" s="12"/>
      <x:c r="B1112" s="12"/>
      <x:c r="C1112" s="12"/>
      <x:c r="D1112" s="12"/>
      <x:c r="E1112" s="12"/>
      <x:c r="F1112" s="12"/>
      <x:c r="G1112" s="17"/>
      <x:c r="H1112" s="12"/>
      <x:c r="I1112" s="12"/>
      <x:c r="J1112" s="18"/>
      <x:c r="K1112" s="12"/>
      <x:c r="L1112" s="12"/>
      <x:c r="M1112" s="12"/>
      <x:c r="N1112" s="12"/>
      <x:c r="O1112" s="12"/>
      <x:c r="P1112" s="12"/>
      <x:c r="Q1112" s="12"/>
      <x:c r="R1112" s="12"/>
      <x:c r="S1112" s="12"/>
      <x:c r="T1112" s="12"/>
      <x:c r="U1112" s="12"/>
      <x:c r="V1112" s="12"/>
      <x:c r="W1112" s="12"/>
      <x:c r="X1112" s="12"/>
      <x:c r="Y1112" s="12"/>
      <x:c r="Z1112" s="12"/>
      <x:c r="AA1112" s="12"/>
    </x:row>
    <x:row r="1113">
      <x:c r="A1113" s="12"/>
      <x:c r="B1113" s="12"/>
      <x:c r="C1113" s="12"/>
      <x:c r="D1113" s="12"/>
      <x:c r="E1113" s="12"/>
      <x:c r="F1113" s="12"/>
      <x:c r="G1113" s="17"/>
      <x:c r="H1113" s="12"/>
      <x:c r="I1113" s="12"/>
      <x:c r="J1113" s="18"/>
      <x:c r="K1113" s="12"/>
      <x:c r="L1113" s="12"/>
      <x:c r="M1113" s="12"/>
      <x:c r="N1113" s="12"/>
      <x:c r="O1113" s="12"/>
      <x:c r="P1113" s="12"/>
      <x:c r="Q1113" s="12"/>
      <x:c r="R1113" s="12"/>
      <x:c r="S1113" s="12"/>
      <x:c r="T1113" s="12"/>
      <x:c r="U1113" s="12"/>
      <x:c r="V1113" s="12"/>
      <x:c r="W1113" s="12"/>
      <x:c r="X1113" s="12"/>
      <x:c r="Y1113" s="12"/>
      <x:c r="Z1113" s="12"/>
      <x:c r="AA1113" s="12"/>
    </x:row>
    <x:row r="1114">
      <x:c r="A1114" s="12"/>
      <x:c r="B1114" s="12"/>
      <x:c r="C1114" s="12"/>
      <x:c r="D1114" s="12"/>
      <x:c r="E1114" s="12"/>
      <x:c r="F1114" s="12"/>
      <x:c r="G1114" s="17"/>
      <x:c r="H1114" s="12"/>
      <x:c r="I1114" s="12"/>
      <x:c r="J1114" s="18"/>
      <x:c r="K1114" s="12"/>
      <x:c r="L1114" s="12"/>
      <x:c r="M1114" s="12"/>
      <x:c r="N1114" s="12"/>
      <x:c r="O1114" s="12"/>
      <x:c r="P1114" s="12"/>
      <x:c r="Q1114" s="12"/>
      <x:c r="R1114" s="12"/>
      <x:c r="S1114" s="12"/>
      <x:c r="T1114" s="12"/>
      <x:c r="U1114" s="12"/>
      <x:c r="V1114" s="12"/>
      <x:c r="W1114" s="12"/>
      <x:c r="X1114" s="12"/>
      <x:c r="Y1114" s="12"/>
      <x:c r="Z1114" s="12"/>
      <x:c r="AA1114" s="12"/>
    </x:row>
    <x:row r="1115">
      <x:c r="A1115" s="12"/>
      <x:c r="B1115" s="12"/>
      <x:c r="C1115" s="12"/>
      <x:c r="D1115" s="12"/>
      <x:c r="E1115" s="12"/>
      <x:c r="F1115" s="12"/>
      <x:c r="G1115" s="17"/>
      <x:c r="H1115" s="12"/>
      <x:c r="I1115" s="12"/>
      <x:c r="J1115" s="18"/>
      <x:c r="K1115" s="12"/>
      <x:c r="L1115" s="12"/>
      <x:c r="M1115" s="12"/>
      <x:c r="N1115" s="12"/>
      <x:c r="O1115" s="12"/>
      <x:c r="P1115" s="12"/>
      <x:c r="Q1115" s="12"/>
      <x:c r="R1115" s="12"/>
      <x:c r="S1115" s="12"/>
      <x:c r="T1115" s="12"/>
      <x:c r="U1115" s="12"/>
      <x:c r="V1115" s="12"/>
      <x:c r="W1115" s="12"/>
      <x:c r="X1115" s="12"/>
      <x:c r="Y1115" s="12"/>
      <x:c r="Z1115" s="12"/>
      <x:c r="AA1115" s="12"/>
    </x:row>
    <x:row r="1116">
      <x:c r="A1116" s="12"/>
      <x:c r="B1116" s="12"/>
      <x:c r="C1116" s="12"/>
      <x:c r="D1116" s="12"/>
      <x:c r="E1116" s="12"/>
      <x:c r="F1116" s="12"/>
      <x:c r="G1116" s="17"/>
      <x:c r="H1116" s="12"/>
      <x:c r="I1116" s="12"/>
      <x:c r="J1116" s="18"/>
      <x:c r="K1116" s="12"/>
      <x:c r="L1116" s="12"/>
      <x:c r="M1116" s="12"/>
      <x:c r="N1116" s="12"/>
      <x:c r="O1116" s="12"/>
      <x:c r="P1116" s="12"/>
      <x:c r="Q1116" s="12"/>
      <x:c r="R1116" s="12"/>
      <x:c r="S1116" s="12"/>
      <x:c r="T1116" s="12"/>
      <x:c r="U1116" s="12"/>
      <x:c r="V1116" s="12"/>
      <x:c r="W1116" s="12"/>
      <x:c r="X1116" s="12"/>
      <x:c r="Y1116" s="12"/>
      <x:c r="Z1116" s="12"/>
      <x:c r="AA1116" s="12"/>
    </x:row>
    <x:row r="1117">
      <x:c r="A1117" s="12"/>
      <x:c r="B1117" s="12"/>
      <x:c r="C1117" s="12"/>
      <x:c r="D1117" s="12"/>
      <x:c r="E1117" s="12"/>
      <x:c r="F1117" s="12"/>
      <x:c r="G1117" s="17"/>
      <x:c r="H1117" s="12"/>
      <x:c r="I1117" s="12"/>
      <x:c r="J1117" s="18"/>
      <x:c r="K1117" s="12"/>
      <x:c r="L1117" s="12"/>
      <x:c r="M1117" s="12"/>
      <x:c r="N1117" s="12"/>
      <x:c r="O1117" s="12"/>
      <x:c r="P1117" s="12"/>
      <x:c r="Q1117" s="12"/>
      <x:c r="R1117" s="12"/>
      <x:c r="S1117" s="12"/>
      <x:c r="T1117" s="12"/>
      <x:c r="U1117" s="12"/>
      <x:c r="V1117" s="12"/>
      <x:c r="W1117" s="12"/>
      <x:c r="X1117" s="12"/>
      <x:c r="Y1117" s="12"/>
      <x:c r="Z1117" s="12"/>
      <x:c r="AA1117" s="12"/>
    </x:row>
    <x:row r="1118">
      <x:c r="A1118" s="12"/>
      <x:c r="B1118" s="12"/>
      <x:c r="C1118" s="12"/>
      <x:c r="D1118" s="12"/>
      <x:c r="E1118" s="12"/>
      <x:c r="F1118" s="12"/>
      <x:c r="G1118" s="17"/>
      <x:c r="H1118" s="12"/>
      <x:c r="I1118" s="12"/>
      <x:c r="J1118" s="18"/>
      <x:c r="K1118" s="12"/>
      <x:c r="L1118" s="12"/>
      <x:c r="M1118" s="12"/>
      <x:c r="N1118" s="12"/>
      <x:c r="O1118" s="12"/>
      <x:c r="P1118" s="12"/>
      <x:c r="Q1118" s="12"/>
      <x:c r="R1118" s="12"/>
      <x:c r="S1118" s="12"/>
      <x:c r="T1118" s="12"/>
      <x:c r="U1118" s="12"/>
      <x:c r="V1118" s="12"/>
      <x:c r="W1118" s="12"/>
      <x:c r="X1118" s="12"/>
      <x:c r="Y1118" s="12"/>
      <x:c r="Z1118" s="12"/>
      <x:c r="AA1118" s="12"/>
    </x:row>
    <x:row r="1119">
      <x:c r="A1119" s="12"/>
      <x:c r="B1119" s="12"/>
      <x:c r="C1119" s="12"/>
      <x:c r="D1119" s="12"/>
      <x:c r="E1119" s="12"/>
      <x:c r="F1119" s="12"/>
      <x:c r="G1119" s="17"/>
      <x:c r="H1119" s="12"/>
      <x:c r="I1119" s="12"/>
      <x:c r="J1119" s="18"/>
      <x:c r="K1119" s="12"/>
      <x:c r="L1119" s="12"/>
      <x:c r="M1119" s="12"/>
      <x:c r="N1119" s="12"/>
      <x:c r="O1119" s="12"/>
      <x:c r="P1119" s="12"/>
      <x:c r="Q1119" s="12"/>
      <x:c r="R1119" s="12"/>
      <x:c r="S1119" s="12"/>
      <x:c r="T1119" s="12"/>
      <x:c r="U1119" s="12"/>
      <x:c r="V1119" s="12"/>
      <x:c r="W1119" s="12"/>
      <x:c r="X1119" s="12"/>
      <x:c r="Y1119" s="12"/>
      <x:c r="Z1119" s="12"/>
      <x:c r="AA1119" s="12"/>
    </x:row>
    <x:row r="1120">
      <x:c r="A1120" s="12"/>
      <x:c r="B1120" s="12"/>
      <x:c r="C1120" s="12"/>
      <x:c r="D1120" s="12"/>
      <x:c r="E1120" s="12"/>
      <x:c r="F1120" s="12"/>
      <x:c r="G1120" s="17"/>
      <x:c r="H1120" s="12"/>
      <x:c r="I1120" s="12"/>
      <x:c r="J1120" s="18"/>
      <x:c r="K1120" s="12"/>
      <x:c r="L1120" s="12"/>
      <x:c r="M1120" s="12"/>
      <x:c r="N1120" s="12"/>
      <x:c r="O1120" s="12"/>
      <x:c r="P1120" s="12"/>
      <x:c r="Q1120" s="12"/>
      <x:c r="R1120" s="12"/>
      <x:c r="S1120" s="12"/>
      <x:c r="T1120" s="12"/>
      <x:c r="U1120" s="12"/>
      <x:c r="V1120" s="12"/>
      <x:c r="W1120" s="12"/>
      <x:c r="X1120" s="12"/>
      <x:c r="Y1120" s="12"/>
      <x:c r="Z1120" s="12"/>
      <x:c r="AA1120" s="12"/>
    </x:row>
    <x:row r="1121">
      <x:c r="A1121" s="12"/>
      <x:c r="B1121" s="12"/>
      <x:c r="C1121" s="12"/>
      <x:c r="D1121" s="12"/>
      <x:c r="E1121" s="12"/>
      <x:c r="F1121" s="12"/>
      <x:c r="G1121" s="17"/>
      <x:c r="H1121" s="12"/>
      <x:c r="I1121" s="12"/>
      <x:c r="J1121" s="18"/>
      <x:c r="K1121" s="12"/>
      <x:c r="L1121" s="12"/>
      <x:c r="M1121" s="12"/>
      <x:c r="N1121" s="12"/>
      <x:c r="O1121" s="12"/>
      <x:c r="P1121" s="12"/>
      <x:c r="Q1121" s="12"/>
      <x:c r="R1121" s="12"/>
      <x:c r="S1121" s="12"/>
      <x:c r="T1121" s="12"/>
      <x:c r="U1121" s="12"/>
      <x:c r="V1121" s="12"/>
      <x:c r="W1121" s="12"/>
      <x:c r="X1121" s="12"/>
      <x:c r="Y1121" s="12"/>
      <x:c r="Z1121" s="12"/>
      <x:c r="AA1121" s="12"/>
    </x:row>
    <x:row r="1122">
      <x:c r="A1122" s="12"/>
      <x:c r="B1122" s="12"/>
      <x:c r="C1122" s="12"/>
      <x:c r="D1122" s="12"/>
      <x:c r="E1122" s="12"/>
      <x:c r="F1122" s="12"/>
      <x:c r="G1122" s="17"/>
      <x:c r="H1122" s="12"/>
      <x:c r="I1122" s="12"/>
      <x:c r="J1122" s="18"/>
      <x:c r="K1122" s="12"/>
      <x:c r="L1122" s="12"/>
      <x:c r="M1122" s="12"/>
      <x:c r="N1122" s="12"/>
      <x:c r="O1122" s="12"/>
      <x:c r="P1122" s="12"/>
      <x:c r="Q1122" s="12"/>
      <x:c r="R1122" s="12"/>
      <x:c r="S1122" s="12"/>
      <x:c r="T1122" s="12"/>
      <x:c r="U1122" s="12"/>
      <x:c r="V1122" s="12"/>
      <x:c r="W1122" s="12"/>
      <x:c r="X1122" s="12"/>
      <x:c r="Y1122" s="12"/>
      <x:c r="Z1122" s="12"/>
      <x:c r="AA1122" s="12"/>
    </x:row>
    <x:row r="1123">
      <x:c r="A1123" s="12"/>
      <x:c r="B1123" s="12"/>
      <x:c r="C1123" s="12"/>
      <x:c r="D1123" s="12"/>
      <x:c r="E1123" s="12"/>
      <x:c r="F1123" s="12"/>
      <x:c r="G1123" s="17"/>
      <x:c r="H1123" s="12"/>
      <x:c r="I1123" s="12"/>
      <x:c r="J1123" s="18"/>
      <x:c r="K1123" s="12"/>
      <x:c r="L1123" s="12"/>
      <x:c r="M1123" s="12"/>
      <x:c r="N1123" s="12"/>
      <x:c r="O1123" s="12"/>
      <x:c r="P1123" s="12"/>
      <x:c r="Q1123" s="12"/>
      <x:c r="R1123" s="12"/>
      <x:c r="S1123" s="12"/>
      <x:c r="T1123" s="12"/>
      <x:c r="U1123" s="12"/>
      <x:c r="V1123" s="12"/>
      <x:c r="W1123" s="12"/>
      <x:c r="X1123" s="12"/>
      <x:c r="Y1123" s="12"/>
      <x:c r="Z1123" s="12"/>
      <x:c r="AA1123" s="12"/>
    </x:row>
    <x:row r="1124">
      <x:c r="A1124" s="12"/>
      <x:c r="B1124" s="12"/>
      <x:c r="C1124" s="12"/>
      <x:c r="D1124" s="12"/>
      <x:c r="E1124" s="12"/>
      <x:c r="F1124" s="12"/>
      <x:c r="G1124" s="17"/>
      <x:c r="H1124" s="12"/>
      <x:c r="I1124" s="12"/>
      <x:c r="J1124" s="18"/>
      <x:c r="K1124" s="12"/>
      <x:c r="L1124" s="12"/>
      <x:c r="M1124" s="12"/>
      <x:c r="N1124" s="12"/>
      <x:c r="O1124" s="12"/>
      <x:c r="P1124" s="12"/>
      <x:c r="Q1124" s="12"/>
      <x:c r="R1124" s="12"/>
      <x:c r="S1124" s="12"/>
      <x:c r="T1124" s="12"/>
      <x:c r="U1124" s="12"/>
      <x:c r="V1124" s="12"/>
      <x:c r="W1124" s="12"/>
      <x:c r="X1124" s="12"/>
      <x:c r="Y1124" s="12"/>
      <x:c r="Z1124" s="12"/>
      <x:c r="AA1124" s="12"/>
    </x:row>
    <x:row r="1125">
      <x:c r="A1125" s="12"/>
      <x:c r="B1125" s="12"/>
      <x:c r="C1125" s="12"/>
      <x:c r="D1125" s="12"/>
      <x:c r="E1125" s="12"/>
      <x:c r="F1125" s="12"/>
      <x:c r="G1125" s="17"/>
      <x:c r="H1125" s="12"/>
      <x:c r="I1125" s="12"/>
      <x:c r="J1125" s="18"/>
      <x:c r="K1125" s="12"/>
      <x:c r="L1125" s="12"/>
      <x:c r="M1125" s="12"/>
      <x:c r="N1125" s="12"/>
      <x:c r="O1125" s="12"/>
      <x:c r="P1125" s="12"/>
      <x:c r="Q1125" s="12"/>
      <x:c r="R1125" s="12"/>
      <x:c r="S1125" s="12"/>
      <x:c r="T1125" s="12"/>
      <x:c r="U1125" s="12"/>
      <x:c r="V1125" s="12"/>
      <x:c r="W1125" s="12"/>
      <x:c r="X1125" s="12"/>
      <x:c r="Y1125" s="12"/>
      <x:c r="Z1125" s="12"/>
      <x:c r="AA1125" s="12"/>
    </x:row>
    <x:row r="1126">
      <x:c r="A1126" s="12"/>
      <x:c r="B1126" s="12"/>
      <x:c r="C1126" s="12"/>
      <x:c r="D1126" s="12"/>
      <x:c r="E1126" s="12"/>
      <x:c r="F1126" s="12"/>
      <x:c r="G1126" s="17"/>
      <x:c r="H1126" s="12"/>
      <x:c r="I1126" s="12"/>
      <x:c r="J1126" s="18"/>
      <x:c r="K1126" s="12"/>
      <x:c r="L1126" s="12"/>
      <x:c r="M1126" s="12"/>
      <x:c r="N1126" s="12"/>
      <x:c r="O1126" s="12"/>
      <x:c r="P1126" s="12"/>
      <x:c r="Q1126" s="12"/>
      <x:c r="R1126" s="12"/>
      <x:c r="S1126" s="12"/>
      <x:c r="T1126" s="12"/>
      <x:c r="U1126" s="12"/>
      <x:c r="V1126" s="12"/>
      <x:c r="W1126" s="12"/>
      <x:c r="X1126" s="12"/>
      <x:c r="Y1126" s="12"/>
      <x:c r="Z1126" s="12"/>
      <x:c r="AA1126" s="12"/>
    </x:row>
    <x:row r="1127">
      <x:c r="A1127" s="12"/>
      <x:c r="B1127" s="12"/>
      <x:c r="C1127" s="12"/>
      <x:c r="D1127" s="12"/>
      <x:c r="E1127" s="12"/>
      <x:c r="F1127" s="12"/>
      <x:c r="G1127" s="17"/>
      <x:c r="H1127" s="12"/>
      <x:c r="I1127" s="12"/>
      <x:c r="J1127" s="18"/>
      <x:c r="K1127" s="12"/>
      <x:c r="L1127" s="12"/>
      <x:c r="M1127" s="12"/>
      <x:c r="N1127" s="12"/>
      <x:c r="O1127" s="12"/>
      <x:c r="P1127" s="12"/>
      <x:c r="Q1127" s="12"/>
      <x:c r="R1127" s="12"/>
      <x:c r="S1127" s="12"/>
      <x:c r="T1127" s="12"/>
      <x:c r="U1127" s="12"/>
      <x:c r="V1127" s="12"/>
      <x:c r="W1127" s="12"/>
      <x:c r="X1127" s="12"/>
      <x:c r="Y1127" s="12"/>
      <x:c r="Z1127" s="12"/>
      <x:c r="AA1127" s="12"/>
    </x:row>
    <x:row r="1128">
      <x:c r="A1128" s="12"/>
      <x:c r="B1128" s="12"/>
      <x:c r="C1128" s="12"/>
      <x:c r="D1128" s="12"/>
      <x:c r="E1128" s="12"/>
      <x:c r="F1128" s="12"/>
      <x:c r="G1128" s="17"/>
      <x:c r="H1128" s="12"/>
      <x:c r="I1128" s="12"/>
      <x:c r="J1128" s="18"/>
      <x:c r="K1128" s="12"/>
      <x:c r="L1128" s="12"/>
      <x:c r="M1128" s="12"/>
      <x:c r="N1128" s="12"/>
      <x:c r="O1128" s="12"/>
      <x:c r="P1128" s="12"/>
      <x:c r="Q1128" s="12"/>
      <x:c r="R1128" s="12"/>
      <x:c r="S1128" s="12"/>
      <x:c r="T1128" s="12"/>
      <x:c r="U1128" s="12"/>
      <x:c r="V1128" s="12"/>
      <x:c r="W1128" s="12"/>
      <x:c r="X1128" s="12"/>
      <x:c r="Y1128" s="12"/>
      <x:c r="Z1128" s="12"/>
      <x:c r="AA1128" s="12"/>
    </x:row>
    <x:row r="1129">
      <x:c r="A1129" s="12"/>
      <x:c r="B1129" s="12"/>
      <x:c r="C1129" s="12"/>
      <x:c r="D1129" s="12"/>
      <x:c r="E1129" s="12"/>
      <x:c r="F1129" s="12"/>
      <x:c r="G1129" s="17"/>
      <x:c r="H1129" s="12"/>
      <x:c r="I1129" s="12"/>
      <x:c r="J1129" s="18"/>
      <x:c r="K1129" s="12"/>
      <x:c r="L1129" s="12"/>
      <x:c r="M1129" s="12"/>
      <x:c r="N1129" s="12"/>
      <x:c r="O1129" s="12"/>
      <x:c r="P1129" s="12"/>
      <x:c r="Q1129" s="12"/>
      <x:c r="R1129" s="12"/>
      <x:c r="S1129" s="12"/>
      <x:c r="T1129" s="12"/>
      <x:c r="U1129" s="12"/>
      <x:c r="V1129" s="12"/>
      <x:c r="W1129" s="12"/>
      <x:c r="X1129" s="12"/>
      <x:c r="Y1129" s="12"/>
      <x:c r="Z1129" s="12"/>
      <x:c r="AA1129" s="12"/>
    </x:row>
    <x:row r="1130">
      <x:c r="A1130" s="12"/>
      <x:c r="B1130" s="12"/>
      <x:c r="C1130" s="12"/>
      <x:c r="D1130" s="12"/>
      <x:c r="E1130" s="12"/>
      <x:c r="F1130" s="12"/>
      <x:c r="G1130" s="17"/>
      <x:c r="H1130" s="12"/>
      <x:c r="I1130" s="12"/>
      <x:c r="J1130" s="18"/>
      <x:c r="K1130" s="12"/>
      <x:c r="L1130" s="12"/>
      <x:c r="M1130" s="12"/>
      <x:c r="N1130" s="12"/>
      <x:c r="O1130" s="12"/>
      <x:c r="P1130" s="12"/>
      <x:c r="Q1130" s="12"/>
      <x:c r="R1130" s="12"/>
      <x:c r="S1130" s="12"/>
      <x:c r="T1130" s="12"/>
      <x:c r="U1130" s="12"/>
      <x:c r="V1130" s="12"/>
      <x:c r="W1130" s="12"/>
      <x:c r="X1130" s="12"/>
      <x:c r="Y1130" s="12"/>
      <x:c r="Z1130" s="12"/>
      <x:c r="AA1130" s="12"/>
    </x:row>
    <x:row r="1131">
      <x:c r="A1131" s="12"/>
      <x:c r="B1131" s="12"/>
      <x:c r="C1131" s="12"/>
      <x:c r="D1131" s="12"/>
      <x:c r="E1131" s="12"/>
      <x:c r="F1131" s="12"/>
      <x:c r="G1131" s="17"/>
      <x:c r="H1131" s="12"/>
      <x:c r="I1131" s="12"/>
      <x:c r="J1131" s="18"/>
      <x:c r="K1131" s="12"/>
      <x:c r="L1131" s="12"/>
      <x:c r="M1131" s="12"/>
      <x:c r="N1131" s="12"/>
      <x:c r="O1131" s="12"/>
      <x:c r="P1131" s="12"/>
      <x:c r="Q1131" s="12"/>
      <x:c r="R1131" s="12"/>
      <x:c r="S1131" s="12"/>
      <x:c r="T1131" s="12"/>
      <x:c r="U1131" s="12"/>
      <x:c r="V1131" s="12"/>
      <x:c r="W1131" s="12"/>
      <x:c r="X1131" s="12"/>
      <x:c r="Y1131" s="12"/>
      <x:c r="Z1131" s="12"/>
      <x:c r="AA1131" s="12"/>
    </x:row>
    <x:row r="1132">
      <x:c r="A1132" s="12"/>
      <x:c r="B1132" s="12"/>
      <x:c r="C1132" s="12"/>
      <x:c r="D1132" s="12"/>
      <x:c r="E1132" s="12"/>
      <x:c r="F1132" s="12"/>
      <x:c r="G1132" s="17"/>
      <x:c r="H1132" s="12"/>
      <x:c r="I1132" s="12"/>
      <x:c r="J1132" s="18"/>
      <x:c r="K1132" s="12"/>
      <x:c r="L1132" s="12"/>
      <x:c r="M1132" s="12"/>
      <x:c r="N1132" s="12"/>
      <x:c r="O1132" s="12"/>
      <x:c r="P1132" s="12"/>
      <x:c r="Q1132" s="12"/>
      <x:c r="R1132" s="12"/>
      <x:c r="S1132" s="12"/>
      <x:c r="T1132" s="12"/>
      <x:c r="U1132" s="12"/>
      <x:c r="V1132" s="12"/>
      <x:c r="W1132" s="12"/>
      <x:c r="X1132" s="12"/>
      <x:c r="Y1132" s="12"/>
      <x:c r="Z1132" s="12"/>
      <x:c r="AA1132" s="12"/>
    </x:row>
    <x:row r="1133">
      <x:c r="A1133" s="12"/>
      <x:c r="B1133" s="12"/>
      <x:c r="C1133" s="12"/>
      <x:c r="D1133" s="12"/>
      <x:c r="E1133" s="12"/>
      <x:c r="F1133" s="12"/>
      <x:c r="G1133" s="17"/>
      <x:c r="H1133" s="12"/>
      <x:c r="I1133" s="12"/>
      <x:c r="J1133" s="18"/>
      <x:c r="K1133" s="12"/>
      <x:c r="L1133" s="12"/>
      <x:c r="M1133" s="12"/>
      <x:c r="N1133" s="12"/>
      <x:c r="O1133" s="12"/>
      <x:c r="P1133" s="12"/>
      <x:c r="Q1133" s="12"/>
      <x:c r="R1133" s="12"/>
      <x:c r="S1133" s="12"/>
      <x:c r="T1133" s="12"/>
      <x:c r="U1133" s="12"/>
      <x:c r="V1133" s="12"/>
      <x:c r="W1133" s="12"/>
      <x:c r="X1133" s="12"/>
      <x:c r="Y1133" s="12"/>
      <x:c r="Z1133" s="12"/>
      <x:c r="AA1133" s="12"/>
    </x:row>
    <x:row r="1134">
      <x:c r="A1134" s="12"/>
      <x:c r="B1134" s="12"/>
      <x:c r="C1134" s="12"/>
      <x:c r="D1134" s="12"/>
      <x:c r="E1134" s="12"/>
      <x:c r="F1134" s="12"/>
      <x:c r="G1134" s="17"/>
      <x:c r="H1134" s="12"/>
      <x:c r="I1134" s="12"/>
      <x:c r="J1134" s="18"/>
      <x:c r="K1134" s="12"/>
      <x:c r="L1134" s="12"/>
      <x:c r="M1134" s="12"/>
      <x:c r="N1134" s="12"/>
      <x:c r="O1134" s="12"/>
      <x:c r="P1134" s="12"/>
      <x:c r="Q1134" s="12"/>
      <x:c r="R1134" s="12"/>
      <x:c r="S1134" s="12"/>
      <x:c r="T1134" s="12"/>
      <x:c r="U1134" s="12"/>
      <x:c r="V1134" s="12"/>
      <x:c r="W1134" s="12"/>
      <x:c r="X1134" s="12"/>
      <x:c r="Y1134" s="12"/>
      <x:c r="Z1134" s="12"/>
      <x:c r="AA1134" s="12"/>
    </x:row>
    <x:row r="1135">
      <x:c r="A1135" s="12"/>
      <x:c r="B1135" s="12"/>
      <x:c r="C1135" s="12"/>
      <x:c r="D1135" s="12"/>
      <x:c r="E1135" s="12"/>
      <x:c r="F1135" s="12"/>
      <x:c r="G1135" s="17"/>
      <x:c r="H1135" s="12"/>
      <x:c r="I1135" s="12"/>
      <x:c r="J1135" s="18"/>
      <x:c r="K1135" s="12"/>
      <x:c r="L1135" s="12"/>
      <x:c r="M1135" s="12"/>
      <x:c r="N1135" s="12"/>
      <x:c r="O1135" s="12"/>
      <x:c r="P1135" s="12"/>
      <x:c r="Q1135" s="12"/>
      <x:c r="R1135" s="12"/>
      <x:c r="S1135" s="12"/>
      <x:c r="T1135" s="12"/>
      <x:c r="U1135" s="12"/>
      <x:c r="V1135" s="12"/>
      <x:c r="W1135" s="12"/>
      <x:c r="X1135" s="12"/>
      <x:c r="Y1135" s="12"/>
      <x:c r="Z1135" s="12"/>
      <x:c r="AA1135" s="12"/>
    </x:row>
    <x:row r="1136">
      <x:c r="A1136" s="12"/>
      <x:c r="B1136" s="12"/>
      <x:c r="C1136" s="12"/>
      <x:c r="D1136" s="12"/>
      <x:c r="E1136" s="12"/>
      <x:c r="F1136" s="12"/>
      <x:c r="G1136" s="17"/>
      <x:c r="H1136" s="12"/>
      <x:c r="I1136" s="12"/>
      <x:c r="J1136" s="18"/>
      <x:c r="K1136" s="12"/>
      <x:c r="L1136" s="12"/>
      <x:c r="M1136" s="12"/>
      <x:c r="N1136" s="12"/>
      <x:c r="O1136" s="12"/>
      <x:c r="P1136" s="12"/>
      <x:c r="Q1136" s="12"/>
      <x:c r="R1136" s="12"/>
      <x:c r="S1136" s="12"/>
      <x:c r="T1136" s="12"/>
      <x:c r="U1136" s="12"/>
      <x:c r="V1136" s="12"/>
      <x:c r="W1136" s="12"/>
      <x:c r="X1136" s="12"/>
      <x:c r="Y1136" s="12"/>
      <x:c r="Z1136" s="12"/>
      <x:c r="AA1136" s="12"/>
    </x:row>
    <x:row r="1137">
      <x:c r="A1137" s="12"/>
      <x:c r="B1137" s="12"/>
      <x:c r="C1137" s="12"/>
      <x:c r="D1137" s="12"/>
      <x:c r="E1137" s="12"/>
      <x:c r="F1137" s="12"/>
      <x:c r="G1137" s="17"/>
      <x:c r="H1137" s="12"/>
      <x:c r="I1137" s="12"/>
      <x:c r="J1137" s="18"/>
      <x:c r="K1137" s="12"/>
      <x:c r="L1137" s="12"/>
      <x:c r="M1137" s="12"/>
      <x:c r="N1137" s="12"/>
      <x:c r="O1137" s="12"/>
      <x:c r="P1137" s="12"/>
      <x:c r="Q1137" s="12"/>
      <x:c r="R1137" s="12"/>
      <x:c r="S1137" s="12"/>
      <x:c r="T1137" s="12"/>
      <x:c r="U1137" s="12"/>
      <x:c r="V1137" s="12"/>
      <x:c r="W1137" s="12"/>
      <x:c r="X1137" s="12"/>
      <x:c r="Y1137" s="12"/>
      <x:c r="Z1137" s="12"/>
      <x:c r="AA1137" s="12"/>
    </x:row>
    <x:row r="1138">
      <x:c r="A1138" s="12"/>
      <x:c r="B1138" s="12"/>
      <x:c r="C1138" s="12"/>
      <x:c r="D1138" s="12"/>
      <x:c r="E1138" s="12"/>
      <x:c r="F1138" s="12"/>
      <x:c r="G1138" s="17"/>
      <x:c r="H1138" s="12"/>
      <x:c r="I1138" s="12"/>
      <x:c r="J1138" s="18"/>
      <x:c r="K1138" s="12"/>
      <x:c r="L1138" s="12"/>
      <x:c r="M1138" s="12"/>
      <x:c r="N1138" s="12"/>
      <x:c r="O1138" s="12"/>
      <x:c r="P1138" s="12"/>
      <x:c r="Q1138" s="12"/>
      <x:c r="R1138" s="12"/>
      <x:c r="S1138" s="12"/>
      <x:c r="T1138" s="12"/>
      <x:c r="U1138" s="12"/>
      <x:c r="V1138" s="12"/>
      <x:c r="W1138" s="12"/>
      <x:c r="X1138" s="12"/>
      <x:c r="Y1138" s="12"/>
      <x:c r="Z1138" s="12"/>
      <x:c r="AA1138" s="12"/>
    </x:row>
    <x:row r="1139">
      <x:c r="A1139" s="12"/>
      <x:c r="B1139" s="12"/>
      <x:c r="C1139" s="12"/>
      <x:c r="D1139" s="12"/>
      <x:c r="E1139" s="12"/>
      <x:c r="F1139" s="12"/>
      <x:c r="G1139" s="17"/>
      <x:c r="H1139" s="12"/>
      <x:c r="I1139" s="12"/>
      <x:c r="J1139" s="18"/>
      <x:c r="K1139" s="12"/>
      <x:c r="L1139" s="12"/>
      <x:c r="M1139" s="12"/>
      <x:c r="N1139" s="12"/>
      <x:c r="O1139" s="12"/>
      <x:c r="P1139" s="12"/>
      <x:c r="Q1139" s="12"/>
      <x:c r="R1139" s="12"/>
      <x:c r="S1139" s="12"/>
      <x:c r="T1139" s="12"/>
      <x:c r="U1139" s="12"/>
      <x:c r="V1139" s="12"/>
      <x:c r="W1139" s="12"/>
      <x:c r="X1139" s="12"/>
      <x:c r="Y1139" s="12"/>
      <x:c r="Z1139" s="12"/>
      <x:c r="AA1139" s="12"/>
    </x:row>
    <x:row r="1140">
      <x:c r="A1140" s="12"/>
      <x:c r="B1140" s="12"/>
      <x:c r="C1140" s="12"/>
      <x:c r="D1140" s="12"/>
      <x:c r="E1140" s="12"/>
      <x:c r="F1140" s="12"/>
      <x:c r="G1140" s="17"/>
      <x:c r="H1140" s="12"/>
      <x:c r="I1140" s="12"/>
      <x:c r="J1140" s="18"/>
      <x:c r="K1140" s="12"/>
      <x:c r="L1140" s="12"/>
      <x:c r="M1140" s="12"/>
      <x:c r="N1140" s="12"/>
      <x:c r="O1140" s="12"/>
      <x:c r="P1140" s="12"/>
      <x:c r="Q1140" s="12"/>
      <x:c r="R1140" s="12"/>
      <x:c r="S1140" s="12"/>
      <x:c r="T1140" s="12"/>
      <x:c r="U1140" s="12"/>
      <x:c r="V1140" s="12"/>
      <x:c r="W1140" s="12"/>
      <x:c r="X1140" s="12"/>
      <x:c r="Y1140" s="12"/>
      <x:c r="Z1140" s="12"/>
      <x:c r="AA1140" s="12"/>
    </x:row>
    <x:row r="1141">
      <x:c r="A1141" s="12"/>
      <x:c r="B1141" s="12"/>
      <x:c r="C1141" s="12"/>
      <x:c r="D1141" s="12"/>
      <x:c r="E1141" s="12"/>
      <x:c r="F1141" s="12"/>
      <x:c r="G1141" s="17"/>
      <x:c r="H1141" s="12"/>
      <x:c r="I1141" s="12"/>
      <x:c r="J1141" s="18"/>
      <x:c r="K1141" s="12"/>
      <x:c r="L1141" s="12"/>
      <x:c r="M1141" s="12"/>
      <x:c r="N1141" s="12"/>
      <x:c r="O1141" s="12"/>
      <x:c r="P1141" s="12"/>
      <x:c r="Q1141" s="12"/>
      <x:c r="R1141" s="12"/>
      <x:c r="S1141" s="12"/>
      <x:c r="T1141" s="12"/>
      <x:c r="U1141" s="12"/>
      <x:c r="V1141" s="12"/>
      <x:c r="W1141" s="12"/>
      <x:c r="X1141" s="12"/>
      <x:c r="Y1141" s="12"/>
      <x:c r="Z1141" s="12"/>
      <x:c r="AA1141" s="12"/>
    </x:row>
    <x:row r="1142">
      <x:c r="A1142" s="12"/>
      <x:c r="B1142" s="12"/>
      <x:c r="C1142" s="12"/>
      <x:c r="D1142" s="12"/>
      <x:c r="E1142" s="12"/>
      <x:c r="F1142" s="12"/>
      <x:c r="G1142" s="17"/>
      <x:c r="H1142" s="12"/>
      <x:c r="I1142" s="12"/>
      <x:c r="J1142" s="18"/>
      <x:c r="K1142" s="12"/>
      <x:c r="L1142" s="12"/>
      <x:c r="M1142" s="12"/>
      <x:c r="N1142" s="12"/>
      <x:c r="O1142" s="12"/>
      <x:c r="P1142" s="12"/>
      <x:c r="Q1142" s="12"/>
      <x:c r="R1142" s="12"/>
      <x:c r="S1142" s="12"/>
      <x:c r="T1142" s="12"/>
      <x:c r="U1142" s="12"/>
      <x:c r="V1142" s="12"/>
      <x:c r="W1142" s="12"/>
      <x:c r="X1142" s="12"/>
      <x:c r="Y1142" s="12"/>
      <x:c r="Z1142" s="12"/>
      <x:c r="AA1142" s="12"/>
    </x:row>
    <x:row r="1143">
      <x:c r="A1143" s="12"/>
      <x:c r="B1143" s="12"/>
      <x:c r="C1143" s="12"/>
      <x:c r="D1143" s="12"/>
      <x:c r="E1143" s="12"/>
      <x:c r="F1143" s="12"/>
      <x:c r="G1143" s="17"/>
      <x:c r="H1143" s="12"/>
      <x:c r="I1143" s="12"/>
      <x:c r="J1143" s="18"/>
      <x:c r="K1143" s="12"/>
      <x:c r="L1143" s="12"/>
      <x:c r="M1143" s="12"/>
      <x:c r="N1143" s="12"/>
      <x:c r="O1143" s="12"/>
      <x:c r="P1143" s="12"/>
      <x:c r="Q1143" s="12"/>
      <x:c r="R1143" s="12"/>
      <x:c r="S1143" s="12"/>
      <x:c r="T1143" s="12"/>
      <x:c r="U1143" s="12"/>
      <x:c r="V1143" s="12"/>
      <x:c r="W1143" s="12"/>
      <x:c r="X1143" s="12"/>
      <x:c r="Y1143" s="12"/>
      <x:c r="Z1143" s="12"/>
      <x:c r="AA1143" s="12"/>
    </x:row>
    <x:row r="1144">
      <x:c r="A1144" s="12"/>
      <x:c r="B1144" s="12"/>
      <x:c r="C1144" s="12"/>
      <x:c r="D1144" s="12"/>
      <x:c r="E1144" s="12"/>
      <x:c r="F1144" s="12"/>
      <x:c r="G1144" s="17"/>
      <x:c r="H1144" s="12"/>
      <x:c r="I1144" s="12"/>
      <x:c r="J1144" s="18"/>
      <x:c r="K1144" s="12"/>
      <x:c r="L1144" s="12"/>
      <x:c r="M1144" s="12"/>
      <x:c r="N1144" s="12"/>
      <x:c r="O1144" s="12"/>
      <x:c r="P1144" s="12"/>
      <x:c r="Q1144" s="12"/>
      <x:c r="R1144" s="12"/>
      <x:c r="S1144" s="12"/>
      <x:c r="T1144" s="12"/>
      <x:c r="U1144" s="12"/>
      <x:c r="V1144" s="12"/>
      <x:c r="W1144" s="12"/>
      <x:c r="X1144" s="12"/>
      <x:c r="Y1144" s="12"/>
      <x:c r="Z1144" s="12"/>
      <x:c r="AA1144" s="12"/>
    </x:row>
    <x:row r="1145">
      <x:c r="A1145" s="12"/>
      <x:c r="B1145" s="12"/>
      <x:c r="C1145" s="12"/>
      <x:c r="D1145" s="12"/>
      <x:c r="E1145" s="12"/>
      <x:c r="F1145" s="12"/>
      <x:c r="G1145" s="17"/>
      <x:c r="H1145" s="12"/>
      <x:c r="I1145" s="12"/>
      <x:c r="J1145" s="18"/>
      <x:c r="K1145" s="12"/>
      <x:c r="L1145" s="12"/>
      <x:c r="M1145" s="12"/>
      <x:c r="N1145" s="12"/>
      <x:c r="O1145" s="12"/>
      <x:c r="P1145" s="12"/>
      <x:c r="Q1145" s="12"/>
      <x:c r="R1145" s="12"/>
      <x:c r="S1145" s="12"/>
      <x:c r="T1145" s="12"/>
      <x:c r="U1145" s="12"/>
      <x:c r="V1145" s="12"/>
      <x:c r="W1145" s="12"/>
      <x:c r="X1145" s="12"/>
      <x:c r="Y1145" s="12"/>
      <x:c r="Z1145" s="12"/>
      <x:c r="AA1145" s="12"/>
    </x:row>
    <x:row r="1146">
      <x:c r="A1146" s="12"/>
      <x:c r="B1146" s="12"/>
      <x:c r="C1146" s="12"/>
      <x:c r="D1146" s="12"/>
      <x:c r="E1146" s="12"/>
      <x:c r="F1146" s="12"/>
      <x:c r="G1146" s="17"/>
      <x:c r="H1146" s="12"/>
      <x:c r="I1146" s="12"/>
      <x:c r="J1146" s="18"/>
      <x:c r="K1146" s="12"/>
      <x:c r="L1146" s="12"/>
      <x:c r="M1146" s="12"/>
      <x:c r="N1146" s="12"/>
      <x:c r="O1146" s="12"/>
      <x:c r="P1146" s="12"/>
      <x:c r="Q1146" s="12"/>
      <x:c r="R1146" s="12"/>
      <x:c r="S1146" s="12"/>
      <x:c r="T1146" s="12"/>
      <x:c r="U1146" s="12"/>
      <x:c r="V1146" s="12"/>
      <x:c r="W1146" s="12"/>
      <x:c r="X1146" s="12"/>
      <x:c r="Y1146" s="12"/>
      <x:c r="Z1146" s="12"/>
      <x:c r="AA1146" s="12"/>
    </x:row>
    <x:row r="1147">
      <x:c r="A1147" s="12"/>
      <x:c r="B1147" s="12"/>
      <x:c r="C1147" s="12"/>
      <x:c r="D1147" s="12"/>
      <x:c r="E1147" s="12"/>
      <x:c r="F1147" s="12"/>
      <x:c r="G1147" s="17"/>
      <x:c r="H1147" s="12"/>
      <x:c r="I1147" s="12"/>
      <x:c r="J1147" s="18"/>
      <x:c r="K1147" s="12"/>
      <x:c r="L1147" s="12"/>
      <x:c r="M1147" s="12"/>
      <x:c r="N1147" s="12"/>
      <x:c r="O1147" s="12"/>
      <x:c r="P1147" s="12"/>
      <x:c r="Q1147" s="12"/>
      <x:c r="R1147" s="12"/>
      <x:c r="S1147" s="12"/>
      <x:c r="T1147" s="12"/>
      <x:c r="U1147" s="12"/>
      <x:c r="V1147" s="12"/>
      <x:c r="W1147" s="12"/>
      <x:c r="X1147" s="12"/>
      <x:c r="Y1147" s="12"/>
      <x:c r="Z1147" s="12"/>
      <x:c r="AA1147" s="12"/>
    </x:row>
    <x:row r="1148">
      <x:c r="A1148" s="12"/>
      <x:c r="B1148" s="12"/>
      <x:c r="C1148" s="12"/>
      <x:c r="D1148" s="12"/>
      <x:c r="E1148" s="12"/>
      <x:c r="F1148" s="12"/>
      <x:c r="G1148" s="17"/>
      <x:c r="H1148" s="12"/>
      <x:c r="I1148" s="12"/>
      <x:c r="J1148" s="18"/>
      <x:c r="K1148" s="12"/>
      <x:c r="L1148" s="12"/>
      <x:c r="M1148" s="12"/>
      <x:c r="N1148" s="12"/>
      <x:c r="O1148" s="12"/>
      <x:c r="P1148" s="12"/>
      <x:c r="Q1148" s="12"/>
      <x:c r="R1148" s="12"/>
      <x:c r="S1148" s="12"/>
      <x:c r="T1148" s="12"/>
      <x:c r="U1148" s="12"/>
      <x:c r="V1148" s="12"/>
      <x:c r="W1148" s="12"/>
      <x:c r="X1148" s="12"/>
      <x:c r="Y1148" s="12"/>
      <x:c r="Z1148" s="12"/>
      <x:c r="AA1148" s="12"/>
    </x:row>
    <x:row r="1149">
      <x:c r="A1149" s="12"/>
      <x:c r="B1149" s="12"/>
      <x:c r="C1149" s="12"/>
      <x:c r="D1149" s="12"/>
      <x:c r="E1149" s="12"/>
      <x:c r="F1149" s="12"/>
      <x:c r="G1149" s="17"/>
      <x:c r="H1149" s="12"/>
      <x:c r="I1149" s="12"/>
      <x:c r="J1149" s="18"/>
      <x:c r="K1149" s="12"/>
      <x:c r="L1149" s="12"/>
      <x:c r="M1149" s="12"/>
      <x:c r="N1149" s="12"/>
      <x:c r="O1149" s="12"/>
      <x:c r="P1149" s="12"/>
      <x:c r="Q1149" s="12"/>
      <x:c r="R1149" s="12"/>
      <x:c r="S1149" s="12"/>
      <x:c r="T1149" s="12"/>
      <x:c r="U1149" s="12"/>
      <x:c r="V1149" s="12"/>
      <x:c r="W1149" s="12"/>
      <x:c r="X1149" s="12"/>
      <x:c r="Y1149" s="12"/>
      <x:c r="Z1149" s="12"/>
      <x:c r="AA1149" s="12"/>
    </x:row>
    <x:row r="1150">
      <x:c r="A1150" s="12"/>
      <x:c r="B1150" s="12"/>
      <x:c r="C1150" s="12"/>
      <x:c r="D1150" s="12"/>
      <x:c r="E1150" s="12"/>
      <x:c r="F1150" s="12"/>
      <x:c r="G1150" s="17"/>
      <x:c r="H1150" s="12"/>
      <x:c r="I1150" s="12"/>
      <x:c r="J1150" s="18"/>
      <x:c r="K1150" s="12"/>
      <x:c r="L1150" s="12"/>
      <x:c r="M1150" s="12"/>
      <x:c r="N1150" s="12"/>
      <x:c r="O1150" s="12"/>
      <x:c r="P1150" s="12"/>
      <x:c r="Q1150" s="12"/>
      <x:c r="R1150" s="12"/>
      <x:c r="S1150" s="12"/>
      <x:c r="T1150" s="12"/>
      <x:c r="U1150" s="12"/>
      <x:c r="V1150" s="12"/>
      <x:c r="W1150" s="12"/>
      <x:c r="X1150" s="12"/>
      <x:c r="Y1150" s="12"/>
      <x:c r="Z1150" s="12"/>
      <x:c r="AA1150" s="12"/>
    </x:row>
    <x:row r="1151">
      <x:c r="A1151" s="12"/>
      <x:c r="B1151" s="12"/>
      <x:c r="C1151" s="12"/>
      <x:c r="D1151" s="12"/>
      <x:c r="E1151" s="12"/>
      <x:c r="F1151" s="12"/>
      <x:c r="G1151" s="17"/>
      <x:c r="H1151" s="12"/>
      <x:c r="I1151" s="12"/>
      <x:c r="J1151" s="18"/>
      <x:c r="K1151" s="12"/>
      <x:c r="L1151" s="12"/>
      <x:c r="M1151" s="12"/>
      <x:c r="N1151" s="12"/>
      <x:c r="O1151" s="12"/>
      <x:c r="P1151" s="12"/>
      <x:c r="Q1151" s="12"/>
      <x:c r="R1151" s="12"/>
      <x:c r="S1151" s="12"/>
      <x:c r="T1151" s="12"/>
      <x:c r="U1151" s="12"/>
      <x:c r="V1151" s="12"/>
      <x:c r="W1151" s="12"/>
      <x:c r="X1151" s="12"/>
      <x:c r="Y1151" s="12"/>
      <x:c r="Z1151" s="12"/>
      <x:c r="AA1151" s="12"/>
    </x:row>
    <x:row r="1152">
      <x:c r="A1152" s="12"/>
      <x:c r="B1152" s="12"/>
      <x:c r="C1152" s="12"/>
      <x:c r="D1152" s="12"/>
      <x:c r="E1152" s="12"/>
      <x:c r="F1152" s="12"/>
      <x:c r="G1152" s="17"/>
      <x:c r="H1152" s="12"/>
      <x:c r="I1152" s="12"/>
      <x:c r="J1152" s="18"/>
      <x:c r="K1152" s="12"/>
      <x:c r="L1152" s="12"/>
      <x:c r="M1152" s="12"/>
      <x:c r="N1152" s="12"/>
      <x:c r="O1152" s="12"/>
      <x:c r="P1152" s="12"/>
      <x:c r="Q1152" s="12"/>
      <x:c r="R1152" s="12"/>
      <x:c r="S1152" s="12"/>
      <x:c r="T1152" s="12"/>
      <x:c r="U1152" s="12"/>
      <x:c r="V1152" s="12"/>
      <x:c r="W1152" s="12"/>
      <x:c r="X1152" s="12"/>
      <x:c r="Y1152" s="12"/>
      <x:c r="Z1152" s="12"/>
      <x:c r="AA1152" s="12"/>
    </x:row>
    <x:row r="1153">
      <x:c r="A1153" s="12"/>
      <x:c r="B1153" s="12"/>
      <x:c r="C1153" s="12"/>
      <x:c r="D1153" s="12"/>
      <x:c r="E1153" s="12"/>
      <x:c r="F1153" s="12"/>
      <x:c r="G1153" s="17"/>
      <x:c r="H1153" s="12"/>
      <x:c r="I1153" s="12"/>
      <x:c r="J1153" s="18"/>
      <x:c r="K1153" s="12"/>
      <x:c r="L1153" s="12"/>
      <x:c r="M1153" s="12"/>
      <x:c r="N1153" s="12"/>
      <x:c r="O1153" s="12"/>
      <x:c r="P1153" s="12"/>
      <x:c r="Q1153" s="12"/>
      <x:c r="R1153" s="12"/>
      <x:c r="S1153" s="12"/>
      <x:c r="T1153" s="12"/>
      <x:c r="U1153" s="12"/>
      <x:c r="V1153" s="12"/>
      <x:c r="W1153" s="12"/>
      <x:c r="X1153" s="12"/>
      <x:c r="Y1153" s="12"/>
      <x:c r="Z1153" s="12"/>
      <x:c r="AA1153" s="12"/>
    </x:row>
    <x:row r="1154">
      <x:c r="A1154" s="12"/>
      <x:c r="B1154" s="12"/>
      <x:c r="C1154" s="12"/>
      <x:c r="D1154" s="12"/>
      <x:c r="E1154" s="12"/>
      <x:c r="F1154" s="12"/>
      <x:c r="G1154" s="17"/>
      <x:c r="H1154" s="12"/>
      <x:c r="I1154" s="12"/>
      <x:c r="J1154" s="18"/>
      <x:c r="K1154" s="12"/>
      <x:c r="L1154" s="12"/>
      <x:c r="M1154" s="12"/>
      <x:c r="N1154" s="12"/>
      <x:c r="O1154" s="12"/>
      <x:c r="P1154" s="12"/>
      <x:c r="Q1154" s="12"/>
      <x:c r="R1154" s="12"/>
      <x:c r="S1154" s="12"/>
      <x:c r="T1154" s="12"/>
      <x:c r="U1154" s="12"/>
      <x:c r="V1154" s="12"/>
      <x:c r="W1154" s="12"/>
      <x:c r="X1154" s="12"/>
      <x:c r="Y1154" s="12"/>
      <x:c r="Z1154" s="12"/>
      <x:c r="AA1154" s="12"/>
    </x:row>
    <x:row r="1155">
      <x:c r="A1155" s="12"/>
      <x:c r="B1155" s="12"/>
      <x:c r="C1155" s="12"/>
      <x:c r="D1155" s="12"/>
      <x:c r="E1155" s="12"/>
      <x:c r="F1155" s="12"/>
      <x:c r="G1155" s="17"/>
      <x:c r="H1155" s="12"/>
      <x:c r="I1155" s="12"/>
      <x:c r="J1155" s="18"/>
      <x:c r="K1155" s="12"/>
      <x:c r="L1155" s="12"/>
      <x:c r="M1155" s="12"/>
      <x:c r="N1155" s="12"/>
      <x:c r="O1155" s="12"/>
      <x:c r="P1155" s="12"/>
      <x:c r="Q1155" s="12"/>
      <x:c r="R1155" s="12"/>
      <x:c r="S1155" s="12"/>
      <x:c r="T1155" s="12"/>
      <x:c r="U1155" s="12"/>
      <x:c r="V1155" s="12"/>
      <x:c r="W1155" s="12"/>
      <x:c r="X1155" s="12"/>
      <x:c r="Y1155" s="12"/>
      <x:c r="Z1155" s="12"/>
      <x:c r="AA1155" s="12"/>
    </x:row>
    <x:row r="1156">
      <x:c r="A1156" s="12"/>
      <x:c r="B1156" s="12"/>
      <x:c r="C1156" s="12"/>
      <x:c r="D1156" s="12"/>
      <x:c r="E1156" s="12"/>
      <x:c r="F1156" s="12"/>
      <x:c r="G1156" s="17"/>
      <x:c r="H1156" s="12"/>
      <x:c r="I1156" s="12"/>
      <x:c r="J1156" s="18"/>
      <x:c r="K1156" s="12"/>
      <x:c r="L1156" s="12"/>
      <x:c r="M1156" s="12"/>
      <x:c r="N1156" s="12"/>
      <x:c r="O1156" s="12"/>
      <x:c r="P1156" s="12"/>
      <x:c r="Q1156" s="12"/>
      <x:c r="R1156" s="12"/>
      <x:c r="S1156" s="12"/>
      <x:c r="T1156" s="12"/>
      <x:c r="U1156" s="12"/>
      <x:c r="V1156" s="12"/>
      <x:c r="W1156" s="12"/>
      <x:c r="X1156" s="12"/>
      <x:c r="Y1156" s="12"/>
      <x:c r="Z1156" s="12"/>
      <x:c r="AA1156" s="12"/>
    </x:row>
    <x:row r="1157">
      <x:c r="A1157" s="12"/>
      <x:c r="B1157" s="12"/>
      <x:c r="C1157" s="12"/>
      <x:c r="D1157" s="12"/>
      <x:c r="E1157" s="12"/>
      <x:c r="F1157" s="12"/>
      <x:c r="G1157" s="17"/>
      <x:c r="H1157" s="12"/>
      <x:c r="I1157" s="12"/>
      <x:c r="J1157" s="18"/>
      <x:c r="K1157" s="12"/>
      <x:c r="L1157" s="12"/>
      <x:c r="M1157" s="12"/>
      <x:c r="N1157" s="12"/>
      <x:c r="O1157" s="12"/>
      <x:c r="P1157" s="12"/>
      <x:c r="Q1157" s="12"/>
      <x:c r="R1157" s="12"/>
      <x:c r="S1157" s="12"/>
      <x:c r="T1157" s="12"/>
      <x:c r="U1157" s="12"/>
      <x:c r="V1157" s="12"/>
      <x:c r="W1157" s="12"/>
      <x:c r="X1157" s="12"/>
      <x:c r="Y1157" s="12"/>
      <x:c r="Z1157" s="12"/>
      <x:c r="AA1157" s="12"/>
    </x:row>
    <x:row r="1158">
      <x:c r="A1158" s="12"/>
      <x:c r="B1158" s="12"/>
      <x:c r="C1158" s="12"/>
      <x:c r="D1158" s="12"/>
      <x:c r="E1158" s="12"/>
      <x:c r="F1158" s="12"/>
      <x:c r="G1158" s="17"/>
      <x:c r="H1158" s="12"/>
      <x:c r="I1158" s="12"/>
      <x:c r="J1158" s="18"/>
      <x:c r="K1158" s="12"/>
      <x:c r="L1158" s="12"/>
      <x:c r="M1158" s="12"/>
      <x:c r="N1158" s="12"/>
      <x:c r="O1158" s="12"/>
      <x:c r="P1158" s="12"/>
      <x:c r="Q1158" s="12"/>
      <x:c r="R1158" s="12"/>
      <x:c r="S1158" s="12"/>
      <x:c r="T1158" s="12"/>
      <x:c r="U1158" s="12"/>
      <x:c r="V1158" s="12"/>
      <x:c r="W1158" s="12"/>
      <x:c r="X1158" s="12"/>
      <x:c r="Y1158" s="12"/>
      <x:c r="Z1158" s="12"/>
      <x:c r="AA1158" s="12"/>
    </x:row>
    <x:row r="1159">
      <x:c r="A1159" s="12"/>
      <x:c r="B1159" s="12"/>
      <x:c r="C1159" s="12"/>
      <x:c r="D1159" s="12"/>
      <x:c r="E1159" s="12"/>
      <x:c r="F1159" s="12"/>
      <x:c r="G1159" s="17"/>
      <x:c r="H1159" s="12"/>
      <x:c r="I1159" s="12"/>
      <x:c r="J1159" s="18"/>
      <x:c r="K1159" s="12"/>
      <x:c r="L1159" s="12"/>
      <x:c r="M1159" s="12"/>
      <x:c r="N1159" s="12"/>
      <x:c r="O1159" s="12"/>
      <x:c r="P1159" s="12"/>
      <x:c r="Q1159" s="12"/>
      <x:c r="R1159" s="12"/>
      <x:c r="S1159" s="12"/>
      <x:c r="T1159" s="12"/>
      <x:c r="U1159" s="12"/>
      <x:c r="V1159" s="12"/>
      <x:c r="W1159" s="12"/>
      <x:c r="X1159" s="12"/>
      <x:c r="Y1159" s="12"/>
      <x:c r="Z1159" s="12"/>
      <x:c r="AA1159" s="12"/>
    </x:row>
    <x:row r="1160">
      <x:c r="A1160" s="12"/>
      <x:c r="B1160" s="12"/>
      <x:c r="C1160" s="12"/>
      <x:c r="D1160" s="12"/>
      <x:c r="E1160" s="12"/>
      <x:c r="F1160" s="12"/>
      <x:c r="G1160" s="17"/>
      <x:c r="H1160" s="12"/>
      <x:c r="I1160" s="12"/>
      <x:c r="J1160" s="18"/>
      <x:c r="K1160" s="12"/>
      <x:c r="L1160" s="12"/>
      <x:c r="M1160" s="12"/>
      <x:c r="N1160" s="12"/>
      <x:c r="O1160" s="12"/>
      <x:c r="P1160" s="12"/>
      <x:c r="Q1160" s="12"/>
      <x:c r="R1160" s="12"/>
      <x:c r="S1160" s="12"/>
      <x:c r="T1160" s="12"/>
      <x:c r="U1160" s="12"/>
      <x:c r="V1160" s="12"/>
      <x:c r="W1160" s="12"/>
      <x:c r="X1160" s="12"/>
      <x:c r="Y1160" s="12"/>
      <x:c r="Z1160" s="12"/>
      <x:c r="AA1160" s="12"/>
    </x:row>
    <x:row r="1161">
      <x:c r="A1161" s="12"/>
      <x:c r="B1161" s="12"/>
      <x:c r="C1161" s="12"/>
      <x:c r="D1161" s="12"/>
      <x:c r="E1161" s="12"/>
      <x:c r="F1161" s="12"/>
      <x:c r="G1161" s="17"/>
      <x:c r="H1161" s="12"/>
      <x:c r="I1161" s="12"/>
      <x:c r="J1161" s="18"/>
      <x:c r="K1161" s="12"/>
      <x:c r="L1161" s="12"/>
      <x:c r="M1161" s="12"/>
      <x:c r="N1161" s="12"/>
      <x:c r="O1161" s="12"/>
      <x:c r="P1161" s="12"/>
      <x:c r="Q1161" s="12"/>
      <x:c r="R1161" s="12"/>
      <x:c r="S1161" s="12"/>
      <x:c r="T1161" s="12"/>
      <x:c r="U1161" s="12"/>
      <x:c r="V1161" s="12"/>
      <x:c r="W1161" s="12"/>
      <x:c r="X1161" s="12"/>
      <x:c r="Y1161" s="12"/>
      <x:c r="Z1161" s="12"/>
      <x:c r="AA1161" s="12"/>
    </x:row>
    <x:row r="1162">
      <x:c r="A1162" s="12"/>
      <x:c r="B1162" s="12"/>
      <x:c r="C1162" s="12"/>
      <x:c r="D1162" s="12"/>
      <x:c r="E1162" s="12"/>
      <x:c r="F1162" s="12"/>
      <x:c r="G1162" s="17"/>
      <x:c r="H1162" s="12"/>
      <x:c r="I1162" s="12"/>
      <x:c r="J1162" s="18"/>
      <x:c r="K1162" s="12"/>
      <x:c r="L1162" s="12"/>
      <x:c r="M1162" s="12"/>
      <x:c r="N1162" s="12"/>
      <x:c r="O1162" s="12"/>
      <x:c r="P1162" s="12"/>
      <x:c r="Q1162" s="12"/>
      <x:c r="R1162" s="12"/>
      <x:c r="S1162" s="12"/>
      <x:c r="T1162" s="12"/>
      <x:c r="U1162" s="12"/>
      <x:c r="V1162" s="12"/>
      <x:c r="W1162" s="12"/>
      <x:c r="X1162" s="12"/>
      <x:c r="Y1162" s="12"/>
      <x:c r="Z1162" s="12"/>
      <x:c r="AA1162" s="12"/>
    </x:row>
    <x:row r="1163">
      <x:c r="A1163" s="12"/>
      <x:c r="B1163" s="12"/>
      <x:c r="C1163" s="12"/>
      <x:c r="D1163" s="12"/>
      <x:c r="E1163" s="12"/>
      <x:c r="F1163" s="12"/>
      <x:c r="G1163" s="17"/>
      <x:c r="H1163" s="12"/>
      <x:c r="I1163" s="12"/>
      <x:c r="J1163" s="18"/>
      <x:c r="K1163" s="12"/>
      <x:c r="L1163" s="12"/>
      <x:c r="M1163" s="12"/>
      <x:c r="N1163" s="12"/>
      <x:c r="O1163" s="12"/>
      <x:c r="P1163" s="12"/>
      <x:c r="Q1163" s="12"/>
      <x:c r="R1163" s="12"/>
      <x:c r="S1163" s="12"/>
      <x:c r="T1163" s="12"/>
      <x:c r="U1163" s="12"/>
      <x:c r="V1163" s="12"/>
      <x:c r="W1163" s="12"/>
      <x:c r="X1163" s="12"/>
      <x:c r="Y1163" s="12"/>
      <x:c r="Z1163" s="12"/>
      <x:c r="AA1163" s="12"/>
    </x:row>
    <x:row r="1164">
      <x:c r="A1164" s="12"/>
      <x:c r="B1164" s="12"/>
      <x:c r="C1164" s="12"/>
      <x:c r="D1164" s="12"/>
      <x:c r="E1164" s="12"/>
      <x:c r="F1164" s="12"/>
      <x:c r="G1164" s="17"/>
      <x:c r="H1164" s="12"/>
      <x:c r="I1164" s="12"/>
      <x:c r="J1164" s="18"/>
      <x:c r="K1164" s="12"/>
      <x:c r="L1164" s="12"/>
      <x:c r="M1164" s="12"/>
      <x:c r="N1164" s="12"/>
      <x:c r="O1164" s="12"/>
      <x:c r="P1164" s="12"/>
      <x:c r="Q1164" s="12"/>
      <x:c r="R1164" s="12"/>
      <x:c r="S1164" s="12"/>
      <x:c r="T1164" s="12"/>
      <x:c r="U1164" s="12"/>
      <x:c r="V1164" s="12"/>
      <x:c r="W1164" s="12"/>
      <x:c r="X1164" s="12"/>
      <x:c r="Y1164" s="12"/>
      <x:c r="Z1164" s="12"/>
      <x:c r="AA1164" s="12"/>
    </x:row>
    <x:row r="1165">
      <x:c r="A1165" s="12"/>
      <x:c r="B1165" s="12"/>
      <x:c r="C1165" s="12"/>
      <x:c r="D1165" s="12"/>
      <x:c r="E1165" s="12"/>
      <x:c r="F1165" s="12"/>
      <x:c r="G1165" s="17"/>
      <x:c r="H1165" s="12"/>
      <x:c r="I1165" s="12"/>
      <x:c r="J1165" s="18"/>
      <x:c r="K1165" s="12"/>
      <x:c r="L1165" s="12"/>
      <x:c r="M1165" s="12"/>
      <x:c r="N1165" s="12"/>
      <x:c r="O1165" s="12"/>
      <x:c r="P1165" s="12"/>
      <x:c r="Q1165" s="12"/>
      <x:c r="R1165" s="12"/>
      <x:c r="S1165" s="12"/>
      <x:c r="T1165" s="12"/>
      <x:c r="U1165" s="12"/>
      <x:c r="V1165" s="12"/>
      <x:c r="W1165" s="12"/>
      <x:c r="X1165" s="12"/>
      <x:c r="Y1165" s="12"/>
      <x:c r="Z1165" s="12"/>
      <x:c r="AA1165" s="12"/>
    </x:row>
    <x:row r="1166">
      <x:c r="A1166" s="12"/>
      <x:c r="B1166" s="12"/>
      <x:c r="C1166" s="12"/>
      <x:c r="D1166" s="12"/>
      <x:c r="E1166" s="12"/>
      <x:c r="F1166" s="12"/>
      <x:c r="G1166" s="17"/>
      <x:c r="H1166" s="12"/>
      <x:c r="I1166" s="12"/>
      <x:c r="J1166" s="18"/>
      <x:c r="K1166" s="12"/>
      <x:c r="L1166" s="12"/>
      <x:c r="M1166" s="12"/>
      <x:c r="N1166" s="12"/>
      <x:c r="O1166" s="12"/>
      <x:c r="P1166" s="12"/>
      <x:c r="Q1166" s="12"/>
      <x:c r="R1166" s="12"/>
      <x:c r="S1166" s="12"/>
      <x:c r="T1166" s="12"/>
      <x:c r="U1166" s="12"/>
      <x:c r="V1166" s="12"/>
      <x:c r="W1166" s="12"/>
      <x:c r="X1166" s="12"/>
      <x:c r="Y1166" s="12"/>
      <x:c r="Z1166" s="12"/>
      <x:c r="AA1166" s="12"/>
    </x:row>
    <x:row r="1167">
      <x:c r="A1167" s="12"/>
      <x:c r="B1167" s="12"/>
      <x:c r="C1167" s="12"/>
      <x:c r="D1167" s="12"/>
      <x:c r="E1167" s="12"/>
      <x:c r="F1167" s="12"/>
      <x:c r="G1167" s="17"/>
      <x:c r="H1167" s="12"/>
      <x:c r="I1167" s="12"/>
      <x:c r="J1167" s="18"/>
      <x:c r="K1167" s="12"/>
      <x:c r="L1167" s="12"/>
      <x:c r="M1167" s="12"/>
      <x:c r="N1167" s="12"/>
      <x:c r="O1167" s="12"/>
      <x:c r="P1167" s="12"/>
      <x:c r="Q1167" s="12"/>
      <x:c r="R1167" s="12"/>
      <x:c r="S1167" s="12"/>
      <x:c r="T1167" s="12"/>
      <x:c r="U1167" s="12"/>
      <x:c r="V1167" s="12"/>
      <x:c r="W1167" s="12"/>
      <x:c r="X1167" s="12"/>
      <x:c r="Y1167" s="12"/>
      <x:c r="Z1167" s="12"/>
      <x:c r="AA1167" s="12"/>
    </x:row>
    <x:row r="1168">
      <x:c r="A1168" s="12"/>
      <x:c r="B1168" s="12"/>
      <x:c r="C1168" s="12"/>
      <x:c r="D1168" s="12"/>
      <x:c r="E1168" s="12"/>
      <x:c r="F1168" s="12"/>
      <x:c r="G1168" s="17"/>
      <x:c r="H1168" s="12"/>
      <x:c r="I1168" s="12"/>
      <x:c r="J1168" s="18"/>
      <x:c r="K1168" s="12"/>
      <x:c r="L1168" s="12"/>
      <x:c r="M1168" s="12"/>
      <x:c r="N1168" s="12"/>
      <x:c r="O1168" s="12"/>
      <x:c r="P1168" s="12"/>
      <x:c r="Q1168" s="12"/>
      <x:c r="R1168" s="12"/>
      <x:c r="S1168" s="12"/>
      <x:c r="T1168" s="12"/>
      <x:c r="U1168" s="12"/>
      <x:c r="V1168" s="12"/>
      <x:c r="W1168" s="12"/>
      <x:c r="X1168" s="12"/>
      <x:c r="Y1168" s="12"/>
      <x:c r="Z1168" s="12"/>
      <x:c r="AA1168" s="12"/>
    </x:row>
    <x:row r="1169">
      <x:c r="A1169" s="12"/>
      <x:c r="B1169" s="12"/>
      <x:c r="C1169" s="12"/>
      <x:c r="D1169" s="12"/>
      <x:c r="E1169" s="12"/>
      <x:c r="F1169" s="12"/>
      <x:c r="G1169" s="17"/>
      <x:c r="H1169" s="12"/>
      <x:c r="I1169" s="12"/>
      <x:c r="J1169" s="18"/>
      <x:c r="K1169" s="12"/>
      <x:c r="L1169" s="12"/>
      <x:c r="M1169" s="12"/>
      <x:c r="N1169" s="12"/>
      <x:c r="O1169" s="12"/>
      <x:c r="P1169" s="12"/>
      <x:c r="Q1169" s="12"/>
      <x:c r="R1169" s="12"/>
      <x:c r="S1169" s="12"/>
      <x:c r="T1169" s="12"/>
      <x:c r="U1169" s="12"/>
      <x:c r="V1169" s="12"/>
      <x:c r="W1169" s="12"/>
      <x:c r="X1169" s="12"/>
      <x:c r="Y1169" s="12"/>
      <x:c r="Z1169" s="12"/>
      <x:c r="AA1169" s="12"/>
    </x:row>
    <x:row r="1170">
      <x:c r="A1170" s="12"/>
      <x:c r="B1170" s="12"/>
      <x:c r="C1170" s="12"/>
      <x:c r="D1170" s="12"/>
      <x:c r="E1170" s="12"/>
      <x:c r="F1170" s="12"/>
      <x:c r="G1170" s="17"/>
      <x:c r="H1170" s="12"/>
      <x:c r="I1170" s="12"/>
      <x:c r="J1170" s="18"/>
      <x:c r="K1170" s="12"/>
      <x:c r="L1170" s="12"/>
      <x:c r="M1170" s="12"/>
      <x:c r="N1170" s="12"/>
      <x:c r="O1170" s="12"/>
      <x:c r="P1170" s="12"/>
      <x:c r="Q1170" s="12"/>
      <x:c r="R1170" s="12"/>
      <x:c r="S1170" s="12"/>
      <x:c r="T1170" s="12"/>
      <x:c r="U1170" s="12"/>
      <x:c r="V1170" s="12"/>
      <x:c r="W1170" s="12"/>
      <x:c r="X1170" s="12"/>
      <x:c r="Y1170" s="12"/>
      <x:c r="Z1170" s="12"/>
      <x:c r="AA1170" s="12"/>
    </x:row>
    <x:row r="1171">
      <x:c r="A1171" s="12"/>
      <x:c r="B1171" s="12"/>
      <x:c r="C1171" s="12"/>
      <x:c r="D1171" s="12"/>
      <x:c r="E1171" s="12"/>
      <x:c r="F1171" s="12"/>
      <x:c r="G1171" s="17"/>
      <x:c r="H1171" s="12"/>
      <x:c r="I1171" s="12"/>
      <x:c r="J1171" s="18"/>
      <x:c r="K1171" s="12"/>
      <x:c r="L1171" s="12"/>
      <x:c r="M1171" s="12"/>
      <x:c r="N1171" s="12"/>
      <x:c r="O1171" s="12"/>
      <x:c r="P1171" s="12"/>
      <x:c r="Q1171" s="12"/>
      <x:c r="R1171" s="12"/>
      <x:c r="S1171" s="12"/>
      <x:c r="T1171" s="12"/>
      <x:c r="U1171" s="12"/>
      <x:c r="V1171" s="12"/>
      <x:c r="W1171" s="12"/>
      <x:c r="X1171" s="12"/>
      <x:c r="Y1171" s="12"/>
      <x:c r="Z1171" s="12"/>
      <x:c r="AA1171" s="12"/>
    </x:row>
    <x:row r="1172">
      <x:c r="A1172" s="12"/>
      <x:c r="B1172" s="12"/>
      <x:c r="C1172" s="12"/>
      <x:c r="D1172" s="12"/>
      <x:c r="E1172" s="12"/>
      <x:c r="F1172" s="12"/>
      <x:c r="G1172" s="17"/>
      <x:c r="H1172" s="12"/>
      <x:c r="I1172" s="12"/>
      <x:c r="J1172" s="18"/>
      <x:c r="K1172" s="12"/>
      <x:c r="L1172" s="12"/>
      <x:c r="M1172" s="12"/>
      <x:c r="N1172" s="12"/>
      <x:c r="O1172" s="12"/>
      <x:c r="P1172" s="12"/>
      <x:c r="Q1172" s="12"/>
      <x:c r="R1172" s="12"/>
      <x:c r="S1172" s="12"/>
      <x:c r="T1172" s="12"/>
      <x:c r="U1172" s="12"/>
      <x:c r="V1172" s="12"/>
      <x:c r="W1172" s="12"/>
      <x:c r="X1172" s="12"/>
      <x:c r="Y1172" s="12"/>
      <x:c r="Z1172" s="12"/>
      <x:c r="AA1172" s="12"/>
    </x:row>
    <x:row r="1173">
      <x:c r="A1173" s="12"/>
      <x:c r="B1173" s="12"/>
      <x:c r="C1173" s="12"/>
      <x:c r="D1173" s="12"/>
      <x:c r="E1173" s="12"/>
      <x:c r="F1173" s="12"/>
      <x:c r="G1173" s="17"/>
      <x:c r="H1173" s="12"/>
      <x:c r="I1173" s="12"/>
      <x:c r="J1173" s="18"/>
      <x:c r="K1173" s="12"/>
      <x:c r="L1173" s="12"/>
      <x:c r="M1173" s="12"/>
      <x:c r="N1173" s="12"/>
      <x:c r="O1173" s="12"/>
      <x:c r="P1173" s="12"/>
      <x:c r="Q1173" s="12"/>
      <x:c r="R1173" s="12"/>
      <x:c r="S1173" s="12"/>
      <x:c r="T1173" s="12"/>
      <x:c r="U1173" s="12"/>
      <x:c r="V1173" s="12"/>
      <x:c r="W1173" s="12"/>
      <x:c r="X1173" s="12"/>
      <x:c r="Y1173" s="12"/>
      <x:c r="Z1173" s="12"/>
      <x:c r="AA1173" s="12"/>
    </x:row>
    <x:row r="1174">
      <x:c r="A1174" s="12"/>
      <x:c r="B1174" s="12"/>
      <x:c r="C1174" s="12"/>
      <x:c r="D1174" s="12"/>
      <x:c r="E1174" s="12"/>
      <x:c r="F1174" s="12"/>
      <x:c r="G1174" s="17"/>
      <x:c r="H1174" s="12"/>
      <x:c r="I1174" s="12"/>
      <x:c r="J1174" s="18"/>
      <x:c r="K1174" s="12"/>
      <x:c r="L1174" s="12"/>
      <x:c r="M1174" s="12"/>
      <x:c r="N1174" s="12"/>
      <x:c r="O1174" s="12"/>
      <x:c r="P1174" s="12"/>
      <x:c r="Q1174" s="12"/>
      <x:c r="R1174" s="12"/>
      <x:c r="S1174" s="12"/>
      <x:c r="T1174" s="12"/>
      <x:c r="U1174" s="12"/>
      <x:c r="V1174" s="12"/>
      <x:c r="W1174" s="12"/>
      <x:c r="X1174" s="12"/>
      <x:c r="Y1174" s="12"/>
      <x:c r="Z1174" s="12"/>
      <x:c r="AA1174" s="12"/>
    </x:row>
    <x:row r="1175">
      <x:c r="A1175" s="12"/>
      <x:c r="B1175" s="12"/>
      <x:c r="C1175" s="12"/>
      <x:c r="D1175" s="12"/>
      <x:c r="E1175" s="12"/>
      <x:c r="F1175" s="12"/>
      <x:c r="G1175" s="17"/>
      <x:c r="H1175" s="12"/>
      <x:c r="I1175" s="12"/>
      <x:c r="J1175" s="18"/>
      <x:c r="K1175" s="12"/>
      <x:c r="L1175" s="12"/>
      <x:c r="M1175" s="12"/>
      <x:c r="N1175" s="12"/>
      <x:c r="O1175" s="12"/>
      <x:c r="P1175" s="12"/>
      <x:c r="Q1175" s="12"/>
      <x:c r="R1175" s="12"/>
      <x:c r="S1175" s="12"/>
      <x:c r="T1175" s="12"/>
      <x:c r="U1175" s="12"/>
      <x:c r="V1175" s="12"/>
      <x:c r="W1175" s="12"/>
      <x:c r="X1175" s="12"/>
      <x:c r="Y1175" s="12"/>
      <x:c r="Z1175" s="12"/>
      <x:c r="AA1175" s="12"/>
    </x:row>
    <x:row r="1176">
      <x:c r="A1176" s="12"/>
      <x:c r="B1176" s="12"/>
      <x:c r="C1176" s="12"/>
      <x:c r="D1176" s="12"/>
      <x:c r="E1176" s="12"/>
      <x:c r="F1176" s="12"/>
      <x:c r="G1176" s="17"/>
      <x:c r="H1176" s="12"/>
      <x:c r="I1176" s="12"/>
      <x:c r="J1176" s="18"/>
      <x:c r="K1176" s="12"/>
      <x:c r="L1176" s="12"/>
      <x:c r="M1176" s="12"/>
      <x:c r="N1176" s="12"/>
      <x:c r="O1176" s="12"/>
      <x:c r="P1176" s="12"/>
      <x:c r="Q1176" s="12"/>
      <x:c r="R1176" s="12"/>
      <x:c r="S1176" s="12"/>
      <x:c r="T1176" s="12"/>
      <x:c r="U1176" s="12"/>
      <x:c r="V1176" s="12"/>
      <x:c r="W1176" s="12"/>
      <x:c r="X1176" s="12"/>
      <x:c r="Y1176" s="12"/>
      <x:c r="Z1176" s="12"/>
      <x:c r="AA1176" s="12"/>
    </x:row>
    <x:row r="1177">
      <x:c r="A1177" s="12"/>
      <x:c r="B1177" s="12"/>
      <x:c r="C1177" s="12"/>
      <x:c r="D1177" s="12"/>
      <x:c r="E1177" s="12"/>
      <x:c r="F1177" s="12"/>
      <x:c r="G1177" s="17"/>
      <x:c r="H1177" s="12"/>
      <x:c r="I1177" s="12"/>
      <x:c r="J1177" s="18"/>
      <x:c r="K1177" s="12"/>
      <x:c r="L1177" s="12"/>
      <x:c r="M1177" s="12"/>
      <x:c r="N1177" s="12"/>
      <x:c r="O1177" s="12"/>
      <x:c r="P1177" s="12"/>
      <x:c r="Q1177" s="12"/>
      <x:c r="R1177" s="12"/>
      <x:c r="S1177" s="12"/>
      <x:c r="T1177" s="12"/>
      <x:c r="U1177" s="12"/>
      <x:c r="V1177" s="12"/>
      <x:c r="W1177" s="12"/>
      <x:c r="X1177" s="12"/>
      <x:c r="Y1177" s="12"/>
      <x:c r="Z1177" s="12"/>
      <x:c r="AA1177" s="12"/>
    </x:row>
    <x:row r="1178">
      <x:c r="A1178" s="12"/>
      <x:c r="B1178" s="12"/>
      <x:c r="C1178" s="12"/>
      <x:c r="D1178" s="12"/>
      <x:c r="E1178" s="12"/>
      <x:c r="F1178" s="12"/>
      <x:c r="G1178" s="17"/>
      <x:c r="H1178" s="12"/>
      <x:c r="I1178" s="12"/>
      <x:c r="J1178" s="18"/>
      <x:c r="K1178" s="12"/>
      <x:c r="L1178" s="12"/>
      <x:c r="M1178" s="12"/>
      <x:c r="N1178" s="12"/>
      <x:c r="O1178" s="12"/>
      <x:c r="P1178" s="12"/>
      <x:c r="Q1178" s="12"/>
      <x:c r="R1178" s="12"/>
      <x:c r="S1178" s="12"/>
      <x:c r="T1178" s="12"/>
      <x:c r="U1178" s="12"/>
      <x:c r="V1178" s="12"/>
      <x:c r="W1178" s="12"/>
      <x:c r="X1178" s="12"/>
      <x:c r="Y1178" s="12"/>
      <x:c r="Z1178" s="12"/>
      <x:c r="AA1178" s="12"/>
    </x:row>
    <x:row r="1179">
      <x:c r="A1179" s="12"/>
      <x:c r="B1179" s="12"/>
      <x:c r="C1179" s="12"/>
      <x:c r="D1179" s="12"/>
      <x:c r="E1179" s="12"/>
      <x:c r="F1179" s="12"/>
      <x:c r="G1179" s="17"/>
      <x:c r="H1179" s="12"/>
      <x:c r="I1179" s="12"/>
      <x:c r="J1179" s="18"/>
      <x:c r="K1179" s="12"/>
      <x:c r="L1179" s="12"/>
      <x:c r="M1179" s="12"/>
      <x:c r="N1179" s="12"/>
      <x:c r="O1179" s="12"/>
      <x:c r="P1179" s="12"/>
      <x:c r="Q1179" s="12"/>
      <x:c r="R1179" s="12"/>
      <x:c r="S1179" s="12"/>
      <x:c r="T1179" s="12"/>
      <x:c r="U1179" s="12"/>
      <x:c r="V1179" s="12"/>
      <x:c r="W1179" s="12"/>
      <x:c r="X1179" s="12"/>
      <x:c r="Y1179" s="12"/>
      <x:c r="Z1179" s="12"/>
      <x:c r="AA1179" s="12"/>
    </x:row>
    <x:row r="1180">
      <x:c r="A1180" s="12"/>
      <x:c r="B1180" s="12"/>
      <x:c r="C1180" s="12"/>
      <x:c r="D1180" s="12"/>
      <x:c r="E1180" s="12"/>
      <x:c r="F1180" s="12"/>
      <x:c r="G1180" s="17"/>
      <x:c r="H1180" s="12"/>
      <x:c r="I1180" s="12"/>
      <x:c r="J1180" s="18"/>
      <x:c r="K1180" s="12"/>
      <x:c r="L1180" s="12"/>
      <x:c r="M1180" s="12"/>
      <x:c r="N1180" s="12"/>
      <x:c r="O1180" s="12"/>
      <x:c r="P1180" s="12"/>
      <x:c r="Q1180" s="12"/>
      <x:c r="R1180" s="12"/>
      <x:c r="S1180" s="12"/>
      <x:c r="T1180" s="12"/>
      <x:c r="U1180" s="12"/>
      <x:c r="V1180" s="12"/>
      <x:c r="W1180" s="12"/>
      <x:c r="X1180" s="12"/>
      <x:c r="Y1180" s="12"/>
      <x:c r="Z1180" s="12"/>
      <x:c r="AA1180" s="12"/>
    </x:row>
    <x:row r="1181">
      <x:c r="A1181" s="12"/>
      <x:c r="B1181" s="12"/>
      <x:c r="C1181" s="12"/>
      <x:c r="D1181" s="12"/>
      <x:c r="E1181" s="12"/>
      <x:c r="F1181" s="12"/>
      <x:c r="G1181" s="17"/>
      <x:c r="H1181" s="12"/>
      <x:c r="I1181" s="12"/>
      <x:c r="J1181" s="18"/>
      <x:c r="K1181" s="12"/>
      <x:c r="L1181" s="12"/>
      <x:c r="M1181" s="12"/>
      <x:c r="N1181" s="12"/>
      <x:c r="O1181" s="12"/>
      <x:c r="P1181" s="12"/>
      <x:c r="Q1181" s="12"/>
      <x:c r="R1181" s="12"/>
      <x:c r="S1181" s="12"/>
      <x:c r="T1181" s="12"/>
      <x:c r="U1181" s="12"/>
      <x:c r="V1181" s="12"/>
      <x:c r="W1181" s="12"/>
      <x:c r="X1181" s="12"/>
      <x:c r="Y1181" s="12"/>
      <x:c r="Z1181" s="12"/>
      <x:c r="AA1181" s="12"/>
    </x:row>
    <x:row r="1182">
      <x:c r="A1182" s="12"/>
      <x:c r="B1182" s="12"/>
      <x:c r="C1182" s="12"/>
      <x:c r="D1182" s="12"/>
      <x:c r="E1182" s="12"/>
      <x:c r="F1182" s="12"/>
      <x:c r="G1182" s="17"/>
      <x:c r="H1182" s="12"/>
      <x:c r="I1182" s="12"/>
      <x:c r="J1182" s="18"/>
      <x:c r="K1182" s="12"/>
      <x:c r="L1182" s="12"/>
      <x:c r="M1182" s="12"/>
      <x:c r="N1182" s="12"/>
      <x:c r="O1182" s="12"/>
      <x:c r="P1182" s="12"/>
      <x:c r="Q1182" s="12"/>
      <x:c r="R1182" s="12"/>
      <x:c r="S1182" s="12"/>
      <x:c r="T1182" s="12"/>
      <x:c r="U1182" s="12"/>
      <x:c r="V1182" s="12"/>
      <x:c r="W1182" s="12"/>
      <x:c r="X1182" s="12"/>
      <x:c r="Y1182" s="12"/>
      <x:c r="Z1182" s="12"/>
      <x:c r="AA1182" s="12"/>
    </x:row>
    <x:row r="1183">
      <x:c r="A1183" s="12"/>
      <x:c r="B1183" s="12"/>
      <x:c r="C1183" s="12"/>
      <x:c r="D1183" s="12"/>
      <x:c r="E1183" s="12"/>
      <x:c r="F1183" s="12"/>
      <x:c r="G1183" s="17"/>
      <x:c r="H1183" s="12"/>
      <x:c r="I1183" s="12"/>
      <x:c r="J1183" s="18"/>
      <x:c r="K1183" s="12"/>
      <x:c r="L1183" s="12"/>
      <x:c r="M1183" s="12"/>
      <x:c r="N1183" s="12"/>
      <x:c r="O1183" s="12"/>
      <x:c r="P1183" s="12"/>
      <x:c r="Q1183" s="12"/>
      <x:c r="R1183" s="12"/>
      <x:c r="S1183" s="12"/>
      <x:c r="T1183" s="12"/>
      <x:c r="U1183" s="12"/>
      <x:c r="V1183" s="12"/>
      <x:c r="W1183" s="12"/>
      <x:c r="X1183" s="12"/>
      <x:c r="Y1183" s="12"/>
      <x:c r="Z1183" s="12"/>
      <x:c r="AA1183" s="12"/>
    </x:row>
    <x:row r="1184">
      <x:c r="A1184" s="12"/>
      <x:c r="B1184" s="12"/>
      <x:c r="C1184" s="12"/>
      <x:c r="D1184" s="12"/>
      <x:c r="E1184" s="12"/>
      <x:c r="F1184" s="12"/>
      <x:c r="G1184" s="17"/>
      <x:c r="H1184" s="12"/>
      <x:c r="I1184" s="12"/>
      <x:c r="J1184" s="18"/>
      <x:c r="K1184" s="12"/>
      <x:c r="L1184" s="12"/>
      <x:c r="M1184" s="12"/>
      <x:c r="N1184" s="12"/>
      <x:c r="O1184" s="12"/>
      <x:c r="P1184" s="12"/>
      <x:c r="Q1184" s="12"/>
      <x:c r="R1184" s="12"/>
      <x:c r="S1184" s="12"/>
      <x:c r="T1184" s="12"/>
      <x:c r="U1184" s="12"/>
      <x:c r="V1184" s="12"/>
      <x:c r="W1184" s="12"/>
      <x:c r="X1184" s="12"/>
      <x:c r="Y1184" s="12"/>
      <x:c r="Z1184" s="12"/>
      <x:c r="AA1184" s="12"/>
    </x:row>
    <x:row r="1185">
      <x:c r="A1185" s="12"/>
      <x:c r="B1185" s="12"/>
      <x:c r="C1185" s="12"/>
      <x:c r="D1185" s="12"/>
      <x:c r="E1185" s="12"/>
      <x:c r="F1185" s="12"/>
      <x:c r="G1185" s="17"/>
      <x:c r="H1185" s="12"/>
      <x:c r="I1185" s="12"/>
      <x:c r="J1185" s="18"/>
      <x:c r="K1185" s="12"/>
      <x:c r="L1185" s="12"/>
      <x:c r="M1185" s="12"/>
      <x:c r="N1185" s="12"/>
      <x:c r="O1185" s="12"/>
      <x:c r="P1185" s="12"/>
      <x:c r="Q1185" s="12"/>
      <x:c r="R1185" s="12"/>
      <x:c r="S1185" s="12"/>
      <x:c r="T1185" s="12"/>
      <x:c r="U1185" s="12"/>
      <x:c r="V1185" s="12"/>
      <x:c r="W1185" s="12"/>
      <x:c r="X1185" s="12"/>
      <x:c r="Y1185" s="12"/>
      <x:c r="Z1185" s="12"/>
      <x:c r="AA1185" s="12"/>
    </x:row>
    <x:row r="1186">
      <x:c r="A1186" s="12"/>
      <x:c r="B1186" s="12"/>
      <x:c r="C1186" s="12"/>
      <x:c r="D1186" s="12"/>
      <x:c r="E1186" s="12"/>
      <x:c r="F1186" s="12"/>
      <x:c r="G1186" s="17"/>
      <x:c r="H1186" s="12"/>
      <x:c r="I1186" s="12"/>
      <x:c r="J1186" s="18"/>
      <x:c r="K1186" s="12"/>
      <x:c r="L1186" s="12"/>
      <x:c r="M1186" s="12"/>
      <x:c r="N1186" s="12"/>
      <x:c r="O1186" s="12"/>
      <x:c r="P1186" s="12"/>
      <x:c r="Q1186" s="12"/>
      <x:c r="R1186" s="12"/>
      <x:c r="S1186" s="12"/>
      <x:c r="T1186" s="12"/>
      <x:c r="U1186" s="12"/>
      <x:c r="V1186" s="12"/>
      <x:c r="W1186" s="12"/>
      <x:c r="X1186" s="12"/>
      <x:c r="Y1186" s="12"/>
      <x:c r="Z1186" s="12"/>
      <x:c r="AA1186" s="12"/>
    </x:row>
    <x:row r="1187">
      <x:c r="A1187" s="12"/>
      <x:c r="B1187" s="12"/>
      <x:c r="C1187" s="12"/>
      <x:c r="D1187" s="12"/>
      <x:c r="E1187" s="12"/>
      <x:c r="F1187" s="12"/>
      <x:c r="G1187" s="17"/>
      <x:c r="H1187" s="12"/>
      <x:c r="I1187" s="12"/>
      <x:c r="J1187" s="18"/>
      <x:c r="K1187" s="12"/>
      <x:c r="L1187" s="12"/>
      <x:c r="M1187" s="12"/>
      <x:c r="N1187" s="12"/>
      <x:c r="O1187" s="12"/>
      <x:c r="P1187" s="12"/>
      <x:c r="Q1187" s="12"/>
      <x:c r="R1187" s="12"/>
      <x:c r="S1187" s="12"/>
      <x:c r="T1187" s="12"/>
      <x:c r="U1187" s="12"/>
      <x:c r="V1187" s="12"/>
      <x:c r="W1187" s="12"/>
      <x:c r="X1187" s="12"/>
      <x:c r="Y1187" s="12"/>
      <x:c r="Z1187" s="12"/>
      <x:c r="AA1187" s="12"/>
    </x:row>
    <x:row r="1188">
      <x:c r="A1188" s="12"/>
      <x:c r="B1188" s="12"/>
      <x:c r="C1188" s="12"/>
      <x:c r="D1188" s="12"/>
      <x:c r="E1188" s="12"/>
      <x:c r="F1188" s="12"/>
      <x:c r="G1188" s="17"/>
      <x:c r="H1188" s="12"/>
      <x:c r="I1188" s="12"/>
      <x:c r="J1188" s="18"/>
      <x:c r="K1188" s="12"/>
      <x:c r="L1188" s="12"/>
      <x:c r="M1188" s="12"/>
      <x:c r="N1188" s="12"/>
      <x:c r="O1188" s="12"/>
      <x:c r="P1188" s="12"/>
      <x:c r="Q1188" s="12"/>
      <x:c r="R1188" s="12"/>
      <x:c r="S1188" s="12"/>
      <x:c r="T1188" s="12"/>
      <x:c r="U1188" s="12"/>
      <x:c r="V1188" s="12"/>
      <x:c r="W1188" s="12"/>
      <x:c r="X1188" s="12"/>
      <x:c r="Y1188" s="12"/>
      <x:c r="Z1188" s="12"/>
      <x:c r="AA1188" s="12"/>
    </x:row>
    <x:row r="1189">
      <x:c r="A1189" s="12"/>
      <x:c r="B1189" s="12"/>
      <x:c r="C1189" s="12"/>
      <x:c r="D1189" s="12"/>
      <x:c r="E1189" s="12"/>
      <x:c r="F1189" s="12"/>
      <x:c r="G1189" s="17"/>
      <x:c r="H1189" s="12"/>
      <x:c r="I1189" s="12"/>
      <x:c r="J1189" s="18"/>
      <x:c r="K1189" s="12"/>
      <x:c r="L1189" s="12"/>
      <x:c r="M1189" s="12"/>
      <x:c r="N1189" s="12"/>
      <x:c r="O1189" s="12"/>
      <x:c r="P1189" s="12"/>
      <x:c r="Q1189" s="12"/>
      <x:c r="R1189" s="12"/>
      <x:c r="S1189" s="12"/>
      <x:c r="T1189" s="12"/>
      <x:c r="U1189" s="12"/>
      <x:c r="V1189" s="12"/>
      <x:c r="W1189" s="12"/>
      <x:c r="X1189" s="12"/>
      <x:c r="Y1189" s="12"/>
      <x:c r="Z1189" s="12"/>
      <x:c r="AA1189" s="12"/>
    </x:row>
    <x:row r="1190">
      <x:c r="A1190" s="12"/>
      <x:c r="B1190" s="12"/>
      <x:c r="C1190" s="12"/>
      <x:c r="D1190" s="12"/>
      <x:c r="E1190" s="12"/>
      <x:c r="F1190" s="12"/>
      <x:c r="G1190" s="17"/>
      <x:c r="H1190" s="12"/>
      <x:c r="I1190" s="12"/>
      <x:c r="J1190" s="18"/>
      <x:c r="K1190" s="12"/>
      <x:c r="L1190" s="12"/>
      <x:c r="M1190" s="12"/>
      <x:c r="N1190" s="12"/>
      <x:c r="O1190" s="12"/>
      <x:c r="P1190" s="12"/>
      <x:c r="Q1190" s="12"/>
      <x:c r="R1190" s="12"/>
      <x:c r="S1190" s="12"/>
      <x:c r="T1190" s="12"/>
      <x:c r="U1190" s="12"/>
      <x:c r="V1190" s="12"/>
      <x:c r="W1190" s="12"/>
      <x:c r="X1190" s="12"/>
      <x:c r="Y1190" s="12"/>
      <x:c r="Z1190" s="12"/>
      <x:c r="AA1190" s="12"/>
    </x:row>
    <x:row r="1191">
      <x:c r="A1191" s="12"/>
      <x:c r="B1191" s="12"/>
      <x:c r="C1191" s="12"/>
      <x:c r="D1191" s="12"/>
      <x:c r="E1191" s="12"/>
      <x:c r="F1191" s="12"/>
      <x:c r="G1191" s="17"/>
      <x:c r="H1191" s="12"/>
      <x:c r="I1191" s="12"/>
      <x:c r="J1191" s="18"/>
      <x:c r="K1191" s="12"/>
      <x:c r="L1191" s="12"/>
      <x:c r="M1191" s="12"/>
      <x:c r="N1191" s="12"/>
      <x:c r="O1191" s="12"/>
      <x:c r="P1191" s="12"/>
      <x:c r="Q1191" s="12"/>
      <x:c r="R1191" s="12"/>
      <x:c r="S1191" s="12"/>
      <x:c r="T1191" s="12"/>
      <x:c r="U1191" s="12"/>
      <x:c r="V1191" s="12"/>
      <x:c r="W1191" s="12"/>
      <x:c r="X1191" s="12"/>
      <x:c r="Y1191" s="12"/>
      <x:c r="Z1191" s="12"/>
      <x:c r="AA1191" s="12"/>
    </x:row>
    <x:row r="1192">
      <x:c r="A1192" s="12"/>
      <x:c r="B1192" s="12"/>
      <x:c r="C1192" s="12"/>
      <x:c r="D1192" s="12"/>
      <x:c r="E1192" s="12"/>
      <x:c r="F1192" s="12"/>
      <x:c r="G1192" s="17"/>
      <x:c r="H1192" s="12"/>
      <x:c r="I1192" s="12"/>
      <x:c r="J1192" s="18"/>
      <x:c r="K1192" s="12"/>
      <x:c r="L1192" s="12"/>
      <x:c r="M1192" s="12"/>
      <x:c r="N1192" s="12"/>
      <x:c r="O1192" s="12"/>
      <x:c r="P1192" s="12"/>
      <x:c r="Q1192" s="12"/>
      <x:c r="R1192" s="12"/>
      <x:c r="S1192" s="12"/>
      <x:c r="T1192" s="12"/>
      <x:c r="U1192" s="12"/>
      <x:c r="V1192" s="12"/>
      <x:c r="W1192" s="12"/>
      <x:c r="X1192" s="12"/>
      <x:c r="Y1192" s="12"/>
      <x:c r="Z1192" s="12"/>
      <x:c r="AA1192" s="12"/>
    </x:row>
    <x:row r="1193">
      <x:c r="A1193" s="12"/>
      <x:c r="B1193" s="12"/>
      <x:c r="C1193" s="12"/>
      <x:c r="D1193" s="12"/>
      <x:c r="E1193" s="12"/>
      <x:c r="F1193" s="12"/>
      <x:c r="G1193" s="17"/>
      <x:c r="H1193" s="12"/>
      <x:c r="I1193" s="12"/>
      <x:c r="J1193" s="18"/>
      <x:c r="K1193" s="12"/>
      <x:c r="L1193" s="12"/>
      <x:c r="M1193" s="12"/>
      <x:c r="N1193" s="12"/>
      <x:c r="O1193" s="12"/>
      <x:c r="P1193" s="12"/>
      <x:c r="Q1193" s="12"/>
      <x:c r="R1193" s="12"/>
      <x:c r="S1193" s="12"/>
      <x:c r="T1193" s="12"/>
      <x:c r="U1193" s="12"/>
      <x:c r="V1193" s="12"/>
      <x:c r="W1193" s="12"/>
      <x:c r="X1193" s="12"/>
      <x:c r="Y1193" s="12"/>
      <x:c r="Z1193" s="12"/>
      <x:c r="AA1193" s="12"/>
    </x:row>
    <x:row r="1194">
      <x:c r="A1194" s="12"/>
      <x:c r="B1194" s="12"/>
      <x:c r="C1194" s="12"/>
      <x:c r="D1194" s="12"/>
      <x:c r="E1194" s="12"/>
      <x:c r="F1194" s="12"/>
      <x:c r="G1194" s="17"/>
      <x:c r="H1194" s="12"/>
      <x:c r="I1194" s="12"/>
      <x:c r="J1194" s="18"/>
      <x:c r="K1194" s="12"/>
      <x:c r="L1194" s="12"/>
      <x:c r="M1194" s="12"/>
      <x:c r="N1194" s="12"/>
      <x:c r="O1194" s="12"/>
      <x:c r="P1194" s="12"/>
      <x:c r="Q1194" s="12"/>
      <x:c r="R1194" s="12"/>
      <x:c r="S1194" s="12"/>
      <x:c r="T1194" s="12"/>
      <x:c r="U1194" s="12"/>
      <x:c r="V1194" s="12"/>
      <x:c r="W1194" s="12"/>
      <x:c r="X1194" s="12"/>
      <x:c r="Y1194" s="12"/>
      <x:c r="Z1194" s="12"/>
      <x:c r="AA1194" s="12"/>
    </x:row>
    <x:row r="1195">
      <x:c r="A1195" s="12"/>
      <x:c r="B1195" s="12"/>
      <x:c r="C1195" s="12"/>
      <x:c r="D1195" s="12"/>
      <x:c r="E1195" s="12"/>
      <x:c r="F1195" s="12"/>
      <x:c r="G1195" s="17"/>
      <x:c r="H1195" s="12"/>
      <x:c r="I1195" s="12"/>
      <x:c r="J1195" s="18"/>
      <x:c r="K1195" s="12"/>
      <x:c r="L1195" s="12"/>
      <x:c r="M1195" s="12"/>
      <x:c r="N1195" s="12"/>
      <x:c r="O1195" s="12"/>
      <x:c r="P1195" s="12"/>
      <x:c r="Q1195" s="12"/>
      <x:c r="R1195" s="12"/>
      <x:c r="S1195" s="12"/>
      <x:c r="T1195" s="12"/>
      <x:c r="U1195" s="12"/>
      <x:c r="V1195" s="12"/>
      <x:c r="W1195" s="12"/>
      <x:c r="X1195" s="12"/>
      <x:c r="Y1195" s="12"/>
      <x:c r="Z1195" s="12"/>
      <x:c r="AA1195" s="12"/>
    </x:row>
    <x:row r="1196">
      <x:c r="A1196" s="12"/>
      <x:c r="B1196" s="12"/>
      <x:c r="C1196" s="12"/>
      <x:c r="D1196" s="12"/>
      <x:c r="E1196" s="12"/>
      <x:c r="F1196" s="12"/>
      <x:c r="G1196" s="17"/>
      <x:c r="H1196" s="12"/>
      <x:c r="I1196" s="12"/>
      <x:c r="J1196" s="18"/>
      <x:c r="K1196" s="12"/>
      <x:c r="L1196" s="12"/>
      <x:c r="M1196" s="12"/>
      <x:c r="N1196" s="12"/>
      <x:c r="O1196" s="12"/>
      <x:c r="P1196" s="12"/>
      <x:c r="Q1196" s="12"/>
      <x:c r="R1196" s="12"/>
      <x:c r="S1196" s="12"/>
      <x:c r="T1196" s="12"/>
      <x:c r="U1196" s="12"/>
      <x:c r="V1196" s="12"/>
      <x:c r="W1196" s="12"/>
      <x:c r="X1196" s="12"/>
      <x:c r="Y1196" s="12"/>
      <x:c r="Z1196" s="12"/>
      <x:c r="AA1196" s="12"/>
    </x:row>
    <x:row r="1197">
      <x:c r="A1197" s="12"/>
      <x:c r="B1197" s="12"/>
      <x:c r="C1197" s="12"/>
      <x:c r="D1197" s="12"/>
      <x:c r="E1197" s="12"/>
      <x:c r="F1197" s="12"/>
      <x:c r="G1197" s="17"/>
      <x:c r="H1197" s="12"/>
      <x:c r="I1197" s="12"/>
      <x:c r="J1197" s="18"/>
      <x:c r="K1197" s="12"/>
      <x:c r="L1197" s="12"/>
      <x:c r="M1197" s="12"/>
      <x:c r="N1197" s="12"/>
      <x:c r="O1197" s="12"/>
      <x:c r="P1197" s="12"/>
      <x:c r="Q1197" s="12"/>
      <x:c r="R1197" s="12"/>
      <x:c r="S1197" s="12"/>
      <x:c r="T1197" s="12"/>
      <x:c r="U1197" s="12"/>
      <x:c r="V1197" s="12"/>
      <x:c r="W1197" s="12"/>
      <x:c r="X1197" s="12"/>
      <x:c r="Y1197" s="12"/>
      <x:c r="Z1197" s="12"/>
      <x:c r="AA1197" s="12"/>
    </x:row>
    <x:row r="1198">
      <x:c r="A1198" s="12"/>
      <x:c r="B1198" s="12"/>
      <x:c r="C1198" s="12"/>
      <x:c r="D1198" s="12"/>
      <x:c r="E1198" s="12"/>
      <x:c r="F1198" s="12"/>
      <x:c r="G1198" s="17"/>
      <x:c r="H1198" s="12"/>
      <x:c r="I1198" s="12"/>
      <x:c r="J1198" s="18"/>
      <x:c r="K1198" s="12"/>
      <x:c r="L1198" s="12"/>
      <x:c r="M1198" s="12"/>
      <x:c r="N1198" s="12"/>
      <x:c r="O1198" s="12"/>
      <x:c r="P1198" s="12"/>
      <x:c r="Q1198" s="12"/>
      <x:c r="R1198" s="12"/>
      <x:c r="S1198" s="12"/>
      <x:c r="T1198" s="12"/>
      <x:c r="U1198" s="12"/>
      <x:c r="V1198" s="12"/>
      <x:c r="W1198" s="12"/>
      <x:c r="X1198" s="12"/>
      <x:c r="Y1198" s="12"/>
      <x:c r="Z1198" s="12"/>
      <x:c r="AA1198" s="12"/>
    </x:row>
    <x:row r="1199">
      <x:c r="A1199" s="12"/>
      <x:c r="B1199" s="12"/>
      <x:c r="C1199" s="12"/>
      <x:c r="D1199" s="12"/>
      <x:c r="E1199" s="12"/>
      <x:c r="F1199" s="12"/>
      <x:c r="G1199" s="17"/>
      <x:c r="H1199" s="12"/>
      <x:c r="I1199" s="12"/>
      <x:c r="J1199" s="18"/>
      <x:c r="K1199" s="12"/>
      <x:c r="L1199" s="12"/>
      <x:c r="M1199" s="12"/>
      <x:c r="N1199" s="12"/>
      <x:c r="O1199" s="12"/>
      <x:c r="P1199" s="12"/>
      <x:c r="Q1199" s="12"/>
      <x:c r="R1199" s="12"/>
      <x:c r="S1199" s="12"/>
      <x:c r="T1199" s="12"/>
      <x:c r="U1199" s="12"/>
      <x:c r="V1199" s="12"/>
      <x:c r="W1199" s="12"/>
      <x:c r="X1199" s="12"/>
      <x:c r="Y1199" s="12"/>
      <x:c r="Z1199" s="12"/>
      <x:c r="AA1199" s="12"/>
    </x:row>
    <x:row r="1200">
      <x:c r="A1200" s="12"/>
      <x:c r="B1200" s="12"/>
      <x:c r="C1200" s="12"/>
      <x:c r="D1200" s="12"/>
      <x:c r="E1200" s="12"/>
      <x:c r="F1200" s="12"/>
      <x:c r="G1200" s="17"/>
      <x:c r="H1200" s="12"/>
      <x:c r="I1200" s="12"/>
      <x:c r="J1200" s="18"/>
      <x:c r="K1200" s="12"/>
      <x:c r="L1200" s="12"/>
      <x:c r="M1200" s="12"/>
      <x:c r="N1200" s="12"/>
      <x:c r="O1200" s="12"/>
      <x:c r="P1200" s="12"/>
      <x:c r="Q1200" s="12"/>
      <x:c r="R1200" s="12"/>
      <x:c r="S1200" s="12"/>
      <x:c r="T1200" s="12"/>
      <x:c r="U1200" s="12"/>
      <x:c r="V1200" s="12"/>
      <x:c r="W1200" s="12"/>
      <x:c r="X1200" s="12"/>
      <x:c r="Y1200" s="12"/>
      <x:c r="Z1200" s="12"/>
      <x:c r="AA1200" s="12"/>
    </x:row>
  </x:sheetData>
  <x:conditionalFormatting sqref="K2:K1200">
    <x:cfRule type="expression" dxfId="0" priority="1">
      <x:formula>K2="Above Norm"</x:formula>
    </x:cfRule>
    <x:cfRule type="expression" dxfId="1" priority="2">
      <x:formula>K2="Equal to Norm"</x:formula>
    </x:cfRule>
    <x:cfRule type="expression" dxfId="2" priority="3">
      <x:formula>K2="Below Norm"</x:formula>
    </x:cfRule>
  </x:conditionalFormatting>
  <x:dataValidations count="12">
    <x:dataValidation type="list" sqref="A2:A1200">
      <x:formula1>Athlete_Profile!$A$2:$A$200</x:formula1>
    </x:dataValidation>
    <x:dataValidation type="list" sqref="D2:D1200">
      <x:formula1>Dropdown_Lists!$H$2:$H$7</x:formula1>
    </x:dataValidation>
    <x:dataValidation type="list" sqref="S2:S1200">
      <x:formula1>Dropdown_Lists!$I$2:$I$4</x:formula1>
    </x:dataValidation>
    <x:dataValidation type="list" sqref="T2:T1200">
      <x:formula1>'Recommendation Matrix'!$F$2:$F$19</x:formula1>
    </x:dataValidation>
    <x:dataValidation type="list" sqref="U2:U1200">
      <x:formula1>'Recommendation Matrix'!$H$2:$H$19</x:formula1>
    </x:dataValidation>
    <x:dataValidation type="list" sqref="V2:V1200">
      <x:formula1>'Recommendation Matrix'!$I$2:$I$19</x:formula1>
    </x:dataValidation>
    <x:dataValidation type="list" sqref="A2:A301">
      <x:formula1>Athlete_Profile!$A$2:$A$51</x:formula1>
    </x:dataValidation>
    <x:dataValidation type="list" sqref="D2:D301">
      <x:formula1>Dropdown_Lists!$H$2:$H$7</x:formula1>
    </x:dataValidation>
    <x:dataValidation type="list" sqref="S2:S301">
      <x:formula1>Dropdown_Lists!$I$2:$I$4</x:formula1>
    </x:dataValidation>
    <x:dataValidation type="list" sqref="T2:T301">
      <x:formula1>'Recommendation Matrix'!$F$2:$F$19</x:formula1>
    </x:dataValidation>
    <x:dataValidation type="list" sqref="U2:U301">
      <x:formula1>'Recommendation Matrix'!$H$2:$H$19</x:formula1>
    </x:dataValidation>
    <x:dataValidation type="list" sqref="V2:V301">
      <x:formula1>'Recommendation Matrix'!$I$2:$I$19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40" hidden="0" customWidth="1"/>
    <x:col min="4" max="4" width="60" hidden="0" customWidth="1"/>
    <x:col min="5" max="5" width="31" hidden="0" customWidth="1"/>
    <x:col min="6" max="6" width="31" hidden="0" customWidth="1"/>
    <x:col min="7" max="7" width="44" hidden="0" customWidth="1"/>
    <x:col min="8" max="8" width="40" hidden="0" customWidth="1"/>
  </x:cols>
  <x:sheetData>
    <x:row r="1">
      <x:c r="A1" s="19" t="str">
        <x:v>Lookup Key</x:v>
      </x:c>
      <x:c r="B1" s="19" t="str">
        <x:v>Primary Area of Focus</x:v>
      </x:c>
      <x:c r="C1" s="19" t="str">
        <x:v>Secondary Areas of Focus</x:v>
      </x:c>
      <x:c r="D1" s="19" t="str">
        <x:v>Coach Recommendation</x:v>
      </x:c>
      <x:c r="E1" s="19" t="str">
        <x:v>Primary RVX App Program</x:v>
      </x:c>
      <x:c r="F1" s="19" t="str">
        <x:v>Secondary RVX App Program</x:v>
      </x:c>
      <x:c r="G1" s="19" t="str">
        <x:v>Coaching Cue</x:v>
      </x:c>
      <x:c r="H1" s="19" t="str">
        <x:v>Retest Guidance</x:v>
      </x:c>
    </x:row>
    <x:row r="2">
      <x:c r="A2" s="12" t="str">
        <x:v>sprint_5m|Above Norm</x:v>
      </x:c>
      <x:c r="B2" s="12" t="str">
        <x:v>Maintain first-step explosiveness</x:v>
      </x:c>
      <x:c r="C2" s="12" t="str">
        <x:v>Start consistency; projection angle; horizontal force; reaction quality</x:v>
      </x:c>
      <x:c r="D2" s="12" t="str">
        <x:v>Maintain speed with low-volume, high-quality acceleration exposures. Avoid unnecessary volume that could reduce sprint quality. Progress through resisted and reactive starts while preserving mechanics.</x:v>
      </x:c>
      <x:c r="E2" s="12" t="str">
        <x:v>RVX Advanced Acceleration</x:v>
      </x:c>
      <x:c r="F2" s="12" t="str">
        <x:v>RVX Explosive Starts Microdose</x:v>
      </x:c>
      <x:c r="G2" s="12" t="str">
        <x:v>Project forward, push the ground back, and win the first three steps.</x:v>
      </x:c>
      <x:c r="H2" s="12" t="str">
        <x:v>Retest every 6–8 weeks or after a dedicated acceleration block.</x:v>
      </x:c>
    </x:row>
    <x:row r="3">
      <x:c r="A3" s="12" t="str">
        <x:v>sprint_5m|Equal to Norm</x:v>
      </x:c>
      <x:c r="B3" s="12" t="str">
        <x:v>Improve acceleration efficiency</x:v>
      </x:c>
      <x:c r="C3" s="12" t="str">
        <x:v>Starting posture; shin angle; first-step direction; arm action</x:v>
      </x:c>
      <x:c r="D3" s="12" t="str">
        <x:v>Use a focused acceleration-development block emphasizing starting position, projection and force application. Keep repetitions short with full recovery.</x:v>
      </x:c>
      <x:c r="E3" s="12" t="str">
        <x:v>RVX Acceleration Foundations</x:v>
      </x:c>
      <x:c r="F3" s="12" t="str">
        <x:v>RVX Sprint Mechanics</x:v>
      </x:c>
      <x:c r="G3" s="12" t="str">
        <x:v>Push out, not up. Keep the first steps powerful and connected.</x:v>
      </x:c>
      <x:c r="H3" s="12" t="str">
        <x:v>Retest after 4–6 weeks of focused acceleration work.</x:v>
      </x:c>
    </x:row>
    <x:row r="4">
      <x:c r="A4" s="12" t="str">
        <x:v>sprint_5m|Below Norm</x:v>
      </x:c>
      <x:c r="B4" s="12" t="str">
        <x:v>Develop first-step acceleration</x:v>
      </x:c>
      <x:c r="C4" s="12" t="str">
        <x:v>Relative strength; horizontal force; start mechanics; stiffness; coordination</x:v>
      </x:c>
      <x:c r="D4" s="12" t="str">
        <x:v>Prioritize acceleration fundamentals and lower-body force capacity. Use resisted marches, wall drills, short sled accelerations and controlled 5 m sprint exposures.</x:v>
      </x:c>
      <x:c r="E4" s="12" t="str">
        <x:v>RVX Acceleration Foundations</x:v>
      </x:c>
      <x:c r="F4" s="12" t="str">
        <x:v>RVX Lower-Body Strength Foundations</x:v>
      </x:c>
      <x:c r="G4" s="12" t="str">
        <x:v>Create a strong angle, drive through the ground, and accelerate with intent.</x:v>
      </x:c>
      <x:c r="H4" s="12" t="str">
        <x:v>Retest after 4 weeks; review technique video before increasing sprint volume.</x:v>
      </x:c>
    </x:row>
    <x:row r="5">
      <x:c r="A5" s="12" t="str">
        <x:v>sprint_10m|Above Norm</x:v>
      </x:c>
      <x:c r="B5" s="12" t="str">
        <x:v>Maintain acceleration through 10 m</x:v>
      </x:c>
      <x:c r="C5" s="12" t="str">
        <x:v>Transition mechanics; stride rhythm; stiffness; repeatability</x:v>
      </x:c>
      <x:c r="D5" s="12" t="str">
        <x:v>Maintain one to two weekly high-quality acceleration exposures. Add varied starts and light resistance while monitoring consistency across trials.</x:v>
      </x:c>
      <x:c r="E5" s="12" t="str">
        <x:v>RVX Advanced Acceleration</x:v>
      </x:c>
      <x:c r="F5" s="12" t="str">
        <x:v>RVX Speed Maintenance Microdose</x:v>
      </x:c>
      <x:c r="G5" s="12" t="str">
        <x:v>Stay patient through acceleration and keep pushing behind the body.</x:v>
      </x:c>
      <x:c r="H5" s="12" t="str">
        <x:v>Retest every 6–8 weeks or after a speed block.</x:v>
      </x:c>
    </x:row>
    <x:row r="6">
      <x:c r="A6" s="12" t="str">
        <x:v>sprint_10m|Equal to Norm</x:v>
      </x:c>
      <x:c r="B6" s="12" t="str">
        <x:v>Improve acceleration continuation</x:v>
      </x:c>
      <x:c r="C6" s="12" t="str">
        <x:v>Projection; force orientation; step rhythm; trunk control</x:v>
      </x:c>
      <x:c r="D6" s="12" t="str">
        <x:v>Build acceleration from 0–10 m using split starts, falling starts and progressive resisted sprints. Emphasize full recovery and technical consistency.</x:v>
      </x:c>
      <x:c r="E6" s="12" t="str">
        <x:v>RVX Acceleration Development</x:v>
      </x:c>
      <x:c r="F6" s="12" t="str">
        <x:v>RVX Sprint Mechanics</x:v>
      </x:c>
      <x:c r="G6" s="12" t="str">
        <x:v>Keep building speed through the line; do not stand up too early.</x:v>
      </x:c>
      <x:c r="H6" s="12" t="str">
        <x:v>Retest after 4–6 weeks.</x:v>
      </x:c>
    </x:row>
    <x:row r="7">
      <x:c r="A7" s="12" t="str">
        <x:v>sprint_10m|Below Norm</x:v>
      </x:c>
      <x:c r="B7" s="12" t="str">
        <x:v>Develop 0–10 m speed</x:v>
      </x:c>
      <x:c r="C7" s="12" t="str">
        <x:v>Relative strength; first-step mechanics; force application; acceleration endurance</x:v>
      </x:c>
      <x:c r="D7" s="12" t="str">
        <x:v>Use a foundational acceleration block paired with strength development. Limit sprint distances initially and improve the quality of each step before adding volume.</x:v>
      </x:c>
      <x:c r="E7" s="12" t="str">
        <x:v>RVX Acceleration Foundations</x:v>
      </x:c>
      <x:c r="F7" s="12" t="str">
        <x:v>RVX Relative Strength Builder</x:v>
      </x:c>
      <x:c r="G7" s="12" t="str">
        <x:v>Push longer, maintain posture and create force in the correct direction.</x:v>
      </x:c>
      <x:c r="H7" s="12" t="str">
        <x:v>Retest in 4 weeks and compare 5 m versus 10 m split changes.</x:v>
      </x:c>
    </x:row>
    <x:row r="8">
      <x:c r="A8" s="12" t="str">
        <x:v>pro_agility|Above Norm</x:v>
      </x:c>
      <x:c r="B8" s="12" t="str">
        <x:v>Maintain change-of-direction performance</x:v>
      </x:c>
      <x:c r="C8" s="12" t="str">
        <x:v>Reactive decision-making; braking tolerance; bilateral symmetry; movement variability</x:v>
      </x:c>
      <x:c r="D8" s="12" t="str">
        <x:v>Maintain planned change-of-direction work and progress toward reactive agility. Use low-volume, high-quality exposures with multiple starting and turning strategies.</x:v>
      </x:c>
      <x:c r="E8" s="12" t="str">
        <x:v>RVX Advanced Change of Direction</x:v>
      </x:c>
      <x:c r="F8" s="12" t="str">
        <x:v>RVX Reactive Agility</x:v>
      </x:c>
      <x:c r="G8" s="12" t="str">
        <x:v>Brake under control, own the plant and accelerate out immediately.</x:v>
      </x:c>
      <x:c r="H8" s="12" t="str">
        <x:v>Retest every 6–8 weeks with left and right trial review.</x:v>
      </x:c>
    </x:row>
    <x:row r="9">
      <x:c r="A9" s="12" t="str">
        <x:v>pro_agility|Equal to Norm</x:v>
      </x:c>
      <x:c r="B9" s="12" t="str">
        <x:v>Improve braking and re-acceleration</x:v>
      </x:c>
      <x:c r="C9" s="12" t="str">
        <x:v>Deceleration mechanics; foot placement; hip position; crossover efficiency</x:v>
      </x:c>
      <x:c r="D9" s="12" t="str">
        <x:v>Use a structured change-of-direction block emphasizing braking positions, plant-foot control and efficient re-acceleration on both sides.</x:v>
      </x:c>
      <x:c r="E9" s="12" t="str">
        <x:v>RVX Change of Direction Development</x:v>
      </x:c>
      <x:c r="F9" s="12" t="str">
        <x:v>RVX Deceleration Mechanics</x:v>
      </x:c>
      <x:c r="G9" s="12" t="str">
        <x:v>Lower the centre of mass before the turn and push away from the plant.</x:v>
      </x:c>
      <x:c r="H9" s="12" t="str">
        <x:v>Retest after 4–6 weeks and review directional splits if available.</x:v>
      </x:c>
    </x:row>
    <x:row r="10">
      <x:c r="A10" s="12" t="str">
        <x:v>pro_agility|Below Norm</x:v>
      </x:c>
      <x:c r="B10" s="12" t="str">
        <x:v>Build foundational change-of-direction skill</x:v>
      </x:c>
      <x:c r="C10" s="12" t="str">
        <x:v>Eccentric strength; braking confidence; plant mechanics; lateral force; coordination</x:v>
      </x:c>
      <x:c r="D10" s="12" t="str">
        <x:v>Begin with controlled deceleration and planned directional drills. Pair with unilateral strength and lateral force development before increasing reactive complexity.</x:v>
      </x:c>
      <x:c r="E10" s="12" t="str">
        <x:v>RVX Change of Direction Foundations</x:v>
      </x:c>
      <x:c r="F10" s="12" t="str">
        <x:v>RVX Unilateral Strength Foundations</x:v>
      </x:c>
      <x:c r="G10" s="12" t="str">
        <x:v>Arrive under control, plant outside the body and re-accelerate with purpose.</x:v>
      </x:c>
      <x:c r="H10" s="12" t="str">
        <x:v>Retest after 4 weeks; assess both turning directions separately.</x:v>
      </x:c>
    </x:row>
    <x:row r="11">
      <x:c r="A11" s="12" t="str">
        <x:v>cmj_depth|Above Norm</x:v>
      </x:c>
      <x:c r="B11" s="12" t="str">
        <x:v>Maintain effective countermovement strategy</x:v>
      </x:c>
      <x:c r="C11" s="12" t="str">
        <x:v>Movement efficiency; eccentric control; jump consistency; depth-to-output relationship</x:v>
      </x:c>
      <x:c r="D11" s="12" t="str">
        <x:v>Maintain the athlete’s preferred countermovement strategy while ensuring the additional depth contributes to force and impulse rather than excessive movement time.</x:v>
      </x:c>
      <x:c r="E11" s="12" t="str">
        <x:v>RVX Jump Performance Advanced</x:v>
      </x:c>
      <x:c r="F11" s="12" t="str">
        <x:v>RVX Eccentric Strength Microdose</x:v>
      </x:c>
      <x:c r="G11" s="12" t="str">
        <x:v>Use the depth you can control, then reverse quickly and aggressively.</x:v>
      </x:c>
      <x:c r="H11" s="12" t="str">
        <x:v>Retest every 6–8 weeks while monitoring jump height and contraction time.</x:v>
      </x:c>
    </x:row>
    <x:row r="12">
      <x:c r="A12" s="12" t="str">
        <x:v>cmj_depth|Equal to Norm</x:v>
      </x:c>
      <x:c r="B12" s="12" t="str">
        <x:v>Optimize countermovement strategy</x:v>
      </x:c>
      <x:c r="C12" s="12" t="str">
        <x:v>Eccentric control; trunk position; reversal timing; mobility</x:v>
      </x:c>
      <x:c r="D12" s="12" t="str">
        <x:v>Use controlled countermovement drills and landing-to-jump progressions. Determine whether additional or reduced depth improves the athlete’s overall jump output.</x:v>
      </x:c>
      <x:c r="E12" s="12" t="str">
        <x:v>RVX Jump Mechanics</x:v>
      </x:c>
      <x:c r="F12" s="12" t="str">
        <x:v>RVX Eccentric Control</x:v>
      </x:c>
      <x:c r="G12" s="12" t="str">
        <x:v>Sit into the movement under control and reverse without losing posture.</x:v>
      </x:c>
      <x:c r="H12" s="12" t="str">
        <x:v>Retest after 4–6 weeks with jump height and impulse reviewed together.</x:v>
      </x:c>
    </x:row>
    <x:row r="13">
      <x:c r="A13" s="12" t="str">
        <x:v>cmj_depth|Below Norm</x:v>
      </x:c>
      <x:c r="B13" s="12" t="str">
        <x:v>Develop usable countermovement range</x:v>
      </x:c>
      <x:c r="C13" s="12" t="str">
        <x:v>Ankle mobility; hip mobility; eccentric strength; confidence; coordination</x:v>
      </x:c>
      <x:c r="D13" s="12" t="str">
        <x:v>Improve controlled eccentric range and movement confidence. Use tempo squats, snap-downs and progressive countermovement jump practice without forcing artificial depth.</x:v>
      </x:c>
      <x:c r="E13" s="12" t="str">
        <x:v>RVX Jump Foundations</x:v>
      </x:c>
      <x:c r="F13" s="12" t="str">
        <x:v>RVX Mobility and Eccentric Control</x:v>
      </x:c>
      <x:c r="G13" s="12" t="str">
        <x:v>Create controlled depth first; speed up the reversal only when position is stable.</x:v>
      </x:c>
      <x:c r="H13" s="12" t="str">
        <x:v>Retest after 4 weeks; confirm low depth is not an athlete-specific efficient strategy.</x:v>
      </x:c>
    </x:row>
    <x:row r="14">
      <x:c r="A14" s="12" t="str">
        <x:v>peak_force|Above Norm</x:v>
      </x:c>
      <x:c r="B14" s="12" t="str">
        <x:v>Maintain maximal force qualities</x:v>
      </x:c>
      <x:c r="C14" s="12" t="str">
        <x:v>Force application speed; asymmetry; fatigue management; sport transfer</x:v>
      </x:c>
      <x:c r="D14" s="12" t="str">
        <x:v>Maintain maximal force with low-volume strength exposure while shifting selected work toward power and sport-specific application. Monitor asymmetry and fatigue.</x:v>
      </x:c>
      <x:c r="E14" s="12" t="str">
        <x:v>RVX Advanced Strength-Power</x:v>
      </x:c>
      <x:c r="F14" s="12" t="str">
        <x:v>RVX Force Maintenance Microdose</x:v>
      </x:c>
      <x:c r="G14" s="12" t="str">
        <x:v>Produce high force without losing position or movement speed.</x:v>
      </x:c>
      <x:c r="H14" s="12" t="str">
        <x:v>Retest every 6–8 weeks or following a strength-power phase.</x:v>
      </x:c>
    </x:row>
    <x:row r="15">
      <x:c r="A15" s="12" t="str">
        <x:v>peak_force|Equal to Norm</x:v>
      </x:c>
      <x:c r="B15" s="12" t="str">
        <x:v>Increase force capacity</x:v>
      </x:c>
      <x:c r="C15" s="12" t="str">
        <x:v>Relative strength; bracing; lower-body strength; isometric force</x:v>
      </x:c>
      <x:c r="D15" s="12" t="str">
        <x:v>Use progressive lower-body strength training with compound lifts, isometrics and unilateral work. Maintain technical quality and appropriate loading progression.</x:v>
      </x:c>
      <x:c r="E15" s="12" t="str">
        <x:v>RVX Strength Development</x:v>
      </x:c>
      <x:c r="F15" s="12" t="str">
        <x:v>RVX Isometric Force Builder</x:v>
      </x:c>
      <x:c r="G15" s="12" t="str">
        <x:v>Create full-body tension and push through the floor with intent.</x:v>
      </x:c>
      <x:c r="H15" s="12" t="str">
        <x:v>Retest after 4–6 weeks.</x:v>
      </x:c>
    </x:row>
    <x:row r="16">
      <x:c r="A16" s="12" t="str">
        <x:v>peak_force|Below Norm</x:v>
      </x:c>
      <x:c r="B16" s="12" t="str">
        <x:v>Build foundational force production</x:v>
      </x:c>
      <x:c r="C16" s="12" t="str">
        <x:v>Relative strength; technique; tendon capacity; trunk stability; unilateral strength</x:v>
      </x:c>
      <x:c r="D16" s="12" t="str">
        <x:v>Prioritize foundational strength and positional competency. Use progressive resistance, isometrics and unilateral patterns before advanced power methods.</x:v>
      </x:c>
      <x:c r="E16" s="12" t="str">
        <x:v>RVX Strength Foundations</x:v>
      </x:c>
      <x:c r="F16" s="12" t="str">
        <x:v>RVX Lower-Body Capacity</x:v>
      </x:c>
      <x:c r="G16" s="12" t="str">
        <x:v>Own the position first, then increase force with consistent intent.</x:v>
      </x:c>
      <x:c r="H16" s="12" t="str">
        <x:v>Retest after 4–6 weeks; review body-mass-relative force when possible.</x:v>
      </x:c>
    </x:row>
    <x:row r="17">
      <x:c r="A17" s="12" t="str">
        <x:v>impulse|Above Norm</x:v>
      </x:c>
      <x:c r="B17" s="12" t="str">
        <x:v>Maintain total force-time output</x:v>
      </x:c>
      <x:c r="C17" s="12" t="str">
        <x:v>Rate of force development; movement time; power transfer; fatigue resistance</x:v>
      </x:c>
      <x:c r="D17" s="12" t="str">
        <x:v>Maintain impulse with strength-power microdosing and varied jump or sprint exposures. Ensure high impulse is achieved efficiently rather than through excessive movement time.</x:v>
      </x:c>
      <x:c r="E17" s="12" t="str">
        <x:v>RVX Advanced Power Development</x:v>
      </x:c>
      <x:c r="F17" s="12" t="str">
        <x:v>RVX Elastic Power Microdose</x:v>
      </x:c>
      <x:c r="G17" s="12" t="str">
        <x:v>Build force quickly and keep applying it through the full movement.</x:v>
      </x:c>
      <x:c r="H17" s="12" t="str">
        <x:v>Retest every 6–8 weeks while reviewing contraction time and jump outcome.</x:v>
      </x:c>
    </x:row>
    <x:row r="18">
      <x:c r="A18" s="12" t="str">
        <x:v>impulse|Equal to Norm</x:v>
      </x:c>
      <x:c r="B18" s="12" t="str">
        <x:v>Improve force applied over time</x:v>
      </x:c>
      <x:c r="C18" s="12" t="str">
        <x:v>Strength; countermovement strategy; intent; coordination; power</x:v>
      </x:c>
      <x:c r="D18" s="12" t="str">
        <x:v>Use loaded jumps, isometrics and strength-power exercises that improve the athlete’s ability to produce and sustain force through the propulsion phase.</x:v>
      </x:c>
      <x:c r="E18" s="12" t="str">
        <x:v>RVX Power Development</x:v>
      </x:c>
      <x:c r="F18" s="12" t="str">
        <x:v>RVX Strength-Speed</x:v>
      </x:c>
      <x:c r="G18" s="12" t="str">
        <x:v>Apply force early and continue driving through take-off.</x:v>
      </x:c>
      <x:c r="H18" s="12" t="str">
        <x:v>Retest after 4–6 weeks.</x:v>
      </x:c>
    </x:row>
    <x:row r="19">
      <x:c r="A19" s="12" t="str">
        <x:v>impulse|Below Norm</x:v>
      </x:c>
      <x:c r="B19" s="12" t="str">
        <x:v>Develop force-time capacity</x:v>
      </x:c>
      <x:c r="C19" s="12" t="str">
        <x:v>Maximal strength; eccentric control; concentric force; movement coordination</x:v>
      </x:c>
      <x:c r="D19" s="12" t="str">
        <x:v>Build foundational force production before progressing to advanced plyometrics. Pair strength work with controlled jumps and explosive intent at appropriate loads.</x:v>
      </x:c>
      <x:c r="E19" s="12" t="str">
        <x:v>RVX Power Foundations</x:v>
      </x:c>
      <x:c r="F19" s="12" t="str">
        <x:v>RVX Strength Foundations</x:v>
      </x:c>
      <x:c r="G19" s="12" t="str">
        <x:v>Control the loading phase, then drive through the entire push with intent.</x:v>
      </x:c>
      <x:c r="H19" s="12" t="str">
        <x:v>Retest after 4 weeks and review peak force, depth and movement time together.</x:v>
      </x:c>
    </x:row>
  </x:sheetData>
  <x:pageMargins left="0.7" right="0.7" top="0.75" bottom="0.75" header="0.3" footer="0.3"/>
  <x:tableParts count="1">
    <x:tablePart xmlns:r="http://schemas.openxmlformats.org/officeDocument/2006/relationships" r:id="R0744413208cc40a9"/>
  </x:tableParts>
</x:worksheet>
</file>